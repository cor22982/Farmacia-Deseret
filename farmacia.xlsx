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1490" tabRatio="695" firstSheet="1" activeTab="5"/>
  </bookViews>
  <sheets>
    <sheet name=" BYF" sheetId="7" state="hidden" r:id="rId1"/>
    <sheet name="IVR BYF" sheetId="4" r:id="rId2"/>
    <sheet name="BENDICION" sheetId="46" state="hidden" r:id="rId3"/>
    <sheet name="INV BENDICION" sheetId="47" r:id="rId4"/>
    <sheet name="ROSADEL" sheetId="37" state="hidden" r:id="rId5"/>
    <sheet name="INV ROSADEL" sheetId="38" r:id="rId6"/>
    <sheet name=" COIDE " sheetId="12" state="hidden" r:id="rId7"/>
    <sheet name="INV COIDE" sheetId="52" r:id="rId8"/>
    <sheet name="GENESIS" sheetId="14" state="hidden" r:id="rId9"/>
    <sheet name="INV GENESIS" sheetId="22" r:id="rId10"/>
    <sheet name="OLAM" sheetId="56" state="hidden" r:id="rId11"/>
    <sheet name="INV OLAM " sheetId="2" r:id="rId12"/>
    <sheet name="TORRE FUERTE" sheetId="13" state="hidden" r:id="rId13"/>
    <sheet name="IVR T FUERTE" sheetId="21" r:id="rId14"/>
    <sheet name="ESTUARDO" sheetId="23" state="hidden" r:id="rId15"/>
    <sheet name="IVR ESTUARDO" sheetId="25" r:id="rId16"/>
    <sheet name="AMICELCO" sheetId="35" state="hidden" r:id="rId17"/>
    <sheet name="INV AMICELCO" sheetId="36" r:id="rId18"/>
    <sheet name="INFASA" sheetId="31" state="hidden" r:id="rId19"/>
    <sheet name="INV INFASA" sheetId="32" r:id="rId20"/>
    <sheet name="PRECIO BAJO" sheetId="33" state="hidden" r:id="rId21"/>
    <sheet name="INV PRECIO BAJO" sheetId="34" r:id="rId22"/>
    <sheet name="LAFIMARQ" sheetId="44" state="hidden" r:id="rId23"/>
    <sheet name="INV LAFIMARQ" sheetId="45" r:id="rId24"/>
    <sheet name="TIENDA" sheetId="3" state="hidden" r:id="rId25"/>
    <sheet name="INV TIENDA" sheetId="49" r:id="rId26"/>
    <sheet name="ROXVEL Y RABI" sheetId="42" state="hidden" r:id="rId27"/>
    <sheet name=" INV ROXVEL Y RABI" sheetId="43" r:id="rId28"/>
    <sheet name="NO SISTEMA" sheetId="55" r:id="rId29"/>
    <sheet name="Hoja1" sheetId="50" r:id="rId30"/>
    <sheet name="PROGRAMA" sheetId="59" r:id="rId31"/>
  </sheets>
  <definedNames>
    <definedName name="_xlnm._FilterDatabase" localSheetId="0" hidden="1">' BYF'!$A$1:$Q$206</definedName>
    <definedName name="_xlnm._FilterDatabase" localSheetId="6" hidden="1">' COIDE '!$A$1:$H$182</definedName>
    <definedName name="_xlnm._FilterDatabase" localSheetId="27" hidden="1">' INV ROXVEL Y RABI'!$A$1:$AD$34</definedName>
    <definedName name="_xlnm._FilterDatabase" localSheetId="16" hidden="1">AMICELCO!$A$1:$Q$42</definedName>
    <definedName name="_xlnm._FilterDatabase" localSheetId="2" hidden="1">BENDICION!$A$1:$H$237</definedName>
    <definedName name="_xlnm._FilterDatabase" localSheetId="14" hidden="1">ESTUARDO!$A$1:$H$137</definedName>
    <definedName name="_xlnm._FilterDatabase" localSheetId="8" hidden="1">GENESIS!$C$1:$C$366</definedName>
    <definedName name="_xlnm._FilterDatabase" localSheetId="18" hidden="1">INFASA!$A$1:$H$28</definedName>
    <definedName name="_xlnm._FilterDatabase" localSheetId="17" hidden="1">'INV AMICELCO'!$A$1:$AE$26</definedName>
    <definedName name="_xlnm._FilterDatabase" localSheetId="3" hidden="1">'INV BENDICION'!$A$1:$AD$252</definedName>
    <definedName name="_xlnm._FilterDatabase" localSheetId="7" hidden="1">'INV COIDE'!$A$1:$AD$178</definedName>
    <definedName name="_xlnm._FilterDatabase" localSheetId="9" hidden="1">'INV GENESIS'!$A$1:$AE$83</definedName>
    <definedName name="_xlnm._FilterDatabase" localSheetId="19" hidden="1">'INV INFASA'!$A$1:$AE$28</definedName>
    <definedName name="_xlnm._FilterDatabase" localSheetId="23" hidden="1">'INV LAFIMARQ'!$A$1:$AD$226</definedName>
    <definedName name="_xlnm._FilterDatabase" localSheetId="11" hidden="1">'INV OLAM '!$C$1:$V$68</definedName>
    <definedName name="_xlnm._FilterDatabase" localSheetId="21" hidden="1">'INV PRECIO BAJO'!$A$1:$AE$59</definedName>
    <definedName name="_xlnm._FilterDatabase" localSheetId="5" hidden="1">'INV ROSADEL'!$A$1:$CE$313</definedName>
    <definedName name="_xlnm._FilterDatabase" localSheetId="25" hidden="1">'INV TIENDA'!$A$1:$AE$121</definedName>
    <definedName name="_xlnm._FilterDatabase" localSheetId="1" hidden="1">'IVR BYF'!$A$1:$AV$179</definedName>
    <definedName name="_xlnm._FilterDatabase" localSheetId="15" hidden="1">'IVR ESTUARDO'!$A$1:$AE$113</definedName>
    <definedName name="_xlnm._FilterDatabase" localSheetId="13" hidden="1">'IVR T FUERTE'!$A$1:$AD$18</definedName>
    <definedName name="_xlnm._FilterDatabase" localSheetId="22" hidden="1">LAFIMARQ!$F$1:$F$394</definedName>
    <definedName name="_xlnm._FilterDatabase" localSheetId="28" hidden="1">'NO SISTEMA'!$A$1:$S$50</definedName>
    <definedName name="_xlnm._FilterDatabase" localSheetId="10" hidden="1">OLAM!$A$1:$I$90</definedName>
    <definedName name="_xlnm._FilterDatabase" localSheetId="20" hidden="1">'PRECIO BAJO'!$A$1:$H$54</definedName>
    <definedName name="_xlnm._FilterDatabase" localSheetId="4" hidden="1">ROSADEL!$A$1:$H$219</definedName>
    <definedName name="_xlnm._FilterDatabase" localSheetId="26" hidden="1">'ROXVEL Y RABI'!$C$1:$C$365</definedName>
    <definedName name="_xlnm._FilterDatabase" localSheetId="24" hidden="1">TIENDA!$A$1:$M$133</definedName>
    <definedName name="_xlnm._FilterDatabase" localSheetId="12" hidden="1">'TORRE FUERTE'!$F$1:$F$371</definedName>
  </definedNames>
  <calcPr calcId="162913"/>
</workbook>
</file>

<file path=xl/calcChain.xml><?xml version="1.0" encoding="utf-8"?>
<calcChain xmlns="http://schemas.openxmlformats.org/spreadsheetml/2006/main">
  <c r="P3" i="47" l="1"/>
  <c r="P4" i="47"/>
  <c r="P5" i="47"/>
  <c r="P6" i="47"/>
  <c r="P7" i="47"/>
  <c r="P8" i="47"/>
  <c r="P9" i="47"/>
  <c r="P10" i="47"/>
  <c r="P11" i="47"/>
  <c r="P12" i="47"/>
  <c r="P13" i="47"/>
  <c r="P14" i="47"/>
  <c r="P15" i="47"/>
  <c r="P16" i="47"/>
  <c r="P17" i="47"/>
  <c r="P18" i="47"/>
  <c r="P19" i="47"/>
  <c r="P20" i="47"/>
  <c r="P21" i="47"/>
  <c r="P22" i="47"/>
  <c r="P23" i="47"/>
  <c r="P24" i="47"/>
  <c r="P25" i="47"/>
  <c r="P26" i="47"/>
  <c r="P27" i="47"/>
  <c r="P28" i="47"/>
  <c r="P29" i="47"/>
  <c r="P30" i="47"/>
  <c r="P31" i="47"/>
  <c r="P32" i="47"/>
  <c r="P33" i="47"/>
  <c r="P34" i="47"/>
  <c r="P35" i="47"/>
  <c r="P36" i="47"/>
  <c r="P37" i="47"/>
  <c r="P38" i="47"/>
  <c r="P39" i="47"/>
  <c r="P40" i="47"/>
  <c r="P41" i="47"/>
  <c r="P42" i="47"/>
  <c r="P43" i="47"/>
  <c r="P44" i="47"/>
  <c r="P45" i="47"/>
  <c r="P46" i="47"/>
  <c r="P47" i="47"/>
  <c r="P48" i="47"/>
  <c r="P49" i="47"/>
  <c r="P50" i="47"/>
  <c r="P51" i="47"/>
  <c r="P52" i="47"/>
  <c r="P53" i="47"/>
  <c r="P54" i="47"/>
  <c r="P55" i="47"/>
  <c r="P56" i="47"/>
  <c r="P57" i="47"/>
  <c r="P58" i="47"/>
  <c r="P59" i="47"/>
  <c r="P60" i="47"/>
  <c r="P61" i="47"/>
  <c r="P62" i="47"/>
  <c r="P63" i="47"/>
  <c r="P64" i="47"/>
  <c r="P65" i="47"/>
  <c r="P66" i="47"/>
  <c r="P67" i="47"/>
  <c r="P68" i="47"/>
  <c r="P69" i="47"/>
  <c r="P70" i="47"/>
  <c r="P71" i="47"/>
  <c r="P72" i="47"/>
  <c r="P73" i="47"/>
  <c r="P74" i="47"/>
  <c r="P75" i="47"/>
  <c r="P76" i="47"/>
  <c r="P77" i="47"/>
  <c r="P78" i="47"/>
  <c r="P79" i="47"/>
  <c r="P80" i="47"/>
  <c r="P81" i="47"/>
  <c r="P82" i="47"/>
  <c r="P83" i="47"/>
  <c r="P84" i="47"/>
  <c r="P85" i="47"/>
  <c r="P86" i="47"/>
  <c r="P87" i="47"/>
  <c r="P88" i="47"/>
  <c r="P89" i="47"/>
  <c r="P90" i="47"/>
  <c r="P91" i="47"/>
  <c r="P92" i="47"/>
  <c r="P93" i="47"/>
  <c r="P94" i="47"/>
  <c r="P95" i="47"/>
  <c r="P96" i="47"/>
  <c r="P97" i="47"/>
  <c r="P98" i="47"/>
  <c r="P99" i="47"/>
  <c r="P100" i="47"/>
  <c r="P101" i="47"/>
  <c r="P102" i="47"/>
  <c r="P103" i="47"/>
  <c r="P104" i="47"/>
  <c r="P105" i="47"/>
  <c r="P106" i="47"/>
  <c r="P107" i="47"/>
  <c r="P108" i="47"/>
  <c r="P109" i="47"/>
  <c r="P110" i="47"/>
  <c r="P111" i="47"/>
  <c r="P112" i="47"/>
  <c r="P113" i="47"/>
  <c r="P114" i="47"/>
  <c r="P115" i="47"/>
  <c r="P116" i="47"/>
  <c r="P117" i="47"/>
  <c r="P118" i="47"/>
  <c r="P119" i="47"/>
  <c r="P120" i="47"/>
  <c r="P121" i="47"/>
  <c r="P122" i="47"/>
  <c r="P123" i="47"/>
  <c r="P124" i="47"/>
  <c r="P125" i="47"/>
  <c r="P126" i="47"/>
  <c r="P127" i="47"/>
  <c r="P128" i="47"/>
  <c r="P129" i="47"/>
  <c r="P130" i="47"/>
  <c r="P131" i="47"/>
  <c r="P132" i="47"/>
  <c r="P133" i="47"/>
  <c r="P134" i="47"/>
  <c r="P135" i="47"/>
  <c r="P136" i="47"/>
  <c r="P137" i="47"/>
  <c r="P138" i="47"/>
  <c r="P139" i="47"/>
  <c r="P140" i="47"/>
  <c r="P141" i="47"/>
  <c r="P142" i="47"/>
  <c r="P143" i="47"/>
  <c r="P144" i="47"/>
  <c r="P145" i="47"/>
  <c r="P146" i="47"/>
  <c r="P147" i="47"/>
  <c r="P148" i="47"/>
  <c r="P149" i="47"/>
  <c r="P150" i="47"/>
  <c r="P151" i="47"/>
  <c r="P152" i="47"/>
  <c r="P153" i="47"/>
  <c r="P154" i="47"/>
  <c r="P155" i="47"/>
  <c r="P156" i="47"/>
  <c r="P157" i="47"/>
  <c r="P158" i="47"/>
  <c r="P159" i="47"/>
  <c r="P160" i="47"/>
  <c r="P161" i="47"/>
  <c r="P162" i="47"/>
  <c r="P163" i="47"/>
  <c r="P164" i="47"/>
  <c r="P165" i="47"/>
  <c r="P166" i="47"/>
  <c r="P167" i="47"/>
  <c r="P168" i="47"/>
  <c r="P169" i="47"/>
  <c r="P170" i="47"/>
  <c r="P171" i="47"/>
  <c r="P172" i="47"/>
  <c r="P173" i="47"/>
  <c r="P174" i="47"/>
  <c r="P175" i="47"/>
  <c r="P176" i="47"/>
  <c r="P177" i="47"/>
  <c r="P178" i="47"/>
  <c r="P179" i="47"/>
  <c r="P180" i="47"/>
  <c r="P181" i="47"/>
  <c r="P182" i="47"/>
  <c r="P183" i="47"/>
  <c r="P184" i="47"/>
  <c r="P185" i="47"/>
  <c r="P186" i="47"/>
  <c r="P187" i="47"/>
  <c r="P188" i="47"/>
  <c r="P189" i="47"/>
  <c r="P190" i="47"/>
  <c r="P191" i="47"/>
  <c r="P192" i="47"/>
  <c r="P193" i="47"/>
  <c r="P194" i="47"/>
  <c r="P195" i="47"/>
  <c r="P196" i="47"/>
  <c r="P197" i="47"/>
  <c r="P198" i="47"/>
  <c r="P199" i="47"/>
  <c r="P200" i="47"/>
  <c r="P201" i="47"/>
  <c r="P202" i="47"/>
  <c r="P203" i="47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H15" i="13" l="1"/>
  <c r="G15" i="13"/>
  <c r="B3" i="50"/>
  <c r="H115" i="23"/>
  <c r="G115" i="23"/>
  <c r="H34" i="35"/>
  <c r="G34" i="35"/>
  <c r="H28" i="31"/>
  <c r="G28" i="31"/>
  <c r="H42" i="33"/>
  <c r="G42" i="33"/>
  <c r="H60" i="44"/>
  <c r="G60" i="44"/>
  <c r="H30" i="42"/>
  <c r="G30" i="42"/>
  <c r="H122" i="3"/>
  <c r="G122" i="3"/>
  <c r="A24" i="43"/>
  <c r="A25" i="43"/>
  <c r="A26" i="43"/>
  <c r="A27" i="43" s="1"/>
  <c r="A28" i="43" s="1"/>
  <c r="A29" i="43" s="1"/>
  <c r="A30" i="43" s="1"/>
  <c r="AA36" i="47" l="1"/>
  <c r="AB36" i="47" s="1"/>
  <c r="AC36" i="47" s="1"/>
  <c r="AD36" i="47" s="1"/>
  <c r="AA37" i="47"/>
  <c r="AB37" i="47" s="1"/>
  <c r="AC37" i="47" s="1"/>
  <c r="AD37" i="47" s="1"/>
  <c r="AA38" i="47"/>
  <c r="AA164" i="52" l="1"/>
  <c r="AB164" i="52" s="1"/>
  <c r="AC164" i="52" s="1"/>
  <c r="AD164" i="52" s="1"/>
  <c r="O164" i="52"/>
  <c r="O112" i="52"/>
  <c r="AA112" i="52"/>
  <c r="AB112" i="52" s="1"/>
  <c r="AC112" i="52" s="1"/>
  <c r="AD112" i="52" s="1"/>
  <c r="H164" i="12"/>
  <c r="G164" i="12"/>
  <c r="F164" i="12"/>
  <c r="P164" i="52" l="1"/>
  <c r="P112" i="52"/>
  <c r="F30" i="35"/>
  <c r="H30" i="35"/>
  <c r="G30" i="35"/>
  <c r="H28" i="35"/>
  <c r="H26" i="35"/>
  <c r="H25" i="35"/>
  <c r="G28" i="35"/>
  <c r="G26" i="35"/>
  <c r="G25" i="35"/>
  <c r="F28" i="35"/>
  <c r="F26" i="35"/>
  <c r="F25" i="35"/>
  <c r="F27" i="35"/>
  <c r="H27" i="35"/>
  <c r="G27" i="35"/>
  <c r="AA27" i="36"/>
  <c r="AB27" i="36" s="1"/>
  <c r="AC27" i="36" s="1"/>
  <c r="AD27" i="36" s="1"/>
  <c r="AA28" i="36"/>
  <c r="AB28" i="36" s="1"/>
  <c r="AC28" i="36" s="1"/>
  <c r="AD28" i="36" s="1"/>
  <c r="AA26" i="36"/>
  <c r="AB26" i="36" s="1"/>
  <c r="AC26" i="36" s="1"/>
  <c r="AD26" i="36" s="1"/>
  <c r="AA25" i="36"/>
  <c r="AB25" i="36" s="1"/>
  <c r="AC25" i="36" s="1"/>
  <c r="AD25" i="36" s="1"/>
  <c r="AA30" i="36"/>
  <c r="AB30" i="36" s="1"/>
  <c r="AC30" i="36" s="1"/>
  <c r="AD30" i="36" s="1"/>
  <c r="AA31" i="36"/>
  <c r="AB31" i="36" s="1"/>
  <c r="AC31" i="36" s="1"/>
  <c r="AD31" i="36" s="1"/>
  <c r="O27" i="36"/>
  <c r="O28" i="36"/>
  <c r="O26" i="36"/>
  <c r="O25" i="36"/>
  <c r="O30" i="36"/>
  <c r="O31" i="36"/>
  <c r="O32" i="36"/>
  <c r="P32" i="36" s="1"/>
  <c r="P30" i="36" l="1"/>
  <c r="P27" i="36"/>
  <c r="P31" i="36"/>
  <c r="P25" i="36"/>
  <c r="P26" i="36"/>
  <c r="P28" i="36"/>
  <c r="AA24" i="25" l="1"/>
  <c r="AB24" i="25" s="1"/>
  <c r="AC24" i="25" s="1"/>
  <c r="AD24" i="25" s="1"/>
  <c r="O24" i="25"/>
  <c r="H24" i="23"/>
  <c r="G24" i="23"/>
  <c r="F24" i="23"/>
  <c r="F75" i="12"/>
  <c r="G75" i="12"/>
  <c r="H75" i="12"/>
  <c r="H3" i="46"/>
  <c r="H4" i="46"/>
  <c r="H5" i="46"/>
  <c r="H6" i="46"/>
  <c r="H7" i="46"/>
  <c r="H8" i="46"/>
  <c r="H9" i="46"/>
  <c r="H10" i="46"/>
  <c r="H11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7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H77" i="46"/>
  <c r="H78" i="46"/>
  <c r="H79" i="46"/>
  <c r="H80" i="46"/>
  <c r="H81" i="46"/>
  <c r="H82" i="46"/>
  <c r="H83" i="46"/>
  <c r="H84" i="46"/>
  <c r="H85" i="46"/>
  <c r="H86" i="46"/>
  <c r="H87" i="46"/>
  <c r="H88" i="46"/>
  <c r="H89" i="46"/>
  <c r="H90" i="46"/>
  <c r="H92" i="46"/>
  <c r="H93" i="46"/>
  <c r="H94" i="46"/>
  <c r="H95" i="46"/>
  <c r="H96" i="46"/>
  <c r="H97" i="46"/>
  <c r="H98" i="46"/>
  <c r="H99" i="46"/>
  <c r="H100" i="46"/>
  <c r="H101" i="46"/>
  <c r="H102" i="46"/>
  <c r="H103" i="46"/>
  <c r="H104" i="46"/>
  <c r="H105" i="46"/>
  <c r="H106" i="46"/>
  <c r="H107" i="46"/>
  <c r="H108" i="46"/>
  <c r="H109" i="46"/>
  <c r="H110" i="46"/>
  <c r="H111" i="46"/>
  <c r="H112" i="46"/>
  <c r="H113" i="46"/>
  <c r="H114" i="46"/>
  <c r="H115" i="46"/>
  <c r="H116" i="46"/>
  <c r="H117" i="46"/>
  <c r="H118" i="46"/>
  <c r="H119" i="46"/>
  <c r="H120" i="46"/>
  <c r="H121" i="46"/>
  <c r="H122" i="46"/>
  <c r="H123" i="46"/>
  <c r="H124" i="46"/>
  <c r="H125" i="46"/>
  <c r="H126" i="46"/>
  <c r="H127" i="46"/>
  <c r="H128" i="46"/>
  <c r="H129" i="46"/>
  <c r="H130" i="46"/>
  <c r="H131" i="46"/>
  <c r="H132" i="46"/>
  <c r="H133" i="46"/>
  <c r="H134" i="46"/>
  <c r="H135" i="46"/>
  <c r="H136" i="46"/>
  <c r="H137" i="46"/>
  <c r="H138" i="46"/>
  <c r="H139" i="46"/>
  <c r="H140" i="46"/>
  <c r="H141" i="46"/>
  <c r="H142" i="46"/>
  <c r="H143" i="46"/>
  <c r="H144" i="46"/>
  <c r="H145" i="46"/>
  <c r="H146" i="46"/>
  <c r="H147" i="46"/>
  <c r="H148" i="46"/>
  <c r="H149" i="46"/>
  <c r="H150" i="46"/>
  <c r="H151" i="46"/>
  <c r="H152" i="46"/>
  <c r="H153" i="46"/>
  <c r="H154" i="46"/>
  <c r="H156" i="46"/>
  <c r="H157" i="46"/>
  <c r="H158" i="46"/>
  <c r="H159" i="46"/>
  <c r="H160" i="46"/>
  <c r="H161" i="46"/>
  <c r="H162" i="46"/>
  <c r="H163" i="46"/>
  <c r="H164" i="46"/>
  <c r="H165" i="46"/>
  <c r="H166" i="46"/>
  <c r="H167" i="46"/>
  <c r="H168" i="46"/>
  <c r="H169" i="46"/>
  <c r="H170" i="46"/>
  <c r="H171" i="46"/>
  <c r="H172" i="46"/>
  <c r="H173" i="46"/>
  <c r="H174" i="46"/>
  <c r="H175" i="46"/>
  <c r="H176" i="46"/>
  <c r="H177" i="46"/>
  <c r="H178" i="46"/>
  <c r="H179" i="46"/>
  <c r="H180" i="46"/>
  <c r="H181" i="46"/>
  <c r="H182" i="46"/>
  <c r="H183" i="46"/>
  <c r="H184" i="46"/>
  <c r="H185" i="46"/>
  <c r="H186" i="46"/>
  <c r="H187" i="46"/>
  <c r="H188" i="46"/>
  <c r="H189" i="46"/>
  <c r="H190" i="46"/>
  <c r="H191" i="46"/>
  <c r="H192" i="46"/>
  <c r="H193" i="46"/>
  <c r="H194" i="46"/>
  <c r="H195" i="46"/>
  <c r="H196" i="46"/>
  <c r="H197" i="46"/>
  <c r="H198" i="46"/>
  <c r="H199" i="46"/>
  <c r="H200" i="46"/>
  <c r="H201" i="46"/>
  <c r="H202" i="46"/>
  <c r="H91" i="46"/>
  <c r="H203" i="46"/>
  <c r="H155" i="46"/>
  <c r="H36" i="46"/>
  <c r="H204" i="46"/>
  <c r="H205" i="46"/>
  <c r="H206" i="46"/>
  <c r="H207" i="46"/>
  <c r="H208" i="46"/>
  <c r="G3" i="46"/>
  <c r="G4" i="46"/>
  <c r="G5" i="46"/>
  <c r="G6" i="46"/>
  <c r="G7" i="46"/>
  <c r="G8" i="46"/>
  <c r="G9" i="46"/>
  <c r="G10" i="46"/>
  <c r="G11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7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2" i="46"/>
  <c r="G93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6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91" i="46"/>
  <c r="G203" i="46"/>
  <c r="G155" i="46"/>
  <c r="G36" i="46"/>
  <c r="G204" i="46"/>
  <c r="G205" i="46"/>
  <c r="G206" i="46"/>
  <c r="G207" i="46"/>
  <c r="G208" i="46"/>
  <c r="F36" i="46"/>
  <c r="AA155" i="47"/>
  <c r="AB155" i="47" s="1"/>
  <c r="AC155" i="47" s="1"/>
  <c r="AD155" i="47" s="1"/>
  <c r="O155" i="47"/>
  <c r="F155" i="46"/>
  <c r="O201" i="47"/>
  <c r="O202" i="47"/>
  <c r="O91" i="47"/>
  <c r="O203" i="47"/>
  <c r="AA91" i="47"/>
  <c r="AB91" i="47" s="1"/>
  <c r="AC91" i="47" s="1"/>
  <c r="AD91" i="47" s="1"/>
  <c r="F91" i="46"/>
  <c r="P24" i="25" l="1"/>
  <c r="O4" i="52"/>
  <c r="F12" i="14" l="1"/>
  <c r="H12" i="14"/>
  <c r="G12" i="14"/>
  <c r="AA12" i="22"/>
  <c r="AB12" i="22" s="1"/>
  <c r="AC12" i="22" s="1"/>
  <c r="AD12" i="22" s="1"/>
  <c r="AA77" i="22"/>
  <c r="AB77" i="22" s="1"/>
  <c r="AC77" i="22" s="1"/>
  <c r="AD77" i="22" s="1"/>
  <c r="O12" i="22"/>
  <c r="F26" i="42"/>
  <c r="P12" i="22" l="1"/>
  <c r="H4" i="23"/>
  <c r="G4" i="23"/>
  <c r="F4" i="23"/>
  <c r="O4" i="25"/>
  <c r="O5" i="25"/>
  <c r="AA4" i="25"/>
  <c r="AB4" i="25" s="1"/>
  <c r="AC4" i="25" s="1"/>
  <c r="AD4" i="25" s="1"/>
  <c r="P4" i="25" l="1"/>
  <c r="AA17" i="4"/>
  <c r="AB17" i="4" s="1"/>
  <c r="AC17" i="4" s="1"/>
  <c r="AD17" i="4" s="1"/>
  <c r="O17" i="4"/>
  <c r="H17" i="7"/>
  <c r="G17" i="7"/>
  <c r="F17" i="7"/>
  <c r="AA46" i="4"/>
  <c r="AB46" i="4" s="1"/>
  <c r="AC46" i="4" s="1"/>
  <c r="AD46" i="4" s="1"/>
  <c r="O46" i="4"/>
  <c r="H46" i="7"/>
  <c r="G46" i="7"/>
  <c r="F46" i="7"/>
  <c r="AA136" i="47" l="1"/>
  <c r="AB136" i="47" s="1"/>
  <c r="AC136" i="47" s="1"/>
  <c r="AD136" i="47" s="1"/>
  <c r="F136" i="46"/>
  <c r="H6" i="23" l="1"/>
  <c r="H46" i="23"/>
  <c r="H108" i="23"/>
  <c r="H109" i="23"/>
  <c r="H110" i="23"/>
  <c r="H111" i="23"/>
  <c r="H112" i="23"/>
  <c r="H113" i="23"/>
  <c r="H114" i="23"/>
  <c r="G6" i="23"/>
  <c r="G46" i="23"/>
  <c r="G108" i="23"/>
  <c r="G109" i="23"/>
  <c r="G110" i="23"/>
  <c r="G111" i="23"/>
  <c r="G112" i="23"/>
  <c r="G113" i="23"/>
  <c r="G114" i="23"/>
  <c r="F6" i="23"/>
  <c r="F46" i="23"/>
  <c r="F108" i="23"/>
  <c r="F109" i="23"/>
  <c r="F110" i="23"/>
  <c r="F111" i="23"/>
  <c r="F112" i="23"/>
  <c r="F113" i="23"/>
  <c r="F114" i="23"/>
  <c r="AA6" i="25"/>
  <c r="AB6" i="25" s="1"/>
  <c r="AC6" i="25" s="1"/>
  <c r="AD6" i="25" s="1"/>
  <c r="AA46" i="25"/>
  <c r="AB46" i="25" s="1"/>
  <c r="AC46" i="25" s="1"/>
  <c r="AD46" i="25" s="1"/>
  <c r="AA108" i="25"/>
  <c r="AB108" i="25" s="1"/>
  <c r="AC108" i="25" s="1"/>
  <c r="AD108" i="25" s="1"/>
  <c r="AA109" i="25"/>
  <c r="AB109" i="25" s="1"/>
  <c r="AC109" i="25" s="1"/>
  <c r="AD109" i="25" s="1"/>
  <c r="AA110" i="25"/>
  <c r="AB110" i="25" s="1"/>
  <c r="AC110" i="25" s="1"/>
  <c r="AD110" i="25" s="1"/>
  <c r="AA111" i="25"/>
  <c r="AB111" i="25" s="1"/>
  <c r="AC111" i="25" s="1"/>
  <c r="AD111" i="25" s="1"/>
  <c r="AA112" i="25"/>
  <c r="AB112" i="25" s="1"/>
  <c r="AC112" i="25" s="1"/>
  <c r="AD112" i="25" s="1"/>
  <c r="O6" i="25"/>
  <c r="O46" i="25"/>
  <c r="O108" i="25"/>
  <c r="O109" i="25"/>
  <c r="O110" i="25"/>
  <c r="O111" i="25"/>
  <c r="O112" i="25"/>
  <c r="P6" i="25" l="1"/>
  <c r="P46" i="25"/>
  <c r="P110" i="25"/>
  <c r="P112" i="25"/>
  <c r="P108" i="25"/>
  <c r="P111" i="25"/>
  <c r="P109" i="25"/>
  <c r="O5" i="38"/>
  <c r="AA115" i="49" l="1"/>
  <c r="AB115" i="49" s="1"/>
  <c r="AC115" i="49" s="1"/>
  <c r="AD115" i="49" s="1"/>
  <c r="O115" i="49"/>
  <c r="H115" i="3"/>
  <c r="G115" i="3"/>
  <c r="F115" i="3"/>
  <c r="P115" i="49" l="1"/>
  <c r="AA26" i="47"/>
  <c r="AB26" i="47" s="1"/>
  <c r="AC26" i="47" s="1"/>
  <c r="AD26" i="47" s="1"/>
  <c r="O26" i="47"/>
  <c r="O136" i="47"/>
  <c r="F26" i="46"/>
  <c r="O26" i="55" l="1"/>
  <c r="O3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P23" i="52" s="1"/>
  <c r="O24" i="52"/>
  <c r="O25" i="52"/>
  <c r="O46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5" i="52"/>
  <c r="O166" i="52"/>
  <c r="O167" i="52"/>
  <c r="O168" i="52"/>
  <c r="O169" i="52"/>
  <c r="O170" i="52"/>
  <c r="O171" i="52"/>
  <c r="O172" i="52"/>
  <c r="O16" i="55" l="1"/>
  <c r="O130" i="38"/>
  <c r="O50" i="49" l="1"/>
  <c r="O51" i="49"/>
  <c r="O52" i="49"/>
  <c r="O36" i="55" l="1"/>
  <c r="O186" i="38" l="1"/>
  <c r="O187" i="38"/>
  <c r="O188" i="38"/>
  <c r="O52" i="55"/>
  <c r="O3" i="47" l="1"/>
  <c r="O4" i="47"/>
  <c r="O5" i="47"/>
  <c r="O6" i="47"/>
  <c r="O7" i="47"/>
  <c r="O8" i="47"/>
  <c r="O9" i="47"/>
  <c r="O10" i="47"/>
  <c r="O11" i="47"/>
  <c r="O12" i="47"/>
  <c r="O13" i="47"/>
  <c r="O14" i="47"/>
  <c r="O15" i="47"/>
  <c r="O16" i="47"/>
  <c r="O17" i="47"/>
  <c r="O18" i="47"/>
  <c r="O19" i="47"/>
  <c r="O20" i="47"/>
  <c r="O21" i="47"/>
  <c r="O22" i="47"/>
  <c r="O23" i="47"/>
  <c r="O24" i="47"/>
  <c r="O25" i="47"/>
  <c r="O27" i="47"/>
  <c r="O28" i="47"/>
  <c r="O29" i="47"/>
  <c r="O30" i="47"/>
  <c r="O31" i="47"/>
  <c r="O32" i="47"/>
  <c r="O33" i="47"/>
  <c r="O34" i="47"/>
  <c r="O35" i="47"/>
  <c r="O37" i="47"/>
  <c r="O38" i="47"/>
  <c r="O39" i="47"/>
  <c r="O40" i="47"/>
  <c r="O41" i="47"/>
  <c r="O42" i="47"/>
  <c r="O43" i="47"/>
  <c r="O44" i="47"/>
  <c r="O45" i="47"/>
  <c r="O46" i="47"/>
  <c r="O47" i="47"/>
  <c r="O48" i="47"/>
  <c r="O49" i="47"/>
  <c r="O50" i="47"/>
  <c r="O51" i="47"/>
  <c r="O52" i="47"/>
  <c r="O53" i="47"/>
  <c r="O54" i="47"/>
  <c r="O55" i="47"/>
  <c r="O56" i="47"/>
  <c r="O57" i="47"/>
  <c r="O58" i="47"/>
  <c r="O59" i="47"/>
  <c r="O60" i="47"/>
  <c r="O61" i="47"/>
  <c r="O62" i="47"/>
  <c r="O63" i="47"/>
  <c r="O64" i="47"/>
  <c r="O65" i="47"/>
  <c r="O66" i="47"/>
  <c r="O67" i="47"/>
  <c r="O68" i="47"/>
  <c r="O69" i="47"/>
  <c r="O70" i="47"/>
  <c r="O71" i="47"/>
  <c r="O72" i="47"/>
  <c r="O73" i="47"/>
  <c r="O74" i="47"/>
  <c r="O75" i="47"/>
  <c r="O76" i="47"/>
  <c r="O77" i="47"/>
  <c r="O79" i="47"/>
  <c r="O80" i="47"/>
  <c r="O81" i="47"/>
  <c r="O82" i="47"/>
  <c r="O83" i="47"/>
  <c r="O84" i="47"/>
  <c r="O85" i="47"/>
  <c r="O86" i="47"/>
  <c r="O87" i="47"/>
  <c r="O88" i="47"/>
  <c r="O89" i="47"/>
  <c r="O90" i="47"/>
  <c r="O133" i="47"/>
  <c r="O92" i="47"/>
  <c r="O93" i="47"/>
  <c r="O94" i="47"/>
  <c r="O95" i="47"/>
  <c r="O96" i="47"/>
  <c r="O97" i="47"/>
  <c r="O98" i="47"/>
  <c r="O99" i="47"/>
  <c r="O100" i="47"/>
  <c r="O101" i="47"/>
  <c r="O102" i="47"/>
  <c r="O103" i="47"/>
  <c r="O104" i="47"/>
  <c r="O105" i="47"/>
  <c r="O106" i="47"/>
  <c r="O107" i="47"/>
  <c r="O108" i="47"/>
  <c r="O109" i="47"/>
  <c r="O110" i="47"/>
  <c r="O111" i="47"/>
  <c r="O112" i="47"/>
  <c r="O113" i="47"/>
  <c r="O114" i="47"/>
  <c r="O115" i="47"/>
  <c r="O116" i="47"/>
  <c r="O117" i="47"/>
  <c r="O118" i="47"/>
  <c r="O119" i="47"/>
  <c r="O120" i="47"/>
  <c r="O121" i="47"/>
  <c r="O122" i="47"/>
  <c r="O123" i="47"/>
  <c r="O124" i="47"/>
  <c r="O125" i="47"/>
  <c r="O126" i="47"/>
  <c r="O127" i="47"/>
  <c r="O128" i="47"/>
  <c r="O129" i="47"/>
  <c r="O130" i="47"/>
  <c r="O131" i="47"/>
  <c r="O132" i="47"/>
  <c r="O134" i="47"/>
  <c r="O135" i="47"/>
  <c r="O137" i="47"/>
  <c r="O138" i="47"/>
  <c r="O139" i="47"/>
  <c r="O140" i="47"/>
  <c r="O141" i="47"/>
  <c r="O142" i="47"/>
  <c r="O143" i="47"/>
  <c r="O144" i="47"/>
  <c r="O145" i="47"/>
  <c r="O146" i="47"/>
  <c r="O147" i="47"/>
  <c r="O148" i="47"/>
  <c r="O149" i="47"/>
  <c r="O150" i="47"/>
  <c r="O151" i="47"/>
  <c r="O152" i="47"/>
  <c r="O153" i="47"/>
  <c r="O154" i="47"/>
  <c r="O156" i="47"/>
  <c r="O157" i="47"/>
  <c r="O158" i="47"/>
  <c r="O159" i="47"/>
  <c r="O160" i="47"/>
  <c r="O161" i="47"/>
  <c r="O162" i="47"/>
  <c r="O78" i="47"/>
  <c r="O163" i="47"/>
  <c r="O164" i="47"/>
  <c r="O165" i="47"/>
  <c r="O166" i="47"/>
  <c r="O167" i="47"/>
  <c r="O168" i="47"/>
  <c r="O169" i="47"/>
  <c r="O170" i="47"/>
  <c r="O171" i="47"/>
  <c r="O172" i="47"/>
  <c r="O173" i="47"/>
  <c r="O174" i="47"/>
  <c r="O175" i="47"/>
  <c r="O176" i="47"/>
  <c r="O177" i="47"/>
  <c r="O178" i="47"/>
  <c r="O179" i="47"/>
  <c r="O180" i="47"/>
  <c r="O181" i="47"/>
  <c r="O182" i="47"/>
  <c r="O183" i="47"/>
  <c r="O184" i="47"/>
  <c r="O185" i="47"/>
  <c r="O186" i="47"/>
  <c r="O187" i="47"/>
  <c r="O188" i="47"/>
  <c r="O189" i="47"/>
  <c r="O190" i="47"/>
  <c r="O191" i="47"/>
  <c r="O192" i="47"/>
  <c r="O193" i="47"/>
  <c r="O194" i="47"/>
  <c r="O195" i="47"/>
  <c r="O196" i="47"/>
  <c r="O197" i="47"/>
  <c r="O198" i="47"/>
  <c r="O199" i="47"/>
  <c r="O200" i="47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6" i="3"/>
  <c r="F117" i="3"/>
  <c r="F118" i="3"/>
  <c r="F119" i="3"/>
  <c r="F120" i="3"/>
  <c r="AA3" i="45"/>
  <c r="AB3" i="45" s="1"/>
  <c r="AC3" i="45" s="1"/>
  <c r="AD3" i="45" s="1"/>
  <c r="AA4" i="45"/>
  <c r="AB4" i="45" s="1"/>
  <c r="AC4" i="45" s="1"/>
  <c r="AD4" i="45" s="1"/>
  <c r="AA5" i="45"/>
  <c r="AB5" i="45" s="1"/>
  <c r="AC5" i="45" s="1"/>
  <c r="AD5" i="45" s="1"/>
  <c r="AA6" i="45"/>
  <c r="AB6" i="45" s="1"/>
  <c r="AC6" i="45" s="1"/>
  <c r="AD6" i="45" s="1"/>
  <c r="AA7" i="45"/>
  <c r="AB7" i="45" s="1"/>
  <c r="AC7" i="45" s="1"/>
  <c r="AD7" i="45" s="1"/>
  <c r="AA8" i="45"/>
  <c r="AB8" i="45" s="1"/>
  <c r="AC8" i="45" s="1"/>
  <c r="AD8" i="45" s="1"/>
  <c r="AA9" i="45"/>
  <c r="AB9" i="45" s="1"/>
  <c r="AC9" i="45" s="1"/>
  <c r="AD9" i="45" s="1"/>
  <c r="AA10" i="45"/>
  <c r="AB10" i="45" s="1"/>
  <c r="AC10" i="45" s="1"/>
  <c r="AD10" i="45" s="1"/>
  <c r="AA11" i="45"/>
  <c r="AB11" i="45" s="1"/>
  <c r="AC11" i="45" s="1"/>
  <c r="AD11" i="45" s="1"/>
  <c r="AA12" i="45"/>
  <c r="AB12" i="45" s="1"/>
  <c r="AC12" i="45" s="1"/>
  <c r="AD12" i="45" s="1"/>
  <c r="AA13" i="45"/>
  <c r="AB13" i="45" s="1"/>
  <c r="AC13" i="45" s="1"/>
  <c r="AD13" i="45" s="1"/>
  <c r="AA14" i="45"/>
  <c r="AB14" i="45" s="1"/>
  <c r="AC14" i="45" s="1"/>
  <c r="AD14" i="45" s="1"/>
  <c r="AA15" i="45"/>
  <c r="AB15" i="45" s="1"/>
  <c r="AC15" i="45" s="1"/>
  <c r="AD15" i="45" s="1"/>
  <c r="AA16" i="45"/>
  <c r="AB16" i="45" s="1"/>
  <c r="AC16" i="45" s="1"/>
  <c r="AD16" i="45" s="1"/>
  <c r="AA17" i="45"/>
  <c r="AB17" i="45" s="1"/>
  <c r="AC17" i="45" s="1"/>
  <c r="AD17" i="45" s="1"/>
  <c r="AA18" i="45"/>
  <c r="AB18" i="45" s="1"/>
  <c r="AC18" i="45" s="1"/>
  <c r="AD18" i="45" s="1"/>
  <c r="AA19" i="45"/>
  <c r="AB19" i="45" s="1"/>
  <c r="AC19" i="45" s="1"/>
  <c r="AD19" i="45" s="1"/>
  <c r="AA20" i="45"/>
  <c r="AB20" i="45" s="1"/>
  <c r="AC20" i="45" s="1"/>
  <c r="AD20" i="45" s="1"/>
  <c r="AA21" i="45"/>
  <c r="AB21" i="45" s="1"/>
  <c r="AC21" i="45" s="1"/>
  <c r="AD21" i="45" s="1"/>
  <c r="AA22" i="45"/>
  <c r="AB22" i="45" s="1"/>
  <c r="AC22" i="45" s="1"/>
  <c r="AD22" i="45" s="1"/>
  <c r="AA23" i="45"/>
  <c r="AB23" i="45" s="1"/>
  <c r="AC23" i="45" s="1"/>
  <c r="AD23" i="45" s="1"/>
  <c r="AA24" i="45"/>
  <c r="AB24" i="45" s="1"/>
  <c r="AC24" i="45" s="1"/>
  <c r="AD24" i="45" s="1"/>
  <c r="AA25" i="45"/>
  <c r="AB25" i="45" s="1"/>
  <c r="AC25" i="45" s="1"/>
  <c r="AD25" i="45" s="1"/>
  <c r="AA26" i="45"/>
  <c r="AB26" i="45" s="1"/>
  <c r="AC26" i="45" s="1"/>
  <c r="AD26" i="45" s="1"/>
  <c r="AA27" i="45"/>
  <c r="AB27" i="45" s="1"/>
  <c r="AC27" i="45" s="1"/>
  <c r="AD27" i="45" s="1"/>
  <c r="AA28" i="45"/>
  <c r="AB28" i="45" s="1"/>
  <c r="AC28" i="45" s="1"/>
  <c r="AD28" i="45" s="1"/>
  <c r="AA29" i="45"/>
  <c r="AB29" i="45" s="1"/>
  <c r="AC29" i="45" s="1"/>
  <c r="AD29" i="45" s="1"/>
  <c r="AA30" i="45"/>
  <c r="AB30" i="45" s="1"/>
  <c r="AC30" i="45" s="1"/>
  <c r="AD30" i="45" s="1"/>
  <c r="AA31" i="45"/>
  <c r="AB31" i="45" s="1"/>
  <c r="AC31" i="45" s="1"/>
  <c r="AD31" i="45" s="1"/>
  <c r="AA32" i="45"/>
  <c r="AB32" i="45" s="1"/>
  <c r="AC32" i="45" s="1"/>
  <c r="AD32" i="45" s="1"/>
  <c r="AA33" i="45"/>
  <c r="AB33" i="45" s="1"/>
  <c r="AC33" i="45" s="1"/>
  <c r="AD33" i="45" s="1"/>
  <c r="AA34" i="45"/>
  <c r="AB34" i="45" s="1"/>
  <c r="AC34" i="45" s="1"/>
  <c r="AD34" i="45" s="1"/>
  <c r="AA35" i="45"/>
  <c r="AB35" i="45" s="1"/>
  <c r="AC35" i="45" s="1"/>
  <c r="AD35" i="45" s="1"/>
  <c r="AA36" i="45"/>
  <c r="AB36" i="45" s="1"/>
  <c r="AC36" i="45" s="1"/>
  <c r="AD36" i="45" s="1"/>
  <c r="AA37" i="45"/>
  <c r="AB37" i="45" s="1"/>
  <c r="AC37" i="45" s="1"/>
  <c r="AD37" i="45" s="1"/>
  <c r="AA38" i="45"/>
  <c r="AB38" i="45" s="1"/>
  <c r="AC38" i="45" s="1"/>
  <c r="AD38" i="45" s="1"/>
  <c r="AA39" i="45"/>
  <c r="AB39" i="45" s="1"/>
  <c r="AC39" i="45" s="1"/>
  <c r="AD39" i="45" s="1"/>
  <c r="AA40" i="45"/>
  <c r="AB40" i="45" s="1"/>
  <c r="AC40" i="45" s="1"/>
  <c r="AD40" i="45" s="1"/>
  <c r="AA41" i="45"/>
  <c r="AB41" i="45" s="1"/>
  <c r="AC41" i="45" s="1"/>
  <c r="AD41" i="45" s="1"/>
  <c r="AA42" i="45"/>
  <c r="AB42" i="45" s="1"/>
  <c r="AC42" i="45" s="1"/>
  <c r="AD42" i="45" s="1"/>
  <c r="AA43" i="45"/>
  <c r="AB43" i="45" s="1"/>
  <c r="AC43" i="45" s="1"/>
  <c r="AD43" i="45" s="1"/>
  <c r="AA44" i="45"/>
  <c r="AB44" i="45" s="1"/>
  <c r="AC44" i="45" s="1"/>
  <c r="AD44" i="45" s="1"/>
  <c r="AA45" i="45"/>
  <c r="AB45" i="45" s="1"/>
  <c r="AC45" i="45" s="1"/>
  <c r="AD45" i="45" s="1"/>
  <c r="AA46" i="45"/>
  <c r="AB46" i="45" s="1"/>
  <c r="AC46" i="45" s="1"/>
  <c r="AD46" i="45" s="1"/>
  <c r="AA47" i="45"/>
  <c r="AB47" i="45" s="1"/>
  <c r="AC47" i="45" s="1"/>
  <c r="AD47" i="45" s="1"/>
  <c r="AA48" i="45"/>
  <c r="AB48" i="45" s="1"/>
  <c r="AC48" i="45" s="1"/>
  <c r="AD48" i="45" s="1"/>
  <c r="AA49" i="45"/>
  <c r="AB49" i="45" s="1"/>
  <c r="AC49" i="45" s="1"/>
  <c r="AD49" i="45" s="1"/>
  <c r="AA50" i="45"/>
  <c r="AB50" i="45" s="1"/>
  <c r="AC50" i="45" s="1"/>
  <c r="AD50" i="45" s="1"/>
  <c r="AA51" i="45"/>
  <c r="AB51" i="45" s="1"/>
  <c r="AC51" i="45" s="1"/>
  <c r="AD51" i="45" s="1"/>
  <c r="AA52" i="45"/>
  <c r="AB52" i="45" s="1"/>
  <c r="AC52" i="45" s="1"/>
  <c r="AD52" i="45" s="1"/>
  <c r="AA53" i="45"/>
  <c r="AB53" i="45" s="1"/>
  <c r="AC53" i="45" s="1"/>
  <c r="AD53" i="45" s="1"/>
  <c r="AA54" i="45"/>
  <c r="AB54" i="45" s="1"/>
  <c r="AC54" i="45" s="1"/>
  <c r="AD54" i="45" s="1"/>
  <c r="AA55" i="45"/>
  <c r="AB55" i="45" s="1"/>
  <c r="AC55" i="45" s="1"/>
  <c r="AD55" i="45" s="1"/>
  <c r="AA56" i="45"/>
  <c r="AB56" i="45" s="1"/>
  <c r="AC56" i="45" s="1"/>
  <c r="AD56" i="45" s="1"/>
  <c r="O3" i="45"/>
  <c r="O4" i="45"/>
  <c r="O5" i="45"/>
  <c r="O6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5" i="45"/>
  <c r="O46" i="45"/>
  <c r="O47" i="45"/>
  <c r="O48" i="45"/>
  <c r="O49" i="45"/>
  <c r="O50" i="45"/>
  <c r="O51" i="45"/>
  <c r="O52" i="45"/>
  <c r="O53" i="45"/>
  <c r="O54" i="45"/>
  <c r="O55" i="45"/>
  <c r="O56" i="45"/>
  <c r="H3" i="44"/>
  <c r="H4" i="44"/>
  <c r="H5" i="44"/>
  <c r="H6" i="44"/>
  <c r="H7" i="44"/>
  <c r="H8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H27" i="44"/>
  <c r="H28" i="44"/>
  <c r="H29" i="44"/>
  <c r="H30" i="44"/>
  <c r="H31" i="44"/>
  <c r="H32" i="44"/>
  <c r="H33" i="44"/>
  <c r="H34" i="44"/>
  <c r="H35" i="44"/>
  <c r="H36" i="44"/>
  <c r="H37" i="44"/>
  <c r="H38" i="44"/>
  <c r="H39" i="44"/>
  <c r="H40" i="44"/>
  <c r="H41" i="44"/>
  <c r="H42" i="44"/>
  <c r="H43" i="44"/>
  <c r="H44" i="44"/>
  <c r="H45" i="44"/>
  <c r="H46" i="44"/>
  <c r="H47" i="44"/>
  <c r="H48" i="44"/>
  <c r="H49" i="44"/>
  <c r="H50" i="44"/>
  <c r="H51" i="44"/>
  <c r="H52" i="44"/>
  <c r="H53" i="44"/>
  <c r="H54" i="44"/>
  <c r="H55" i="44"/>
  <c r="H56" i="44"/>
  <c r="G3" i="44"/>
  <c r="G4" i="44"/>
  <c r="G5" i="44"/>
  <c r="G6" i="44"/>
  <c r="G7" i="44"/>
  <c r="G8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39" i="44"/>
  <c r="G40" i="44"/>
  <c r="G41" i="44"/>
  <c r="G42" i="44"/>
  <c r="G43" i="44"/>
  <c r="G44" i="44"/>
  <c r="G45" i="44"/>
  <c r="G46" i="44"/>
  <c r="G47" i="44"/>
  <c r="G48" i="44"/>
  <c r="G49" i="44"/>
  <c r="G50" i="44"/>
  <c r="G51" i="44"/>
  <c r="G52" i="44"/>
  <c r="G53" i="44"/>
  <c r="G54" i="44"/>
  <c r="G55" i="44"/>
  <c r="G56" i="44"/>
  <c r="F3" i="44"/>
  <c r="F4" i="44"/>
  <c r="F5" i="44"/>
  <c r="F6" i="44"/>
  <c r="F7" i="44"/>
  <c r="F8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47" i="44"/>
  <c r="F48" i="44"/>
  <c r="F49" i="44"/>
  <c r="F50" i="44"/>
  <c r="F51" i="44"/>
  <c r="F52" i="44"/>
  <c r="F53" i="44"/>
  <c r="F54" i="44"/>
  <c r="F55" i="44"/>
  <c r="F56" i="44"/>
  <c r="AA3" i="34"/>
  <c r="AB3" i="34" s="1"/>
  <c r="AC3" i="34" s="1"/>
  <c r="AD3" i="34" s="1"/>
  <c r="AA4" i="34"/>
  <c r="AB4" i="34" s="1"/>
  <c r="AC4" i="34" s="1"/>
  <c r="AD4" i="34" s="1"/>
  <c r="AA5" i="34"/>
  <c r="AB5" i="34" s="1"/>
  <c r="AC5" i="34" s="1"/>
  <c r="AD5" i="34" s="1"/>
  <c r="AA6" i="34"/>
  <c r="AB6" i="34" s="1"/>
  <c r="AC6" i="34" s="1"/>
  <c r="AD6" i="34" s="1"/>
  <c r="AA7" i="34"/>
  <c r="AB7" i="34" s="1"/>
  <c r="AC7" i="34" s="1"/>
  <c r="AD7" i="34" s="1"/>
  <c r="AA8" i="34"/>
  <c r="AB8" i="34" s="1"/>
  <c r="AC8" i="34" s="1"/>
  <c r="AD8" i="34" s="1"/>
  <c r="AA9" i="34"/>
  <c r="AB9" i="34" s="1"/>
  <c r="AC9" i="34" s="1"/>
  <c r="AD9" i="34" s="1"/>
  <c r="AA10" i="34"/>
  <c r="AB10" i="34" s="1"/>
  <c r="AC10" i="34" s="1"/>
  <c r="AD10" i="34" s="1"/>
  <c r="AA11" i="34"/>
  <c r="AB11" i="34" s="1"/>
  <c r="AC11" i="34" s="1"/>
  <c r="AD11" i="34" s="1"/>
  <c r="AA12" i="34"/>
  <c r="AB12" i="34" s="1"/>
  <c r="AC12" i="34" s="1"/>
  <c r="AD12" i="34" s="1"/>
  <c r="AA13" i="34"/>
  <c r="AB13" i="34" s="1"/>
  <c r="AC13" i="34" s="1"/>
  <c r="AD13" i="34" s="1"/>
  <c r="AA14" i="34"/>
  <c r="AB14" i="34" s="1"/>
  <c r="AC14" i="34" s="1"/>
  <c r="AD14" i="34" s="1"/>
  <c r="AA15" i="34"/>
  <c r="AB15" i="34" s="1"/>
  <c r="AC15" i="34" s="1"/>
  <c r="AD15" i="34" s="1"/>
  <c r="AA16" i="34"/>
  <c r="AB16" i="34" s="1"/>
  <c r="AC16" i="34" s="1"/>
  <c r="AD16" i="34" s="1"/>
  <c r="AA17" i="34"/>
  <c r="AB17" i="34" s="1"/>
  <c r="AC17" i="34" s="1"/>
  <c r="AD17" i="34" s="1"/>
  <c r="AA18" i="34"/>
  <c r="AB18" i="34" s="1"/>
  <c r="AC18" i="34" s="1"/>
  <c r="AD18" i="34" s="1"/>
  <c r="AA19" i="34"/>
  <c r="AB19" i="34" s="1"/>
  <c r="AC19" i="34" s="1"/>
  <c r="AD19" i="34" s="1"/>
  <c r="AA20" i="34"/>
  <c r="AB20" i="34" s="1"/>
  <c r="AC20" i="34" s="1"/>
  <c r="AD20" i="34" s="1"/>
  <c r="AA21" i="34"/>
  <c r="AB21" i="34" s="1"/>
  <c r="AC21" i="34" s="1"/>
  <c r="AD21" i="34" s="1"/>
  <c r="AA22" i="34"/>
  <c r="AB22" i="34" s="1"/>
  <c r="AC22" i="34" s="1"/>
  <c r="AD22" i="34" s="1"/>
  <c r="AA23" i="34"/>
  <c r="AB23" i="34" s="1"/>
  <c r="AC23" i="34" s="1"/>
  <c r="AD23" i="34" s="1"/>
  <c r="AA24" i="34"/>
  <c r="AB24" i="34" s="1"/>
  <c r="AC24" i="34" s="1"/>
  <c r="AD24" i="34" s="1"/>
  <c r="AA25" i="34"/>
  <c r="AB25" i="34" s="1"/>
  <c r="AC25" i="34" s="1"/>
  <c r="AD25" i="34" s="1"/>
  <c r="AA26" i="34"/>
  <c r="AB26" i="34" s="1"/>
  <c r="AC26" i="34" s="1"/>
  <c r="AD26" i="34" s="1"/>
  <c r="AA27" i="34"/>
  <c r="AB27" i="34" s="1"/>
  <c r="AC27" i="34" s="1"/>
  <c r="AD27" i="34" s="1"/>
  <c r="AA28" i="34"/>
  <c r="AB28" i="34" s="1"/>
  <c r="AC28" i="34" s="1"/>
  <c r="AD28" i="34" s="1"/>
  <c r="AA29" i="34"/>
  <c r="AB29" i="34" s="1"/>
  <c r="AC29" i="34" s="1"/>
  <c r="AD29" i="34" s="1"/>
  <c r="AA30" i="34"/>
  <c r="AB30" i="34" s="1"/>
  <c r="AC30" i="34" s="1"/>
  <c r="AD30" i="34" s="1"/>
  <c r="AA31" i="34"/>
  <c r="AB31" i="34" s="1"/>
  <c r="AC31" i="34" s="1"/>
  <c r="AD31" i="34" s="1"/>
  <c r="AA32" i="34"/>
  <c r="AB32" i="34" s="1"/>
  <c r="AC32" i="34" s="1"/>
  <c r="AD32" i="34" s="1"/>
  <c r="AA33" i="34"/>
  <c r="AB33" i="34" s="1"/>
  <c r="AC33" i="34" s="1"/>
  <c r="AD33" i="34" s="1"/>
  <c r="AA34" i="34"/>
  <c r="AB34" i="34" s="1"/>
  <c r="AC34" i="34" s="1"/>
  <c r="AD34" i="34" s="1"/>
  <c r="AA35" i="34"/>
  <c r="AB35" i="34" s="1"/>
  <c r="AC35" i="34" s="1"/>
  <c r="AD35" i="34" s="1"/>
  <c r="AA36" i="34"/>
  <c r="AB36" i="34" s="1"/>
  <c r="AC36" i="34" s="1"/>
  <c r="AD36" i="34" s="1"/>
  <c r="AA37" i="34"/>
  <c r="AB37" i="34" s="1"/>
  <c r="AC37" i="34" s="1"/>
  <c r="AD37" i="34" s="1"/>
  <c r="AA38" i="34"/>
  <c r="AB38" i="34" s="1"/>
  <c r="AC38" i="34" s="1"/>
  <c r="AD38" i="34" s="1"/>
  <c r="AA39" i="34"/>
  <c r="AB39" i="34" s="1"/>
  <c r="AC39" i="34" s="1"/>
  <c r="AD39" i="34" s="1"/>
  <c r="AA40" i="34"/>
  <c r="AB40" i="34" s="1"/>
  <c r="AC40" i="34" s="1"/>
  <c r="AD40" i="34" s="1"/>
  <c r="AA41" i="34"/>
  <c r="AB41" i="34" s="1"/>
  <c r="AC41" i="34" s="1"/>
  <c r="AD41" i="34" s="1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AA3" i="32"/>
  <c r="AB3" i="32" s="1"/>
  <c r="AC3" i="32" s="1"/>
  <c r="AD3" i="32" s="1"/>
  <c r="AA4" i="32"/>
  <c r="AB4" i="32" s="1"/>
  <c r="AC4" i="32" s="1"/>
  <c r="AD4" i="32" s="1"/>
  <c r="AA5" i="32"/>
  <c r="AB5" i="32" s="1"/>
  <c r="AC5" i="32" s="1"/>
  <c r="AD5" i="32" s="1"/>
  <c r="AA6" i="32"/>
  <c r="AB6" i="32" s="1"/>
  <c r="AC6" i="32" s="1"/>
  <c r="AD6" i="32" s="1"/>
  <c r="AA7" i="32"/>
  <c r="AB7" i="32" s="1"/>
  <c r="AC7" i="32" s="1"/>
  <c r="AD7" i="32" s="1"/>
  <c r="AA8" i="32"/>
  <c r="AB8" i="32" s="1"/>
  <c r="AC8" i="32" s="1"/>
  <c r="AD8" i="32" s="1"/>
  <c r="AA9" i="32"/>
  <c r="AB9" i="32" s="1"/>
  <c r="AC9" i="32" s="1"/>
  <c r="AD9" i="32" s="1"/>
  <c r="AA10" i="32"/>
  <c r="AB10" i="32" s="1"/>
  <c r="AC10" i="32" s="1"/>
  <c r="AD10" i="32" s="1"/>
  <c r="AA11" i="32"/>
  <c r="AB11" i="32" s="1"/>
  <c r="AC11" i="32" s="1"/>
  <c r="AD11" i="32" s="1"/>
  <c r="AA12" i="32"/>
  <c r="AB12" i="32" s="1"/>
  <c r="AC12" i="32" s="1"/>
  <c r="AD12" i="32" s="1"/>
  <c r="AA13" i="32"/>
  <c r="AB13" i="32" s="1"/>
  <c r="AC13" i="32" s="1"/>
  <c r="AD13" i="32" s="1"/>
  <c r="AA14" i="32"/>
  <c r="AB14" i="32" s="1"/>
  <c r="AC14" i="32" s="1"/>
  <c r="AD14" i="32" s="1"/>
  <c r="AA15" i="32"/>
  <c r="AB15" i="32" s="1"/>
  <c r="AC15" i="32" s="1"/>
  <c r="AD15" i="32" s="1"/>
  <c r="AA16" i="32"/>
  <c r="AB16" i="32" s="1"/>
  <c r="AC16" i="32" s="1"/>
  <c r="AD16" i="32" s="1"/>
  <c r="AA17" i="32"/>
  <c r="AB17" i="32" s="1"/>
  <c r="AC17" i="32" s="1"/>
  <c r="AD17" i="32" s="1"/>
  <c r="AA18" i="32"/>
  <c r="AB18" i="32" s="1"/>
  <c r="AC18" i="32" s="1"/>
  <c r="AD18" i="32" s="1"/>
  <c r="AA19" i="32"/>
  <c r="AB19" i="32" s="1"/>
  <c r="AC19" i="32" s="1"/>
  <c r="AD19" i="32" s="1"/>
  <c r="AA20" i="32"/>
  <c r="AB20" i="32" s="1"/>
  <c r="AC20" i="32" s="1"/>
  <c r="AD20" i="32" s="1"/>
  <c r="AA21" i="32"/>
  <c r="AB21" i="32" s="1"/>
  <c r="AC21" i="32" s="1"/>
  <c r="AD21" i="32" s="1"/>
  <c r="AA22" i="32"/>
  <c r="AB22" i="32" s="1"/>
  <c r="AC22" i="32" s="1"/>
  <c r="AD22" i="32" s="1"/>
  <c r="AA23" i="32"/>
  <c r="AB23" i="32" s="1"/>
  <c r="AC23" i="32" s="1"/>
  <c r="AD23" i="32" s="1"/>
  <c r="AA24" i="32"/>
  <c r="AB24" i="32" s="1"/>
  <c r="AC24" i="32" s="1"/>
  <c r="AD24" i="32" s="1"/>
  <c r="AA25" i="32"/>
  <c r="AB25" i="32" s="1"/>
  <c r="AC25" i="32" s="1"/>
  <c r="AD25" i="32" s="1"/>
  <c r="AA26" i="32"/>
  <c r="AB26" i="32" s="1"/>
  <c r="AC26" i="32" s="1"/>
  <c r="AD26" i="32" s="1"/>
  <c r="AA27" i="32"/>
  <c r="AB27" i="32" s="1"/>
  <c r="AC27" i="32" s="1"/>
  <c r="AD27" i="32" s="1"/>
  <c r="O3" i="32"/>
  <c r="O4" i="32"/>
  <c r="O5" i="32"/>
  <c r="O6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7" i="32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AA3" i="36"/>
  <c r="AB3" i="36" s="1"/>
  <c r="AC3" i="36" s="1"/>
  <c r="AD3" i="36" s="1"/>
  <c r="AA4" i="36"/>
  <c r="AB4" i="36" s="1"/>
  <c r="AC4" i="36" s="1"/>
  <c r="AD4" i="36" s="1"/>
  <c r="AA5" i="36"/>
  <c r="AB5" i="36" s="1"/>
  <c r="AC5" i="36" s="1"/>
  <c r="AD5" i="36" s="1"/>
  <c r="AA7" i="36"/>
  <c r="AB7" i="36" s="1"/>
  <c r="AC7" i="36" s="1"/>
  <c r="AD7" i="36" s="1"/>
  <c r="AA8" i="36"/>
  <c r="AB8" i="36" s="1"/>
  <c r="AC8" i="36" s="1"/>
  <c r="AD8" i="36" s="1"/>
  <c r="AA9" i="36"/>
  <c r="AB9" i="36" s="1"/>
  <c r="AC9" i="36" s="1"/>
  <c r="AD9" i="36" s="1"/>
  <c r="AA10" i="36"/>
  <c r="AB10" i="36" s="1"/>
  <c r="AC10" i="36" s="1"/>
  <c r="AD10" i="36" s="1"/>
  <c r="AA11" i="36"/>
  <c r="AB11" i="36" s="1"/>
  <c r="AC11" i="36" s="1"/>
  <c r="AD11" i="36" s="1"/>
  <c r="AA12" i="36"/>
  <c r="AB12" i="36" s="1"/>
  <c r="AC12" i="36" s="1"/>
  <c r="AD12" i="36" s="1"/>
  <c r="AA13" i="36"/>
  <c r="AB13" i="36" s="1"/>
  <c r="AC13" i="36" s="1"/>
  <c r="AD13" i="36" s="1"/>
  <c r="AA14" i="36"/>
  <c r="AB14" i="36" s="1"/>
  <c r="AC14" i="36" s="1"/>
  <c r="AD14" i="36" s="1"/>
  <c r="AA15" i="36"/>
  <c r="AB15" i="36" s="1"/>
  <c r="AC15" i="36" s="1"/>
  <c r="AD15" i="36" s="1"/>
  <c r="AA16" i="36"/>
  <c r="AB16" i="36" s="1"/>
  <c r="AC16" i="36" s="1"/>
  <c r="AD16" i="36" s="1"/>
  <c r="AA17" i="36"/>
  <c r="AB17" i="36" s="1"/>
  <c r="AC17" i="36" s="1"/>
  <c r="AD17" i="36" s="1"/>
  <c r="AA18" i="36"/>
  <c r="AB18" i="36" s="1"/>
  <c r="AC18" i="36" s="1"/>
  <c r="AD18" i="36" s="1"/>
  <c r="AA19" i="36"/>
  <c r="AB19" i="36" s="1"/>
  <c r="AC19" i="36" s="1"/>
  <c r="AD19" i="36" s="1"/>
  <c r="AA20" i="36"/>
  <c r="AB20" i="36" s="1"/>
  <c r="AC20" i="36" s="1"/>
  <c r="AD20" i="36" s="1"/>
  <c r="AA21" i="36"/>
  <c r="AB21" i="36" s="1"/>
  <c r="AC21" i="36" s="1"/>
  <c r="AD21" i="36" s="1"/>
  <c r="AA22" i="36"/>
  <c r="AB22" i="36" s="1"/>
  <c r="AC22" i="36" s="1"/>
  <c r="AD22" i="36" s="1"/>
  <c r="AA23" i="36"/>
  <c r="AB23" i="36" s="1"/>
  <c r="AC23" i="36" s="1"/>
  <c r="AD23" i="36" s="1"/>
  <c r="AA24" i="36"/>
  <c r="AB24" i="36" s="1"/>
  <c r="AC24" i="36" s="1"/>
  <c r="AD24" i="36" s="1"/>
  <c r="AA29" i="36"/>
  <c r="AB29" i="36" s="1"/>
  <c r="AC29" i="36" s="1"/>
  <c r="AD29" i="36" s="1"/>
  <c r="O3" i="36"/>
  <c r="O4" i="36"/>
  <c r="O5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9" i="36"/>
  <c r="H3" i="35"/>
  <c r="H4" i="35"/>
  <c r="H5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9" i="35"/>
  <c r="G3" i="35"/>
  <c r="G4" i="35"/>
  <c r="G5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9" i="35"/>
  <c r="F3" i="35"/>
  <c r="F4" i="35"/>
  <c r="F5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9" i="35"/>
  <c r="AA3" i="25"/>
  <c r="AB3" i="25" s="1"/>
  <c r="AC3" i="25" s="1"/>
  <c r="AD3" i="25" s="1"/>
  <c r="AA5" i="25"/>
  <c r="AB5" i="25" s="1"/>
  <c r="AC5" i="25" s="1"/>
  <c r="AD5" i="25" s="1"/>
  <c r="P5" i="25" s="1"/>
  <c r="AA7" i="25"/>
  <c r="AB7" i="25" s="1"/>
  <c r="AC7" i="25" s="1"/>
  <c r="AD7" i="25" s="1"/>
  <c r="AA8" i="25"/>
  <c r="AB8" i="25" s="1"/>
  <c r="AC8" i="25" s="1"/>
  <c r="AD8" i="25" s="1"/>
  <c r="AA9" i="25"/>
  <c r="AB9" i="25" s="1"/>
  <c r="AC9" i="25" s="1"/>
  <c r="AD9" i="25" s="1"/>
  <c r="AA10" i="25"/>
  <c r="AB10" i="25" s="1"/>
  <c r="AC10" i="25" s="1"/>
  <c r="AD10" i="25" s="1"/>
  <c r="AA11" i="25"/>
  <c r="AB11" i="25" s="1"/>
  <c r="AC11" i="25" s="1"/>
  <c r="AD11" i="25" s="1"/>
  <c r="AA12" i="25"/>
  <c r="AB12" i="25" s="1"/>
  <c r="AC12" i="25" s="1"/>
  <c r="AD12" i="25" s="1"/>
  <c r="AA13" i="25"/>
  <c r="AB13" i="25" s="1"/>
  <c r="AC13" i="25" s="1"/>
  <c r="AD13" i="25" s="1"/>
  <c r="AA14" i="25"/>
  <c r="AB14" i="25" s="1"/>
  <c r="AC14" i="25" s="1"/>
  <c r="AD14" i="25" s="1"/>
  <c r="AA15" i="25"/>
  <c r="AB15" i="25" s="1"/>
  <c r="AC15" i="25" s="1"/>
  <c r="AD15" i="25" s="1"/>
  <c r="AA16" i="25"/>
  <c r="AB16" i="25" s="1"/>
  <c r="AC16" i="25" s="1"/>
  <c r="AD16" i="25" s="1"/>
  <c r="AA17" i="25"/>
  <c r="AB17" i="25" s="1"/>
  <c r="AC17" i="25" s="1"/>
  <c r="AD17" i="25" s="1"/>
  <c r="AA18" i="25"/>
  <c r="AB18" i="25" s="1"/>
  <c r="AC18" i="25" s="1"/>
  <c r="AD18" i="25" s="1"/>
  <c r="AA19" i="25"/>
  <c r="AB19" i="25" s="1"/>
  <c r="AC19" i="25" s="1"/>
  <c r="AD19" i="25" s="1"/>
  <c r="AA20" i="25"/>
  <c r="AB20" i="25" s="1"/>
  <c r="AC20" i="25" s="1"/>
  <c r="AD20" i="25" s="1"/>
  <c r="AA42" i="25"/>
  <c r="AB42" i="25" s="1"/>
  <c r="AC42" i="25" s="1"/>
  <c r="AD42" i="25" s="1"/>
  <c r="AA21" i="25"/>
  <c r="AB21" i="25" s="1"/>
  <c r="AC21" i="25" s="1"/>
  <c r="AD21" i="25" s="1"/>
  <c r="AA28" i="25"/>
  <c r="AB28" i="25" s="1"/>
  <c r="AC28" i="25" s="1"/>
  <c r="AD28" i="25" s="1"/>
  <c r="AA22" i="25"/>
  <c r="AB22" i="25" s="1"/>
  <c r="AC22" i="25" s="1"/>
  <c r="AD22" i="25" s="1"/>
  <c r="AA23" i="25"/>
  <c r="AB23" i="25" s="1"/>
  <c r="AC23" i="25" s="1"/>
  <c r="AD23" i="25" s="1"/>
  <c r="AA25" i="25"/>
  <c r="AB25" i="25" s="1"/>
  <c r="AC25" i="25" s="1"/>
  <c r="AD25" i="25" s="1"/>
  <c r="AA26" i="25"/>
  <c r="AB26" i="25" s="1"/>
  <c r="AC26" i="25" s="1"/>
  <c r="AD26" i="25" s="1"/>
  <c r="AA27" i="25"/>
  <c r="AB27" i="25" s="1"/>
  <c r="AC27" i="25" s="1"/>
  <c r="AD27" i="25" s="1"/>
  <c r="AA29" i="25"/>
  <c r="AB29" i="25" s="1"/>
  <c r="AC29" i="25" s="1"/>
  <c r="AD29" i="25" s="1"/>
  <c r="AA30" i="25"/>
  <c r="AB30" i="25" s="1"/>
  <c r="AC30" i="25" s="1"/>
  <c r="AD30" i="25" s="1"/>
  <c r="AA31" i="25"/>
  <c r="AB31" i="25" s="1"/>
  <c r="AC31" i="25" s="1"/>
  <c r="AD31" i="25" s="1"/>
  <c r="AA32" i="25"/>
  <c r="AB32" i="25" s="1"/>
  <c r="AC32" i="25" s="1"/>
  <c r="AD32" i="25" s="1"/>
  <c r="AA33" i="25"/>
  <c r="AB33" i="25" s="1"/>
  <c r="AC33" i="25" s="1"/>
  <c r="AD33" i="25" s="1"/>
  <c r="AA34" i="25"/>
  <c r="AB34" i="25" s="1"/>
  <c r="AC34" i="25" s="1"/>
  <c r="AD34" i="25" s="1"/>
  <c r="AA35" i="25"/>
  <c r="AB35" i="25" s="1"/>
  <c r="AC35" i="25" s="1"/>
  <c r="AD35" i="25" s="1"/>
  <c r="AA36" i="25"/>
  <c r="AB36" i="25" s="1"/>
  <c r="AC36" i="25" s="1"/>
  <c r="AD36" i="25" s="1"/>
  <c r="AA37" i="25"/>
  <c r="AB37" i="25" s="1"/>
  <c r="AC37" i="25" s="1"/>
  <c r="AD37" i="25" s="1"/>
  <c r="AA38" i="25"/>
  <c r="AB38" i="25" s="1"/>
  <c r="AC38" i="25" s="1"/>
  <c r="AD38" i="25" s="1"/>
  <c r="AA39" i="25"/>
  <c r="AB39" i="25" s="1"/>
  <c r="AC39" i="25" s="1"/>
  <c r="AD39" i="25" s="1"/>
  <c r="AA40" i="25"/>
  <c r="AB40" i="25" s="1"/>
  <c r="AC40" i="25" s="1"/>
  <c r="AD40" i="25" s="1"/>
  <c r="AA41" i="25"/>
  <c r="AB41" i="25" s="1"/>
  <c r="AC41" i="25" s="1"/>
  <c r="AD41" i="25" s="1"/>
  <c r="AA43" i="25"/>
  <c r="AB43" i="25" s="1"/>
  <c r="AC43" i="25" s="1"/>
  <c r="AD43" i="25" s="1"/>
  <c r="AA44" i="25"/>
  <c r="AB44" i="25" s="1"/>
  <c r="AC44" i="25" s="1"/>
  <c r="AD44" i="25" s="1"/>
  <c r="AA45" i="25"/>
  <c r="AB45" i="25" s="1"/>
  <c r="AC45" i="25" s="1"/>
  <c r="AD45" i="25" s="1"/>
  <c r="AA47" i="25"/>
  <c r="AB47" i="25" s="1"/>
  <c r="AC47" i="25" s="1"/>
  <c r="AD47" i="25" s="1"/>
  <c r="AA48" i="25"/>
  <c r="AB48" i="25" s="1"/>
  <c r="AC48" i="25" s="1"/>
  <c r="AD48" i="25" s="1"/>
  <c r="AA49" i="25"/>
  <c r="AB49" i="25" s="1"/>
  <c r="AC49" i="25" s="1"/>
  <c r="AD49" i="25" s="1"/>
  <c r="AA50" i="25"/>
  <c r="AB50" i="25" s="1"/>
  <c r="AC50" i="25" s="1"/>
  <c r="AD50" i="25" s="1"/>
  <c r="AA51" i="25"/>
  <c r="AB51" i="25" s="1"/>
  <c r="AC51" i="25" s="1"/>
  <c r="AD51" i="25" s="1"/>
  <c r="AA52" i="25"/>
  <c r="AB52" i="25" s="1"/>
  <c r="AC52" i="25" s="1"/>
  <c r="AD52" i="25" s="1"/>
  <c r="AA53" i="25"/>
  <c r="AB53" i="25" s="1"/>
  <c r="AC53" i="25" s="1"/>
  <c r="AD53" i="25" s="1"/>
  <c r="AA54" i="25"/>
  <c r="AB54" i="25" s="1"/>
  <c r="AC54" i="25" s="1"/>
  <c r="AD54" i="25" s="1"/>
  <c r="AA55" i="25"/>
  <c r="AB55" i="25" s="1"/>
  <c r="AC55" i="25" s="1"/>
  <c r="AD55" i="25" s="1"/>
  <c r="AA56" i="25"/>
  <c r="AB56" i="25" s="1"/>
  <c r="AC56" i="25" s="1"/>
  <c r="AD56" i="25" s="1"/>
  <c r="AA57" i="25"/>
  <c r="AB57" i="25" s="1"/>
  <c r="AC57" i="25" s="1"/>
  <c r="AD57" i="25" s="1"/>
  <c r="AA58" i="25"/>
  <c r="AB58" i="25" s="1"/>
  <c r="AC58" i="25" s="1"/>
  <c r="AD58" i="25" s="1"/>
  <c r="AA59" i="25"/>
  <c r="AB59" i="25" s="1"/>
  <c r="AC59" i="25" s="1"/>
  <c r="AD59" i="25" s="1"/>
  <c r="AA60" i="25"/>
  <c r="AB60" i="25" s="1"/>
  <c r="AC60" i="25" s="1"/>
  <c r="AD60" i="25" s="1"/>
  <c r="AA61" i="25"/>
  <c r="AB61" i="25" s="1"/>
  <c r="AC61" i="25" s="1"/>
  <c r="AD61" i="25" s="1"/>
  <c r="AA62" i="25"/>
  <c r="AB62" i="25" s="1"/>
  <c r="AC62" i="25" s="1"/>
  <c r="AD62" i="25" s="1"/>
  <c r="AA63" i="25"/>
  <c r="AB63" i="25" s="1"/>
  <c r="AC63" i="25" s="1"/>
  <c r="AD63" i="25" s="1"/>
  <c r="AA64" i="25"/>
  <c r="AB64" i="25" s="1"/>
  <c r="AC64" i="25" s="1"/>
  <c r="AD64" i="25" s="1"/>
  <c r="AA65" i="25"/>
  <c r="AB65" i="25" s="1"/>
  <c r="AC65" i="25" s="1"/>
  <c r="AD65" i="25" s="1"/>
  <c r="AA66" i="25"/>
  <c r="AB66" i="25" s="1"/>
  <c r="AC66" i="25" s="1"/>
  <c r="AD66" i="25" s="1"/>
  <c r="AA67" i="25"/>
  <c r="AB67" i="25" s="1"/>
  <c r="AC67" i="25" s="1"/>
  <c r="AD67" i="25" s="1"/>
  <c r="AA68" i="25"/>
  <c r="AB68" i="25" s="1"/>
  <c r="AC68" i="25" s="1"/>
  <c r="AD68" i="25" s="1"/>
  <c r="AA69" i="25"/>
  <c r="AB69" i="25" s="1"/>
  <c r="AC69" i="25" s="1"/>
  <c r="AD69" i="25" s="1"/>
  <c r="AA70" i="25"/>
  <c r="AB70" i="25" s="1"/>
  <c r="AC70" i="25" s="1"/>
  <c r="AD70" i="25" s="1"/>
  <c r="AA71" i="25"/>
  <c r="AB71" i="25" s="1"/>
  <c r="AC71" i="25" s="1"/>
  <c r="AD71" i="25" s="1"/>
  <c r="AA72" i="25"/>
  <c r="AB72" i="25" s="1"/>
  <c r="AC72" i="25" s="1"/>
  <c r="AD72" i="25" s="1"/>
  <c r="AA73" i="25"/>
  <c r="AB73" i="25" s="1"/>
  <c r="AC73" i="25" s="1"/>
  <c r="AD73" i="25" s="1"/>
  <c r="AA74" i="25"/>
  <c r="AB74" i="25" s="1"/>
  <c r="AC74" i="25" s="1"/>
  <c r="AD74" i="25" s="1"/>
  <c r="AA75" i="25"/>
  <c r="AB75" i="25" s="1"/>
  <c r="AC75" i="25" s="1"/>
  <c r="AD75" i="25" s="1"/>
  <c r="AA76" i="25"/>
  <c r="AB76" i="25" s="1"/>
  <c r="AC76" i="25" s="1"/>
  <c r="AD76" i="25" s="1"/>
  <c r="AA77" i="25"/>
  <c r="AB77" i="25" s="1"/>
  <c r="AC77" i="25" s="1"/>
  <c r="AD77" i="25" s="1"/>
  <c r="AA78" i="25"/>
  <c r="AB78" i="25" s="1"/>
  <c r="AC78" i="25" s="1"/>
  <c r="AD78" i="25" s="1"/>
  <c r="AA79" i="25"/>
  <c r="AB79" i="25" s="1"/>
  <c r="AC79" i="25" s="1"/>
  <c r="AD79" i="25" s="1"/>
  <c r="AA80" i="25"/>
  <c r="AB80" i="25" s="1"/>
  <c r="AC80" i="25" s="1"/>
  <c r="AD80" i="25" s="1"/>
  <c r="AA81" i="25"/>
  <c r="AB81" i="25" s="1"/>
  <c r="AC81" i="25" s="1"/>
  <c r="AD81" i="25" s="1"/>
  <c r="AA82" i="25"/>
  <c r="AB82" i="25" s="1"/>
  <c r="AC82" i="25" s="1"/>
  <c r="AD82" i="25" s="1"/>
  <c r="AA83" i="25"/>
  <c r="AB83" i="25" s="1"/>
  <c r="AC83" i="25" s="1"/>
  <c r="AD83" i="25" s="1"/>
  <c r="AA84" i="25"/>
  <c r="AB84" i="25" s="1"/>
  <c r="AC84" i="25" s="1"/>
  <c r="AD84" i="25" s="1"/>
  <c r="AA85" i="25"/>
  <c r="AB85" i="25" s="1"/>
  <c r="AC85" i="25" s="1"/>
  <c r="AD85" i="25" s="1"/>
  <c r="AA86" i="25"/>
  <c r="AB86" i="25" s="1"/>
  <c r="AC86" i="25" s="1"/>
  <c r="AD86" i="25" s="1"/>
  <c r="AA87" i="25"/>
  <c r="AB87" i="25" s="1"/>
  <c r="AC87" i="25" s="1"/>
  <c r="AD87" i="25" s="1"/>
  <c r="AA88" i="25"/>
  <c r="AB88" i="25" s="1"/>
  <c r="AC88" i="25" s="1"/>
  <c r="AD88" i="25" s="1"/>
  <c r="AA89" i="25"/>
  <c r="AB89" i="25" s="1"/>
  <c r="AC89" i="25" s="1"/>
  <c r="AD89" i="25" s="1"/>
  <c r="AA90" i="25"/>
  <c r="AB90" i="25" s="1"/>
  <c r="AC90" i="25" s="1"/>
  <c r="AD90" i="25" s="1"/>
  <c r="AA91" i="25"/>
  <c r="AB91" i="25" s="1"/>
  <c r="AC91" i="25" s="1"/>
  <c r="AD91" i="25" s="1"/>
  <c r="AA92" i="25"/>
  <c r="AB92" i="25" s="1"/>
  <c r="AC92" i="25" s="1"/>
  <c r="AD92" i="25" s="1"/>
  <c r="AA93" i="25"/>
  <c r="AB93" i="25" s="1"/>
  <c r="AC93" i="25" s="1"/>
  <c r="AD93" i="25" s="1"/>
  <c r="AA94" i="25"/>
  <c r="AB94" i="25" s="1"/>
  <c r="AC94" i="25" s="1"/>
  <c r="AD94" i="25" s="1"/>
  <c r="AA95" i="25"/>
  <c r="AB95" i="25" s="1"/>
  <c r="AC95" i="25" s="1"/>
  <c r="AD95" i="25" s="1"/>
  <c r="AA96" i="25"/>
  <c r="AB96" i="25" s="1"/>
  <c r="AC96" i="25" s="1"/>
  <c r="AD96" i="25" s="1"/>
  <c r="AA97" i="25"/>
  <c r="AB97" i="25" s="1"/>
  <c r="AC97" i="25" s="1"/>
  <c r="AD97" i="25" s="1"/>
  <c r="AA99" i="25"/>
  <c r="AB99" i="25" s="1"/>
  <c r="AC99" i="25" s="1"/>
  <c r="AD99" i="25" s="1"/>
  <c r="AA100" i="25"/>
  <c r="AB100" i="25" s="1"/>
  <c r="AC100" i="25" s="1"/>
  <c r="AD100" i="25" s="1"/>
  <c r="AA101" i="25"/>
  <c r="AB101" i="25" s="1"/>
  <c r="AC101" i="25" s="1"/>
  <c r="AD101" i="25" s="1"/>
  <c r="AA102" i="25"/>
  <c r="AB102" i="25" s="1"/>
  <c r="AC102" i="25" s="1"/>
  <c r="AD102" i="25" s="1"/>
  <c r="AA103" i="25"/>
  <c r="AB103" i="25" s="1"/>
  <c r="AC103" i="25" s="1"/>
  <c r="AD103" i="25" s="1"/>
  <c r="AA104" i="25"/>
  <c r="AB104" i="25" s="1"/>
  <c r="AC104" i="25" s="1"/>
  <c r="AD104" i="25" s="1"/>
  <c r="AA105" i="25"/>
  <c r="AB105" i="25" s="1"/>
  <c r="AC105" i="25" s="1"/>
  <c r="AD105" i="25" s="1"/>
  <c r="AA106" i="25"/>
  <c r="AB106" i="25" s="1"/>
  <c r="AC106" i="25" s="1"/>
  <c r="AD106" i="25" s="1"/>
  <c r="AA107" i="25"/>
  <c r="AB107" i="25" s="1"/>
  <c r="AC107" i="25" s="1"/>
  <c r="AD107" i="25" s="1"/>
  <c r="O3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42" i="25"/>
  <c r="O21" i="25"/>
  <c r="O28" i="25"/>
  <c r="O22" i="25"/>
  <c r="O23" i="25"/>
  <c r="O25" i="25"/>
  <c r="O26" i="25"/>
  <c r="O27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3" i="25"/>
  <c r="O44" i="25"/>
  <c r="O45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9" i="25"/>
  <c r="O100" i="25"/>
  <c r="O101" i="25"/>
  <c r="O102" i="25"/>
  <c r="O103" i="25"/>
  <c r="O104" i="25"/>
  <c r="O105" i="25"/>
  <c r="O106" i="25"/>
  <c r="O107" i="25"/>
  <c r="H3" i="23"/>
  <c r="H5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42" i="23"/>
  <c r="H21" i="23"/>
  <c r="H28" i="23"/>
  <c r="H22" i="23"/>
  <c r="H23" i="23"/>
  <c r="H25" i="23"/>
  <c r="H26" i="23"/>
  <c r="H27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3" i="23"/>
  <c r="H44" i="23"/>
  <c r="H45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9" i="23"/>
  <c r="H100" i="23"/>
  <c r="H101" i="23"/>
  <c r="H102" i="23"/>
  <c r="H103" i="23"/>
  <c r="H104" i="23"/>
  <c r="H105" i="23"/>
  <c r="H106" i="23"/>
  <c r="H107" i="23"/>
  <c r="G3" i="23"/>
  <c r="G5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42" i="23"/>
  <c r="G21" i="23"/>
  <c r="G28" i="23"/>
  <c r="G22" i="23"/>
  <c r="G23" i="23"/>
  <c r="G25" i="23"/>
  <c r="G26" i="23"/>
  <c r="G27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3" i="23"/>
  <c r="G44" i="23"/>
  <c r="G45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9" i="23"/>
  <c r="G100" i="23"/>
  <c r="G101" i="23"/>
  <c r="G102" i="23"/>
  <c r="G103" i="23"/>
  <c r="G104" i="23"/>
  <c r="G105" i="23"/>
  <c r="G106" i="23"/>
  <c r="G107" i="23"/>
  <c r="F3" i="23"/>
  <c r="F5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42" i="23"/>
  <c r="F21" i="23"/>
  <c r="F28" i="23"/>
  <c r="F22" i="23"/>
  <c r="F23" i="23"/>
  <c r="F25" i="23"/>
  <c r="F26" i="23"/>
  <c r="F27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3" i="23"/>
  <c r="F44" i="23"/>
  <c r="F45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9" i="23"/>
  <c r="F100" i="23"/>
  <c r="F101" i="23"/>
  <c r="F102" i="23"/>
  <c r="F103" i="23"/>
  <c r="F104" i="23"/>
  <c r="F105" i="23"/>
  <c r="F106" i="23"/>
  <c r="F107" i="23"/>
  <c r="AA3" i="21"/>
  <c r="AB3" i="21" s="1"/>
  <c r="AC3" i="21" s="1"/>
  <c r="AD3" i="21" s="1"/>
  <c r="AA4" i="21"/>
  <c r="AB4" i="21" s="1"/>
  <c r="AC4" i="21" s="1"/>
  <c r="AD4" i="21" s="1"/>
  <c r="AA5" i="21"/>
  <c r="AB5" i="21" s="1"/>
  <c r="AC5" i="21" s="1"/>
  <c r="AD5" i="21" s="1"/>
  <c r="AA6" i="21"/>
  <c r="AB6" i="21" s="1"/>
  <c r="AC6" i="21" s="1"/>
  <c r="AD6" i="21" s="1"/>
  <c r="AA7" i="21"/>
  <c r="AB7" i="21" s="1"/>
  <c r="AC7" i="21" s="1"/>
  <c r="AD7" i="21" s="1"/>
  <c r="AA8" i="21"/>
  <c r="AB8" i="21" s="1"/>
  <c r="AC8" i="21" s="1"/>
  <c r="AD8" i="21" s="1"/>
  <c r="AA9" i="21"/>
  <c r="AB9" i="21" s="1"/>
  <c r="AC9" i="21" s="1"/>
  <c r="AD9" i="21" s="1"/>
  <c r="O3" i="21"/>
  <c r="O4" i="21"/>
  <c r="O5" i="21"/>
  <c r="O6" i="21"/>
  <c r="O7" i="21"/>
  <c r="O8" i="21"/>
  <c r="O9" i="21"/>
  <c r="H3" i="13"/>
  <c r="H4" i="13"/>
  <c r="H5" i="13"/>
  <c r="H6" i="13"/>
  <c r="H7" i="13"/>
  <c r="H8" i="13"/>
  <c r="H9" i="13"/>
  <c r="G3" i="13"/>
  <c r="G4" i="13"/>
  <c r="G5" i="13"/>
  <c r="G6" i="13"/>
  <c r="G7" i="13"/>
  <c r="G8" i="13"/>
  <c r="G9" i="13"/>
  <c r="F3" i="13"/>
  <c r="F4" i="13"/>
  <c r="F5" i="13"/>
  <c r="F6" i="13"/>
  <c r="F7" i="13"/>
  <c r="F8" i="13"/>
  <c r="F9" i="13"/>
  <c r="AA3" i="2"/>
  <c r="AB3" i="2" s="1"/>
  <c r="AC3" i="2" s="1"/>
  <c r="AD3" i="2" s="1"/>
  <c r="AA4" i="2"/>
  <c r="AB4" i="2" s="1"/>
  <c r="AC4" i="2" s="1"/>
  <c r="AD4" i="2" s="1"/>
  <c r="AA5" i="2"/>
  <c r="AB5" i="2" s="1"/>
  <c r="AC5" i="2" s="1"/>
  <c r="AD5" i="2" s="1"/>
  <c r="AA6" i="2"/>
  <c r="AB6" i="2" s="1"/>
  <c r="AC6" i="2" s="1"/>
  <c r="AD6" i="2" s="1"/>
  <c r="AA7" i="2"/>
  <c r="AB7" i="2" s="1"/>
  <c r="AC7" i="2" s="1"/>
  <c r="AD7" i="2" s="1"/>
  <c r="AA8" i="2"/>
  <c r="AB8" i="2" s="1"/>
  <c r="AC8" i="2" s="1"/>
  <c r="AD8" i="2" s="1"/>
  <c r="AA9" i="2"/>
  <c r="AB9" i="2" s="1"/>
  <c r="AC9" i="2" s="1"/>
  <c r="AD9" i="2" s="1"/>
  <c r="AA10" i="2"/>
  <c r="AB10" i="2" s="1"/>
  <c r="AC10" i="2" s="1"/>
  <c r="AD10" i="2" s="1"/>
  <c r="AA11" i="2"/>
  <c r="AB11" i="2" s="1"/>
  <c r="AC11" i="2" s="1"/>
  <c r="AD11" i="2" s="1"/>
  <c r="AA12" i="2"/>
  <c r="AB12" i="2" s="1"/>
  <c r="AC12" i="2" s="1"/>
  <c r="AD12" i="2" s="1"/>
  <c r="AA13" i="2"/>
  <c r="AB13" i="2" s="1"/>
  <c r="AC13" i="2" s="1"/>
  <c r="AD13" i="2" s="1"/>
  <c r="AA14" i="2"/>
  <c r="AB14" i="2" s="1"/>
  <c r="AC14" i="2" s="1"/>
  <c r="AD14" i="2" s="1"/>
  <c r="AA15" i="2"/>
  <c r="AB15" i="2" s="1"/>
  <c r="AC15" i="2" s="1"/>
  <c r="AD15" i="2" s="1"/>
  <c r="AA16" i="2"/>
  <c r="AB16" i="2" s="1"/>
  <c r="AC16" i="2" s="1"/>
  <c r="AD16" i="2" s="1"/>
  <c r="AA17" i="2"/>
  <c r="AB17" i="2" s="1"/>
  <c r="AC17" i="2" s="1"/>
  <c r="AD17" i="2" s="1"/>
  <c r="AA18" i="2"/>
  <c r="AB18" i="2" s="1"/>
  <c r="AC18" i="2" s="1"/>
  <c r="AD18" i="2" s="1"/>
  <c r="AA19" i="2"/>
  <c r="AB19" i="2" s="1"/>
  <c r="AC19" i="2" s="1"/>
  <c r="AD19" i="2" s="1"/>
  <c r="AA20" i="2"/>
  <c r="AB20" i="2" s="1"/>
  <c r="AC20" i="2" s="1"/>
  <c r="AD20" i="2" s="1"/>
  <c r="AA21" i="2"/>
  <c r="AB21" i="2" s="1"/>
  <c r="AC21" i="2" s="1"/>
  <c r="AD21" i="2" s="1"/>
  <c r="AA22" i="2"/>
  <c r="AB22" i="2" s="1"/>
  <c r="AC22" i="2" s="1"/>
  <c r="AD22" i="2" s="1"/>
  <c r="AA23" i="2"/>
  <c r="AB23" i="2" s="1"/>
  <c r="AC23" i="2" s="1"/>
  <c r="AD23" i="2" s="1"/>
  <c r="AA24" i="2"/>
  <c r="AB24" i="2" s="1"/>
  <c r="AC24" i="2" s="1"/>
  <c r="AD24" i="2" s="1"/>
  <c r="AA25" i="2"/>
  <c r="AB25" i="2" s="1"/>
  <c r="AC25" i="2" s="1"/>
  <c r="AD25" i="2" s="1"/>
  <c r="AA26" i="2"/>
  <c r="AB26" i="2" s="1"/>
  <c r="AC26" i="2" s="1"/>
  <c r="AD26" i="2" s="1"/>
  <c r="AA27" i="2"/>
  <c r="AB27" i="2" s="1"/>
  <c r="AC27" i="2" s="1"/>
  <c r="AD27" i="2" s="1"/>
  <c r="AA28" i="2"/>
  <c r="AB28" i="2" s="1"/>
  <c r="AC28" i="2" s="1"/>
  <c r="AD28" i="2" s="1"/>
  <c r="AA29" i="2"/>
  <c r="AB29" i="2" s="1"/>
  <c r="AC29" i="2" s="1"/>
  <c r="AD29" i="2" s="1"/>
  <c r="AA30" i="2"/>
  <c r="AB30" i="2" s="1"/>
  <c r="AC30" i="2" s="1"/>
  <c r="AD30" i="2" s="1"/>
  <c r="AA31" i="2"/>
  <c r="AB31" i="2" s="1"/>
  <c r="AC31" i="2" s="1"/>
  <c r="AD31" i="2" s="1"/>
  <c r="AA32" i="2"/>
  <c r="AB32" i="2" s="1"/>
  <c r="AC32" i="2" s="1"/>
  <c r="AD32" i="2" s="1"/>
  <c r="AA33" i="2"/>
  <c r="AB33" i="2" s="1"/>
  <c r="AC33" i="2" s="1"/>
  <c r="AD33" i="2" s="1"/>
  <c r="AA34" i="2"/>
  <c r="AB34" i="2" s="1"/>
  <c r="AC34" i="2" s="1"/>
  <c r="AD34" i="2" s="1"/>
  <c r="AA35" i="2"/>
  <c r="AB35" i="2" s="1"/>
  <c r="AC35" i="2" s="1"/>
  <c r="AD35" i="2" s="1"/>
  <c r="AA36" i="2"/>
  <c r="AB36" i="2" s="1"/>
  <c r="AC36" i="2" s="1"/>
  <c r="AD36" i="2" s="1"/>
  <c r="AA37" i="2"/>
  <c r="AB37" i="2" s="1"/>
  <c r="AC37" i="2" s="1"/>
  <c r="AD37" i="2" s="1"/>
  <c r="AA38" i="2"/>
  <c r="AB38" i="2" s="1"/>
  <c r="AC38" i="2" s="1"/>
  <c r="AD38" i="2" s="1"/>
  <c r="AA39" i="2"/>
  <c r="AB39" i="2" s="1"/>
  <c r="AC39" i="2" s="1"/>
  <c r="AD39" i="2" s="1"/>
  <c r="AA40" i="2"/>
  <c r="AB40" i="2" s="1"/>
  <c r="AC40" i="2" s="1"/>
  <c r="AD40" i="2" s="1"/>
  <c r="AA41" i="2"/>
  <c r="AB41" i="2" s="1"/>
  <c r="AC41" i="2" s="1"/>
  <c r="AD41" i="2" s="1"/>
  <c r="AA42" i="2"/>
  <c r="AB42" i="2" s="1"/>
  <c r="AC42" i="2" s="1"/>
  <c r="AD42" i="2" s="1"/>
  <c r="AA43" i="2"/>
  <c r="AB43" i="2" s="1"/>
  <c r="AC43" i="2" s="1"/>
  <c r="AD43" i="2" s="1"/>
  <c r="AA44" i="2"/>
  <c r="AB44" i="2" s="1"/>
  <c r="AC44" i="2" s="1"/>
  <c r="AD44" i="2" s="1"/>
  <c r="AA45" i="2"/>
  <c r="AB45" i="2" s="1"/>
  <c r="AC45" i="2" s="1"/>
  <c r="AD45" i="2" s="1"/>
  <c r="AA46" i="2"/>
  <c r="AB46" i="2" s="1"/>
  <c r="AC46" i="2" s="1"/>
  <c r="AD46" i="2" s="1"/>
  <c r="AA47" i="2"/>
  <c r="AB47" i="2" s="1"/>
  <c r="AC47" i="2" s="1"/>
  <c r="AD47" i="2" s="1"/>
  <c r="AA48" i="2"/>
  <c r="AB48" i="2" s="1"/>
  <c r="AC48" i="2" s="1"/>
  <c r="AD48" i="2" s="1"/>
  <c r="AA49" i="2"/>
  <c r="AB49" i="2" s="1"/>
  <c r="AC49" i="2" s="1"/>
  <c r="AD49" i="2" s="1"/>
  <c r="AA50" i="2"/>
  <c r="AB50" i="2" s="1"/>
  <c r="AC50" i="2" s="1"/>
  <c r="AD50" i="2" s="1"/>
  <c r="AA51" i="2"/>
  <c r="AB51" i="2" s="1"/>
  <c r="AC51" i="2" s="1"/>
  <c r="AD51" i="2" s="1"/>
  <c r="AA52" i="2"/>
  <c r="AB52" i="2" s="1"/>
  <c r="AC52" i="2" s="1"/>
  <c r="AD52" i="2" s="1"/>
  <c r="AA53" i="2"/>
  <c r="AB53" i="2" s="1"/>
  <c r="AC53" i="2" s="1"/>
  <c r="AD53" i="2" s="1"/>
  <c r="AA54" i="2"/>
  <c r="AB54" i="2" s="1"/>
  <c r="AC54" i="2" s="1"/>
  <c r="AD54" i="2" s="1"/>
  <c r="AA55" i="2"/>
  <c r="AB55" i="2" s="1"/>
  <c r="AC55" i="2" s="1"/>
  <c r="AD55" i="2" s="1"/>
  <c r="AA56" i="2"/>
  <c r="AB56" i="2" s="1"/>
  <c r="AC56" i="2" s="1"/>
  <c r="AD56" i="2" s="1"/>
  <c r="AA57" i="2"/>
  <c r="AB57" i="2" s="1"/>
  <c r="AC57" i="2" s="1"/>
  <c r="AD57" i="2" s="1"/>
  <c r="AA58" i="2"/>
  <c r="AB58" i="2" s="1"/>
  <c r="AC58" i="2" s="1"/>
  <c r="AD58" i="2" s="1"/>
  <c r="AA59" i="2"/>
  <c r="AB59" i="2" s="1"/>
  <c r="AC59" i="2" s="1"/>
  <c r="AD59" i="2" s="1"/>
  <c r="AA60" i="2"/>
  <c r="AB60" i="2" s="1"/>
  <c r="AC60" i="2" s="1"/>
  <c r="AD60" i="2" s="1"/>
  <c r="AA61" i="2"/>
  <c r="AB61" i="2" s="1"/>
  <c r="AC61" i="2" s="1"/>
  <c r="AD61" i="2" s="1"/>
  <c r="AA62" i="2"/>
  <c r="AB62" i="2" s="1"/>
  <c r="AC62" i="2" s="1"/>
  <c r="AD62" i="2" s="1"/>
  <c r="AA63" i="2"/>
  <c r="AB63" i="2" s="1"/>
  <c r="AC63" i="2" s="1"/>
  <c r="AD63" i="2" s="1"/>
  <c r="AA64" i="2"/>
  <c r="AB64" i="2" s="1"/>
  <c r="AC64" i="2" s="1"/>
  <c r="AD64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P12" i="34" l="1"/>
  <c r="P23" i="34"/>
  <c r="P19" i="34"/>
  <c r="P15" i="34"/>
  <c r="P11" i="34"/>
  <c r="P53" i="45"/>
  <c r="P49" i="45"/>
  <c r="P45" i="45"/>
  <c r="P41" i="45"/>
  <c r="P37" i="45"/>
  <c r="P33" i="45"/>
  <c r="P29" i="45"/>
  <c r="P25" i="45"/>
  <c r="P21" i="45"/>
  <c r="P17" i="45"/>
  <c r="P13" i="45"/>
  <c r="P9" i="45"/>
  <c r="P5" i="45"/>
  <c r="P26" i="34"/>
  <c r="P22" i="34"/>
  <c r="P18" i="34"/>
  <c r="P14" i="34"/>
  <c r="P10" i="34"/>
  <c r="P6" i="34"/>
  <c r="P40" i="34"/>
  <c r="P7" i="34"/>
  <c r="P61" i="2"/>
  <c r="P49" i="2"/>
  <c r="P45" i="2"/>
  <c r="P37" i="2"/>
  <c r="P33" i="2"/>
  <c r="P29" i="2"/>
  <c r="P21" i="2"/>
  <c r="P17" i="2"/>
  <c r="P9" i="2"/>
  <c r="P5" i="2"/>
  <c r="P25" i="34"/>
  <c r="P21" i="34"/>
  <c r="P17" i="34"/>
  <c r="P13" i="34"/>
  <c r="P9" i="34"/>
  <c r="P5" i="34"/>
  <c r="P3" i="34"/>
  <c r="P24" i="34"/>
  <c r="P20" i="34"/>
  <c r="P16" i="34"/>
  <c r="P8" i="34"/>
  <c r="P4" i="34"/>
  <c r="P56" i="45"/>
  <c r="P52" i="45"/>
  <c r="P48" i="45"/>
  <c r="P44" i="45"/>
  <c r="P40" i="45"/>
  <c r="P36" i="45"/>
  <c r="P32" i="45"/>
  <c r="P28" i="45"/>
  <c r="P24" i="45"/>
  <c r="P20" i="45"/>
  <c r="P16" i="45"/>
  <c r="P12" i="45"/>
  <c r="P8" i="45"/>
  <c r="P4" i="45"/>
  <c r="P55" i="45"/>
  <c r="P51" i="45"/>
  <c r="P47" i="45"/>
  <c r="P43" i="45"/>
  <c r="P39" i="45"/>
  <c r="P35" i="45"/>
  <c r="P31" i="45"/>
  <c r="P27" i="45"/>
  <c r="P23" i="45"/>
  <c r="P19" i="45"/>
  <c r="P15" i="45"/>
  <c r="P11" i="45"/>
  <c r="P7" i="45"/>
  <c r="P3" i="45"/>
  <c r="P54" i="45"/>
  <c r="P50" i="45"/>
  <c r="P46" i="45"/>
  <c r="P42" i="45"/>
  <c r="P38" i="45"/>
  <c r="P34" i="45"/>
  <c r="P30" i="45"/>
  <c r="P26" i="45"/>
  <c r="P22" i="45"/>
  <c r="P18" i="45"/>
  <c r="P14" i="45"/>
  <c r="P10" i="45"/>
  <c r="P6" i="45"/>
  <c r="P16" i="32"/>
  <c r="P29" i="36"/>
  <c r="P21" i="36"/>
  <c r="P17" i="36"/>
  <c r="P13" i="36"/>
  <c r="P9" i="36"/>
  <c r="P4" i="36"/>
  <c r="P24" i="36"/>
  <c r="P20" i="36"/>
  <c r="P16" i="36"/>
  <c r="P12" i="36"/>
  <c r="P8" i="36"/>
  <c r="P3" i="36"/>
  <c r="P23" i="36"/>
  <c r="P19" i="36"/>
  <c r="P15" i="36"/>
  <c r="P11" i="36"/>
  <c r="P7" i="36"/>
  <c r="P22" i="36"/>
  <c r="P18" i="36"/>
  <c r="P14" i="36"/>
  <c r="P10" i="36"/>
  <c r="P5" i="36"/>
  <c r="P59" i="25"/>
  <c r="P55" i="25"/>
  <c r="P104" i="25"/>
  <c r="P95" i="25"/>
  <c r="P87" i="25"/>
  <c r="P79" i="25"/>
  <c r="P67" i="25"/>
  <c r="P51" i="25"/>
  <c r="P100" i="25"/>
  <c r="P91" i="25"/>
  <c r="P83" i="25"/>
  <c r="P75" i="25"/>
  <c r="P71" i="25"/>
  <c r="P63" i="25"/>
  <c r="P47" i="25"/>
  <c r="P41" i="25"/>
  <c r="P38" i="25"/>
  <c r="P34" i="25"/>
  <c r="P30" i="25"/>
  <c r="P25" i="25"/>
  <c r="P21" i="25"/>
  <c r="P18" i="25"/>
  <c r="P14" i="25"/>
  <c r="P10" i="25"/>
  <c r="P107" i="25"/>
  <c r="P103" i="25"/>
  <c r="P99" i="25"/>
  <c r="P94" i="25"/>
  <c r="P90" i="25"/>
  <c r="P86" i="25"/>
  <c r="P82" i="25"/>
  <c r="P78" i="25"/>
  <c r="P74" i="25"/>
  <c r="P70" i="25"/>
  <c r="P66" i="25"/>
  <c r="P62" i="25"/>
  <c r="P58" i="25"/>
  <c r="P54" i="25"/>
  <c r="P50" i="25"/>
  <c r="P45" i="25"/>
  <c r="P40" i="25"/>
  <c r="P37" i="25"/>
  <c r="P33" i="25"/>
  <c r="P29" i="25"/>
  <c r="P23" i="25"/>
  <c r="P42" i="25"/>
  <c r="P17" i="25"/>
  <c r="P13" i="25"/>
  <c r="P9" i="25"/>
  <c r="P3" i="25"/>
  <c r="P106" i="25"/>
  <c r="P102" i="25"/>
  <c r="P97" i="25"/>
  <c r="P93" i="25"/>
  <c r="P89" i="25"/>
  <c r="P85" i="25"/>
  <c r="P81" i="25"/>
  <c r="P77" i="25"/>
  <c r="P73" i="25"/>
  <c r="P69" i="25"/>
  <c r="P65" i="25"/>
  <c r="P61" i="25"/>
  <c r="P57" i="25"/>
  <c r="P53" i="25"/>
  <c r="P49" i="25"/>
  <c r="P44" i="25"/>
  <c r="P36" i="25"/>
  <c r="P32" i="25"/>
  <c r="P27" i="25"/>
  <c r="P22" i="25"/>
  <c r="P20" i="25"/>
  <c r="P16" i="25"/>
  <c r="P12" i="25"/>
  <c r="P8" i="25"/>
  <c r="P105" i="25"/>
  <c r="P101" i="25"/>
  <c r="P96" i="25"/>
  <c r="P92" i="25"/>
  <c r="P88" i="25"/>
  <c r="P84" i="25"/>
  <c r="P80" i="25"/>
  <c r="P76" i="25"/>
  <c r="P72" i="25"/>
  <c r="P68" i="25"/>
  <c r="P64" i="25"/>
  <c r="P60" i="25"/>
  <c r="P56" i="25"/>
  <c r="P52" i="25"/>
  <c r="P48" i="25"/>
  <c r="P43" i="25"/>
  <c r="P39" i="25"/>
  <c r="P35" i="25"/>
  <c r="P31" i="25"/>
  <c r="P26" i="25"/>
  <c r="P28" i="25"/>
  <c r="P19" i="25"/>
  <c r="P15" i="25"/>
  <c r="P11" i="25"/>
  <c r="P7" i="25"/>
  <c r="P62" i="2"/>
  <c r="P50" i="2"/>
  <c r="P46" i="2"/>
  <c r="P42" i="2"/>
  <c r="P38" i="2"/>
  <c r="P34" i="2"/>
  <c r="P30" i="2"/>
  <c r="P26" i="2"/>
  <c r="P18" i="2"/>
  <c r="P14" i="2"/>
  <c r="P10" i="2"/>
  <c r="P6" i="2"/>
  <c r="P64" i="2"/>
  <c r="P36" i="2"/>
  <c r="P56" i="2"/>
  <c r="P52" i="2"/>
  <c r="P48" i="2"/>
  <c r="P44" i="2"/>
  <c r="P40" i="2"/>
  <c r="P32" i="2"/>
  <c r="P28" i="2"/>
  <c r="P24" i="2"/>
  <c r="P20" i="2"/>
  <c r="P16" i="2"/>
  <c r="P12" i="2"/>
  <c r="P8" i="2"/>
  <c r="P4" i="2"/>
  <c r="P59" i="2"/>
  <c r="P55" i="2"/>
  <c r="P51" i="2"/>
  <c r="P47" i="2"/>
  <c r="P39" i="2"/>
  <c r="P35" i="2"/>
  <c r="P31" i="2"/>
  <c r="P27" i="2"/>
  <c r="P19" i="2"/>
  <c r="P11" i="2"/>
  <c r="P7" i="2"/>
  <c r="P3" i="2"/>
  <c r="P36" i="34"/>
  <c r="P32" i="34"/>
  <c r="P28" i="34"/>
  <c r="P37" i="34"/>
  <c r="P33" i="34"/>
  <c r="P29" i="34"/>
  <c r="P39" i="34"/>
  <c r="P35" i="34"/>
  <c r="P31" i="34"/>
  <c r="P27" i="34"/>
  <c r="P38" i="34"/>
  <c r="P34" i="34"/>
  <c r="P30" i="34"/>
  <c r="P27" i="32"/>
  <c r="P23" i="32"/>
  <c r="P19" i="32"/>
  <c r="P15" i="32"/>
  <c r="P11" i="32"/>
  <c r="P3" i="32"/>
  <c r="P22" i="32"/>
  <c r="P18" i="32"/>
  <c r="P10" i="32"/>
  <c r="P25" i="32"/>
  <c r="P21" i="32"/>
  <c r="P17" i="32"/>
  <c r="P9" i="32"/>
  <c r="P5" i="32"/>
  <c r="P26" i="32"/>
  <c r="P14" i="32"/>
  <c r="P6" i="32"/>
  <c r="P24" i="32"/>
  <c r="P12" i="32"/>
  <c r="P8" i="32"/>
  <c r="P4" i="32"/>
  <c r="P41" i="34"/>
  <c r="H3" i="56"/>
  <c r="H4" i="56"/>
  <c r="H5" i="56"/>
  <c r="H6" i="56"/>
  <c r="H7" i="56"/>
  <c r="H8" i="56"/>
  <c r="H9" i="56"/>
  <c r="H10" i="56"/>
  <c r="H11" i="56"/>
  <c r="H12" i="56"/>
  <c r="H13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H35" i="56"/>
  <c r="H36" i="56"/>
  <c r="H37" i="56"/>
  <c r="H38" i="56"/>
  <c r="H39" i="56"/>
  <c r="H40" i="56"/>
  <c r="H41" i="56"/>
  <c r="H42" i="56"/>
  <c r="H43" i="56"/>
  <c r="H44" i="56"/>
  <c r="H45" i="56"/>
  <c r="H46" i="56"/>
  <c r="H47" i="56"/>
  <c r="H48" i="56"/>
  <c r="H49" i="56"/>
  <c r="H50" i="56"/>
  <c r="H51" i="56"/>
  <c r="H52" i="56"/>
  <c r="H53" i="56"/>
  <c r="H54" i="56"/>
  <c r="H55" i="56"/>
  <c r="H56" i="56"/>
  <c r="H57" i="56"/>
  <c r="H58" i="56"/>
  <c r="H59" i="56"/>
  <c r="H60" i="56"/>
  <c r="H61" i="56"/>
  <c r="H62" i="56"/>
  <c r="H63" i="56"/>
  <c r="H64" i="56"/>
  <c r="G3" i="56"/>
  <c r="G4" i="56"/>
  <c r="G5" i="56"/>
  <c r="G6" i="56"/>
  <c r="G7" i="56"/>
  <c r="G8" i="56"/>
  <c r="G9" i="56"/>
  <c r="G10" i="56"/>
  <c r="G11" i="56"/>
  <c r="G12" i="56"/>
  <c r="G13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7" i="56"/>
  <c r="G28" i="56"/>
  <c r="G29" i="56"/>
  <c r="G30" i="56"/>
  <c r="G31" i="56"/>
  <c r="G32" i="56"/>
  <c r="G33" i="56"/>
  <c r="G34" i="56"/>
  <c r="G35" i="56"/>
  <c r="G36" i="56"/>
  <c r="G37" i="56"/>
  <c r="G38" i="56"/>
  <c r="G39" i="56"/>
  <c r="G40" i="56"/>
  <c r="G41" i="56"/>
  <c r="G42" i="56"/>
  <c r="G43" i="56"/>
  <c r="G44" i="56"/>
  <c r="G45" i="56"/>
  <c r="G46" i="56"/>
  <c r="G47" i="56"/>
  <c r="G48" i="56"/>
  <c r="G49" i="56"/>
  <c r="G50" i="56"/>
  <c r="G51" i="56"/>
  <c r="G52" i="56"/>
  <c r="G53" i="56"/>
  <c r="G54" i="56"/>
  <c r="G55" i="56"/>
  <c r="G56" i="56"/>
  <c r="G57" i="56"/>
  <c r="G58" i="56"/>
  <c r="G59" i="56"/>
  <c r="G60" i="56"/>
  <c r="G61" i="56"/>
  <c r="G62" i="56"/>
  <c r="G63" i="56"/>
  <c r="G64" i="56"/>
  <c r="F3" i="56"/>
  <c r="F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28" i="56"/>
  <c r="F29" i="56"/>
  <c r="F30" i="56"/>
  <c r="F31" i="56"/>
  <c r="F32" i="56"/>
  <c r="F33" i="56"/>
  <c r="F34" i="56"/>
  <c r="F35" i="56"/>
  <c r="F36" i="56"/>
  <c r="F37" i="56"/>
  <c r="F38" i="56"/>
  <c r="F39" i="56"/>
  <c r="F40" i="56"/>
  <c r="F41" i="56"/>
  <c r="F42" i="56"/>
  <c r="F43" i="56"/>
  <c r="F44" i="56"/>
  <c r="F45" i="56"/>
  <c r="F46" i="56"/>
  <c r="F47" i="56"/>
  <c r="F48" i="56"/>
  <c r="F49" i="56"/>
  <c r="F50" i="56"/>
  <c r="F51" i="56"/>
  <c r="F52" i="56"/>
  <c r="F53" i="56"/>
  <c r="F54" i="56"/>
  <c r="F55" i="56"/>
  <c r="F56" i="56"/>
  <c r="F57" i="56"/>
  <c r="F58" i="56"/>
  <c r="F59" i="56"/>
  <c r="F60" i="56"/>
  <c r="F61" i="56"/>
  <c r="F62" i="56"/>
  <c r="F63" i="56"/>
  <c r="F64" i="56"/>
  <c r="AA2" i="22" l="1"/>
  <c r="AB2" i="22" s="1"/>
  <c r="AC2" i="22" s="1"/>
  <c r="AD2" i="22" s="1"/>
  <c r="AA3" i="22"/>
  <c r="AB3" i="22" s="1"/>
  <c r="AC3" i="22" s="1"/>
  <c r="AD3" i="22" s="1"/>
  <c r="AA4" i="22"/>
  <c r="AB4" i="22" s="1"/>
  <c r="AC4" i="22" s="1"/>
  <c r="AD4" i="22" s="1"/>
  <c r="AA5" i="22"/>
  <c r="AB5" i="22" s="1"/>
  <c r="AC5" i="22" s="1"/>
  <c r="AD5" i="22" s="1"/>
  <c r="AA6" i="22"/>
  <c r="AB6" i="22" s="1"/>
  <c r="AC6" i="22" s="1"/>
  <c r="AD6" i="22" s="1"/>
  <c r="AA7" i="22"/>
  <c r="AB7" i="22" s="1"/>
  <c r="AC7" i="22" s="1"/>
  <c r="AD7" i="22" s="1"/>
  <c r="AA8" i="22"/>
  <c r="AB8" i="22" s="1"/>
  <c r="AC8" i="22" s="1"/>
  <c r="AD8" i="22" s="1"/>
  <c r="AA9" i="22"/>
  <c r="AB9" i="22" s="1"/>
  <c r="AC9" i="22" s="1"/>
  <c r="AD9" i="22" s="1"/>
  <c r="AA10" i="22"/>
  <c r="AB10" i="22" s="1"/>
  <c r="AC10" i="22" s="1"/>
  <c r="AD10" i="22" s="1"/>
  <c r="AA11" i="22"/>
  <c r="AB11" i="22" s="1"/>
  <c r="AC11" i="22" s="1"/>
  <c r="AD11" i="22" s="1"/>
  <c r="AA13" i="22"/>
  <c r="AB13" i="22" s="1"/>
  <c r="AC13" i="22" s="1"/>
  <c r="AD13" i="22" s="1"/>
  <c r="AA14" i="22"/>
  <c r="AB14" i="22" s="1"/>
  <c r="AC14" i="22" s="1"/>
  <c r="AD14" i="22" s="1"/>
  <c r="AA15" i="22"/>
  <c r="AB15" i="22" s="1"/>
  <c r="AC15" i="22" s="1"/>
  <c r="AD15" i="22" s="1"/>
  <c r="AA16" i="22"/>
  <c r="AB16" i="22" s="1"/>
  <c r="AC16" i="22" s="1"/>
  <c r="AD16" i="22" s="1"/>
  <c r="AA17" i="22"/>
  <c r="AB17" i="22" s="1"/>
  <c r="AC17" i="22" s="1"/>
  <c r="AD17" i="22" s="1"/>
  <c r="AA18" i="22"/>
  <c r="AB18" i="22" s="1"/>
  <c r="AC18" i="22" s="1"/>
  <c r="AD18" i="22" s="1"/>
  <c r="AA19" i="22"/>
  <c r="AB19" i="22" s="1"/>
  <c r="AC19" i="22" s="1"/>
  <c r="AD19" i="22" s="1"/>
  <c r="AA20" i="22"/>
  <c r="AB20" i="22" s="1"/>
  <c r="AC20" i="22" s="1"/>
  <c r="AD20" i="22" s="1"/>
  <c r="AA21" i="22"/>
  <c r="AB21" i="22" s="1"/>
  <c r="AC21" i="22" s="1"/>
  <c r="AD21" i="22" s="1"/>
  <c r="AA22" i="22"/>
  <c r="AB22" i="22" s="1"/>
  <c r="AC22" i="22" s="1"/>
  <c r="AD22" i="22" s="1"/>
  <c r="AA23" i="22"/>
  <c r="AB23" i="22" s="1"/>
  <c r="AC23" i="22" s="1"/>
  <c r="AD23" i="22" s="1"/>
  <c r="AA24" i="22"/>
  <c r="AB24" i="22" s="1"/>
  <c r="AC24" i="22" s="1"/>
  <c r="AD24" i="22" s="1"/>
  <c r="AA25" i="22"/>
  <c r="AB25" i="22" s="1"/>
  <c r="AC25" i="22" s="1"/>
  <c r="AD25" i="22" s="1"/>
  <c r="AA26" i="22"/>
  <c r="AB26" i="22" s="1"/>
  <c r="AC26" i="22" s="1"/>
  <c r="AD26" i="22" s="1"/>
  <c r="AA27" i="22"/>
  <c r="AB27" i="22" s="1"/>
  <c r="AC27" i="22" s="1"/>
  <c r="AD27" i="22" s="1"/>
  <c r="AA28" i="22"/>
  <c r="AB28" i="22" s="1"/>
  <c r="AC28" i="22" s="1"/>
  <c r="AD28" i="22" s="1"/>
  <c r="AA29" i="22"/>
  <c r="AB29" i="22" s="1"/>
  <c r="AC29" i="22" s="1"/>
  <c r="AD29" i="22" s="1"/>
  <c r="AA30" i="22"/>
  <c r="AB30" i="22" s="1"/>
  <c r="AC30" i="22" s="1"/>
  <c r="AD30" i="22" s="1"/>
  <c r="AA31" i="22"/>
  <c r="AB31" i="22" s="1"/>
  <c r="AC31" i="22" s="1"/>
  <c r="AD31" i="22" s="1"/>
  <c r="AA32" i="22"/>
  <c r="AB32" i="22" s="1"/>
  <c r="AC32" i="22" s="1"/>
  <c r="AD32" i="22" s="1"/>
  <c r="AA33" i="22"/>
  <c r="AB33" i="22" s="1"/>
  <c r="AC33" i="22" s="1"/>
  <c r="AD33" i="22" s="1"/>
  <c r="AA34" i="22"/>
  <c r="AB34" i="22" s="1"/>
  <c r="AC34" i="22" s="1"/>
  <c r="AD34" i="22" s="1"/>
  <c r="AA35" i="22"/>
  <c r="AB35" i="22" s="1"/>
  <c r="AC35" i="22" s="1"/>
  <c r="AD35" i="22" s="1"/>
  <c r="AA36" i="22"/>
  <c r="AB36" i="22" s="1"/>
  <c r="AC36" i="22" s="1"/>
  <c r="AD36" i="22" s="1"/>
  <c r="AA37" i="22"/>
  <c r="AB37" i="22" s="1"/>
  <c r="AC37" i="22" s="1"/>
  <c r="AD37" i="22" s="1"/>
  <c r="AA38" i="22"/>
  <c r="AB38" i="22" s="1"/>
  <c r="AC38" i="22" s="1"/>
  <c r="AD38" i="22" s="1"/>
  <c r="AA39" i="22"/>
  <c r="AB39" i="22" s="1"/>
  <c r="AC39" i="22" s="1"/>
  <c r="AD39" i="22" s="1"/>
  <c r="AA40" i="22"/>
  <c r="AB40" i="22" s="1"/>
  <c r="AC40" i="22" s="1"/>
  <c r="AD40" i="22" s="1"/>
  <c r="AA41" i="22"/>
  <c r="AB41" i="22" s="1"/>
  <c r="AC41" i="22" s="1"/>
  <c r="AD41" i="22" s="1"/>
  <c r="AA42" i="22"/>
  <c r="AB42" i="22" s="1"/>
  <c r="AC42" i="22" s="1"/>
  <c r="AD42" i="22" s="1"/>
  <c r="AA43" i="22"/>
  <c r="AB43" i="22" s="1"/>
  <c r="AC43" i="22" s="1"/>
  <c r="AD43" i="22" s="1"/>
  <c r="AA44" i="22"/>
  <c r="AB44" i="22" s="1"/>
  <c r="AC44" i="22" s="1"/>
  <c r="AD44" i="22" s="1"/>
  <c r="AA45" i="22"/>
  <c r="AB45" i="22" s="1"/>
  <c r="AC45" i="22" s="1"/>
  <c r="AD45" i="22" s="1"/>
  <c r="AA46" i="22"/>
  <c r="AB46" i="22" s="1"/>
  <c r="AC46" i="22" s="1"/>
  <c r="AD46" i="22" s="1"/>
  <c r="AA47" i="22"/>
  <c r="AB47" i="22" s="1"/>
  <c r="AC47" i="22" s="1"/>
  <c r="AD47" i="22" s="1"/>
  <c r="AA48" i="22"/>
  <c r="AB48" i="22" s="1"/>
  <c r="AC48" i="22" s="1"/>
  <c r="AD48" i="22" s="1"/>
  <c r="AA49" i="22"/>
  <c r="AB49" i="22" s="1"/>
  <c r="AC49" i="22" s="1"/>
  <c r="AD49" i="22" s="1"/>
  <c r="AA50" i="22"/>
  <c r="AB50" i="22" s="1"/>
  <c r="AC50" i="22" s="1"/>
  <c r="AD50" i="22" s="1"/>
  <c r="AA51" i="22"/>
  <c r="AB51" i="22" s="1"/>
  <c r="AC51" i="22" s="1"/>
  <c r="AD51" i="22" s="1"/>
  <c r="AA52" i="22"/>
  <c r="AB52" i="22" s="1"/>
  <c r="AC52" i="22" s="1"/>
  <c r="AD52" i="22" s="1"/>
  <c r="AA53" i="22"/>
  <c r="AB53" i="22" s="1"/>
  <c r="AC53" i="22" s="1"/>
  <c r="AD53" i="22" s="1"/>
  <c r="AA54" i="22"/>
  <c r="AB54" i="22" s="1"/>
  <c r="AC54" i="22" s="1"/>
  <c r="AD54" i="22" s="1"/>
  <c r="AA55" i="22"/>
  <c r="AB55" i="22" s="1"/>
  <c r="AC55" i="22" s="1"/>
  <c r="AD55" i="22" s="1"/>
  <c r="AA56" i="22"/>
  <c r="AB56" i="22" s="1"/>
  <c r="AC56" i="22" s="1"/>
  <c r="AD56" i="22" s="1"/>
  <c r="AA57" i="22"/>
  <c r="AB57" i="22" s="1"/>
  <c r="AC57" i="22" s="1"/>
  <c r="AD57" i="22" s="1"/>
  <c r="AA58" i="22"/>
  <c r="AB58" i="22" s="1"/>
  <c r="AC58" i="22" s="1"/>
  <c r="AD58" i="22" s="1"/>
  <c r="AA59" i="22"/>
  <c r="AB59" i="22" s="1"/>
  <c r="AC59" i="22" s="1"/>
  <c r="AD59" i="22" s="1"/>
  <c r="AA60" i="22"/>
  <c r="AB60" i="22" s="1"/>
  <c r="AC60" i="22" s="1"/>
  <c r="AD60" i="22" s="1"/>
  <c r="AA61" i="22"/>
  <c r="AB61" i="22" s="1"/>
  <c r="AC61" i="22" s="1"/>
  <c r="AD61" i="22" s="1"/>
  <c r="AA62" i="22"/>
  <c r="AB62" i="22" s="1"/>
  <c r="AC62" i="22" s="1"/>
  <c r="AD62" i="22" s="1"/>
  <c r="AA63" i="22"/>
  <c r="AB63" i="22" s="1"/>
  <c r="AC63" i="22" s="1"/>
  <c r="AD63" i="22" s="1"/>
  <c r="AA64" i="22"/>
  <c r="AB64" i="22" s="1"/>
  <c r="AC64" i="22" s="1"/>
  <c r="AD64" i="22" s="1"/>
  <c r="AA65" i="22"/>
  <c r="AB65" i="22" s="1"/>
  <c r="AC65" i="22" s="1"/>
  <c r="AD65" i="22" s="1"/>
  <c r="AA66" i="22"/>
  <c r="AB66" i="22" s="1"/>
  <c r="AC66" i="22" s="1"/>
  <c r="AD66" i="22" s="1"/>
  <c r="AA67" i="22"/>
  <c r="AB67" i="22" s="1"/>
  <c r="AC67" i="22" s="1"/>
  <c r="AD67" i="22" s="1"/>
  <c r="AA68" i="22"/>
  <c r="AB68" i="22" s="1"/>
  <c r="AC68" i="22" s="1"/>
  <c r="AD68" i="22" s="1"/>
  <c r="AA69" i="22"/>
  <c r="AB69" i="22" s="1"/>
  <c r="AC69" i="22" s="1"/>
  <c r="AD69" i="22" s="1"/>
  <c r="AA70" i="22"/>
  <c r="AB70" i="22" s="1"/>
  <c r="AC70" i="22" s="1"/>
  <c r="AD70" i="22" s="1"/>
  <c r="AA71" i="22"/>
  <c r="AB71" i="22" s="1"/>
  <c r="AC71" i="22" s="1"/>
  <c r="AD71" i="22" s="1"/>
  <c r="AA72" i="22"/>
  <c r="AB72" i="22" s="1"/>
  <c r="AC72" i="22" s="1"/>
  <c r="AD72" i="22" s="1"/>
  <c r="AA73" i="22"/>
  <c r="AB73" i="22" s="1"/>
  <c r="AC73" i="22" s="1"/>
  <c r="AD73" i="22" s="1"/>
  <c r="AA74" i="22"/>
  <c r="AB74" i="22" s="1"/>
  <c r="AC74" i="22" s="1"/>
  <c r="AD74" i="22" s="1"/>
  <c r="AA75" i="22"/>
  <c r="AB75" i="22" s="1"/>
  <c r="AC75" i="22" s="1"/>
  <c r="AD75" i="22" s="1"/>
  <c r="AA76" i="22"/>
  <c r="AB76" i="22" s="1"/>
  <c r="AC76" i="22" s="1"/>
  <c r="AD76" i="22" s="1"/>
  <c r="O2" i="22"/>
  <c r="O3" i="22"/>
  <c r="O4" i="22"/>
  <c r="O5" i="22"/>
  <c r="O6" i="22"/>
  <c r="O7" i="22"/>
  <c r="O8" i="22"/>
  <c r="O9" i="22"/>
  <c r="O10" i="22"/>
  <c r="O11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H2" i="14"/>
  <c r="H3" i="14"/>
  <c r="H4" i="14"/>
  <c r="H5" i="14"/>
  <c r="H6" i="14"/>
  <c r="H7" i="14"/>
  <c r="H8" i="14"/>
  <c r="H9" i="14"/>
  <c r="H10" i="14"/>
  <c r="H11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G2" i="14"/>
  <c r="G3" i="14"/>
  <c r="G4" i="14"/>
  <c r="G5" i="14"/>
  <c r="G6" i="14"/>
  <c r="G7" i="14"/>
  <c r="G8" i="14"/>
  <c r="G9" i="14"/>
  <c r="G10" i="14"/>
  <c r="G11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F2" i="14"/>
  <c r="F3" i="14"/>
  <c r="F4" i="14"/>
  <c r="F5" i="14"/>
  <c r="F6" i="14"/>
  <c r="F7" i="14"/>
  <c r="F8" i="14"/>
  <c r="F9" i="14"/>
  <c r="F10" i="14"/>
  <c r="F11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AA3" i="52"/>
  <c r="AB3" i="52" s="1"/>
  <c r="AC3" i="52" s="1"/>
  <c r="AD3" i="52" s="1"/>
  <c r="P3" i="52" s="1"/>
  <c r="AA4" i="52"/>
  <c r="AB4" i="52" s="1"/>
  <c r="AC4" i="52" s="1"/>
  <c r="AD4" i="52" s="1"/>
  <c r="P4" i="52" s="1"/>
  <c r="AA5" i="52"/>
  <c r="AB5" i="52" s="1"/>
  <c r="AC5" i="52" s="1"/>
  <c r="AD5" i="52" s="1"/>
  <c r="P5" i="52" s="1"/>
  <c r="AA6" i="52"/>
  <c r="AB6" i="52" s="1"/>
  <c r="AC6" i="52" s="1"/>
  <c r="AD6" i="52" s="1"/>
  <c r="P6" i="52" s="1"/>
  <c r="AA7" i="52"/>
  <c r="AB7" i="52" s="1"/>
  <c r="AC7" i="52" s="1"/>
  <c r="AD7" i="52" s="1"/>
  <c r="P7" i="52" s="1"/>
  <c r="AA8" i="52"/>
  <c r="AB8" i="52" s="1"/>
  <c r="AC8" i="52" s="1"/>
  <c r="AD8" i="52" s="1"/>
  <c r="P8" i="52" s="1"/>
  <c r="AA9" i="52"/>
  <c r="AB9" i="52" s="1"/>
  <c r="AC9" i="52" s="1"/>
  <c r="AD9" i="52" s="1"/>
  <c r="P9" i="52" s="1"/>
  <c r="AA10" i="52"/>
  <c r="AB10" i="52" s="1"/>
  <c r="AC10" i="52" s="1"/>
  <c r="AD10" i="52" s="1"/>
  <c r="P10" i="52" s="1"/>
  <c r="AA11" i="52"/>
  <c r="AB11" i="52" s="1"/>
  <c r="AC11" i="52" s="1"/>
  <c r="AD11" i="52" s="1"/>
  <c r="P11" i="52" s="1"/>
  <c r="AA12" i="52"/>
  <c r="AB12" i="52" s="1"/>
  <c r="AC12" i="52" s="1"/>
  <c r="AD12" i="52" s="1"/>
  <c r="P12" i="52" s="1"/>
  <c r="AA13" i="52"/>
  <c r="AB13" i="52" s="1"/>
  <c r="AC13" i="52" s="1"/>
  <c r="AD13" i="52" s="1"/>
  <c r="P13" i="52" s="1"/>
  <c r="AA14" i="52"/>
  <c r="AB14" i="52" s="1"/>
  <c r="AC14" i="52" s="1"/>
  <c r="AD14" i="52" s="1"/>
  <c r="P14" i="52" s="1"/>
  <c r="AA15" i="52"/>
  <c r="AB15" i="52" s="1"/>
  <c r="AC15" i="52" s="1"/>
  <c r="AD15" i="52" s="1"/>
  <c r="P15" i="52" s="1"/>
  <c r="AA16" i="52"/>
  <c r="AB16" i="52" s="1"/>
  <c r="AC16" i="52" s="1"/>
  <c r="AD16" i="52" s="1"/>
  <c r="P16" i="52" s="1"/>
  <c r="AA17" i="52"/>
  <c r="AB17" i="52" s="1"/>
  <c r="AC17" i="52" s="1"/>
  <c r="AD17" i="52" s="1"/>
  <c r="P17" i="52" s="1"/>
  <c r="AA18" i="52"/>
  <c r="AB18" i="52" s="1"/>
  <c r="AC18" i="52" s="1"/>
  <c r="AD18" i="52" s="1"/>
  <c r="P18" i="52" s="1"/>
  <c r="AA19" i="52"/>
  <c r="AB19" i="52" s="1"/>
  <c r="AC19" i="52" s="1"/>
  <c r="AD19" i="52" s="1"/>
  <c r="P19" i="52" s="1"/>
  <c r="AA20" i="52"/>
  <c r="AB20" i="52" s="1"/>
  <c r="AC20" i="52" s="1"/>
  <c r="AD20" i="52" s="1"/>
  <c r="P20" i="52" s="1"/>
  <c r="AA21" i="52"/>
  <c r="AB21" i="52" s="1"/>
  <c r="AC21" i="52" s="1"/>
  <c r="AD21" i="52" s="1"/>
  <c r="P21" i="52" s="1"/>
  <c r="AA22" i="52"/>
  <c r="AB22" i="52" s="1"/>
  <c r="AC22" i="52" s="1"/>
  <c r="AD22" i="52" s="1"/>
  <c r="P22" i="52" s="1"/>
  <c r="AA24" i="52"/>
  <c r="AB24" i="52" s="1"/>
  <c r="AC24" i="52" s="1"/>
  <c r="AD24" i="52" s="1"/>
  <c r="P24" i="52" s="1"/>
  <c r="AA25" i="52"/>
  <c r="AB25" i="52" s="1"/>
  <c r="AC25" i="52" s="1"/>
  <c r="AD25" i="52" s="1"/>
  <c r="P25" i="52" s="1"/>
  <c r="AA46" i="52"/>
  <c r="AB46" i="52" s="1"/>
  <c r="AC46" i="52" s="1"/>
  <c r="AD46" i="52" s="1"/>
  <c r="P46" i="52" s="1"/>
  <c r="AA26" i="52"/>
  <c r="AB26" i="52" s="1"/>
  <c r="AC26" i="52" s="1"/>
  <c r="AD26" i="52" s="1"/>
  <c r="P26" i="52" s="1"/>
  <c r="AA27" i="52"/>
  <c r="AB27" i="52" s="1"/>
  <c r="AC27" i="52" s="1"/>
  <c r="AD27" i="52" s="1"/>
  <c r="P27" i="52" s="1"/>
  <c r="AA28" i="52"/>
  <c r="AB28" i="52" s="1"/>
  <c r="AC28" i="52" s="1"/>
  <c r="AD28" i="52" s="1"/>
  <c r="P28" i="52" s="1"/>
  <c r="AA29" i="52"/>
  <c r="AB29" i="52" s="1"/>
  <c r="AC29" i="52" s="1"/>
  <c r="AD29" i="52" s="1"/>
  <c r="P29" i="52" s="1"/>
  <c r="AA30" i="52"/>
  <c r="AB30" i="52" s="1"/>
  <c r="AC30" i="52" s="1"/>
  <c r="AD30" i="52" s="1"/>
  <c r="P30" i="52" s="1"/>
  <c r="AA31" i="52"/>
  <c r="AB31" i="52" s="1"/>
  <c r="AC31" i="52" s="1"/>
  <c r="AD31" i="52" s="1"/>
  <c r="P31" i="52" s="1"/>
  <c r="AA32" i="52"/>
  <c r="AB32" i="52" s="1"/>
  <c r="AC32" i="52" s="1"/>
  <c r="AD32" i="52" s="1"/>
  <c r="P32" i="52" s="1"/>
  <c r="AA33" i="52"/>
  <c r="AB33" i="52" s="1"/>
  <c r="AC33" i="52" s="1"/>
  <c r="AD33" i="52" s="1"/>
  <c r="P33" i="52" s="1"/>
  <c r="AA34" i="52"/>
  <c r="AB34" i="52" s="1"/>
  <c r="AC34" i="52" s="1"/>
  <c r="AD34" i="52" s="1"/>
  <c r="P34" i="52" s="1"/>
  <c r="AA35" i="52"/>
  <c r="AB35" i="52" s="1"/>
  <c r="AC35" i="52" s="1"/>
  <c r="AD35" i="52" s="1"/>
  <c r="P35" i="52" s="1"/>
  <c r="AA36" i="52"/>
  <c r="AB36" i="52" s="1"/>
  <c r="AC36" i="52" s="1"/>
  <c r="AD36" i="52" s="1"/>
  <c r="P36" i="52" s="1"/>
  <c r="AA37" i="52"/>
  <c r="AB37" i="52" s="1"/>
  <c r="AC37" i="52" s="1"/>
  <c r="AD37" i="52" s="1"/>
  <c r="P37" i="52" s="1"/>
  <c r="AA38" i="52"/>
  <c r="AB38" i="52" s="1"/>
  <c r="AC38" i="52" s="1"/>
  <c r="AD38" i="52" s="1"/>
  <c r="P38" i="52" s="1"/>
  <c r="AA39" i="52"/>
  <c r="AB39" i="52" s="1"/>
  <c r="AC39" i="52" s="1"/>
  <c r="AD39" i="52" s="1"/>
  <c r="P39" i="52" s="1"/>
  <c r="AA40" i="52"/>
  <c r="AB40" i="52" s="1"/>
  <c r="AC40" i="52" s="1"/>
  <c r="AD40" i="52" s="1"/>
  <c r="P40" i="52" s="1"/>
  <c r="AA41" i="52"/>
  <c r="AB41" i="52" s="1"/>
  <c r="AC41" i="52" s="1"/>
  <c r="AD41" i="52" s="1"/>
  <c r="P41" i="52" s="1"/>
  <c r="AA42" i="52"/>
  <c r="AB42" i="52" s="1"/>
  <c r="AC42" i="52" s="1"/>
  <c r="AD42" i="52" s="1"/>
  <c r="P42" i="52" s="1"/>
  <c r="AA43" i="52"/>
  <c r="AB43" i="52" s="1"/>
  <c r="AC43" i="52" s="1"/>
  <c r="AD43" i="52" s="1"/>
  <c r="P43" i="52" s="1"/>
  <c r="AA44" i="52"/>
  <c r="AB44" i="52" s="1"/>
  <c r="AC44" i="52" s="1"/>
  <c r="AD44" i="52" s="1"/>
  <c r="P44" i="52" s="1"/>
  <c r="AA45" i="52"/>
  <c r="AB45" i="52" s="1"/>
  <c r="AC45" i="52" s="1"/>
  <c r="AD45" i="52" s="1"/>
  <c r="P45" i="52" s="1"/>
  <c r="AA47" i="52"/>
  <c r="AB47" i="52" s="1"/>
  <c r="AC47" i="52" s="1"/>
  <c r="AD47" i="52" s="1"/>
  <c r="P47" i="52" s="1"/>
  <c r="AA48" i="52"/>
  <c r="AB48" i="52" s="1"/>
  <c r="AC48" i="52" s="1"/>
  <c r="AD48" i="52" s="1"/>
  <c r="P48" i="52" s="1"/>
  <c r="AA49" i="52"/>
  <c r="AB49" i="52" s="1"/>
  <c r="AC49" i="52" s="1"/>
  <c r="AD49" i="52" s="1"/>
  <c r="P49" i="52" s="1"/>
  <c r="AA50" i="52"/>
  <c r="AB50" i="52" s="1"/>
  <c r="AC50" i="52" s="1"/>
  <c r="AD50" i="52" s="1"/>
  <c r="P50" i="52" s="1"/>
  <c r="AA51" i="52"/>
  <c r="AB51" i="52" s="1"/>
  <c r="AC51" i="52" s="1"/>
  <c r="AD51" i="52" s="1"/>
  <c r="P51" i="52" s="1"/>
  <c r="AA52" i="52"/>
  <c r="AB52" i="52" s="1"/>
  <c r="AC52" i="52" s="1"/>
  <c r="AD52" i="52" s="1"/>
  <c r="P52" i="52" s="1"/>
  <c r="AA53" i="52"/>
  <c r="AB53" i="52" s="1"/>
  <c r="AC53" i="52" s="1"/>
  <c r="AD53" i="52" s="1"/>
  <c r="P53" i="52" s="1"/>
  <c r="AA54" i="52"/>
  <c r="AB54" i="52" s="1"/>
  <c r="AC54" i="52" s="1"/>
  <c r="AD54" i="52" s="1"/>
  <c r="P54" i="52" s="1"/>
  <c r="AA55" i="52"/>
  <c r="AB55" i="52" s="1"/>
  <c r="AC55" i="52" s="1"/>
  <c r="AD55" i="52" s="1"/>
  <c r="P55" i="52" s="1"/>
  <c r="AA56" i="52"/>
  <c r="AB56" i="52" s="1"/>
  <c r="AC56" i="52" s="1"/>
  <c r="AD56" i="52" s="1"/>
  <c r="P56" i="52" s="1"/>
  <c r="AA57" i="52"/>
  <c r="AB57" i="52" s="1"/>
  <c r="AC57" i="52" s="1"/>
  <c r="AD57" i="52" s="1"/>
  <c r="P57" i="52" s="1"/>
  <c r="AA58" i="52"/>
  <c r="AB58" i="52" s="1"/>
  <c r="AC58" i="52" s="1"/>
  <c r="AD58" i="52" s="1"/>
  <c r="P58" i="52" s="1"/>
  <c r="AA59" i="52"/>
  <c r="AB59" i="52" s="1"/>
  <c r="AC59" i="52" s="1"/>
  <c r="AD59" i="52" s="1"/>
  <c r="P59" i="52" s="1"/>
  <c r="AA60" i="52"/>
  <c r="AB60" i="52" s="1"/>
  <c r="AC60" i="52" s="1"/>
  <c r="AD60" i="52" s="1"/>
  <c r="P60" i="52" s="1"/>
  <c r="AA61" i="52"/>
  <c r="AB61" i="52" s="1"/>
  <c r="AC61" i="52" s="1"/>
  <c r="AD61" i="52" s="1"/>
  <c r="P61" i="52" s="1"/>
  <c r="AA62" i="52"/>
  <c r="AB62" i="52" s="1"/>
  <c r="AC62" i="52" s="1"/>
  <c r="AD62" i="52" s="1"/>
  <c r="P62" i="52" s="1"/>
  <c r="AA63" i="52"/>
  <c r="AB63" i="52" s="1"/>
  <c r="AC63" i="52" s="1"/>
  <c r="AD63" i="52" s="1"/>
  <c r="P63" i="52" s="1"/>
  <c r="AA64" i="52"/>
  <c r="AB64" i="52" s="1"/>
  <c r="AC64" i="52" s="1"/>
  <c r="AD64" i="52" s="1"/>
  <c r="P64" i="52" s="1"/>
  <c r="AA65" i="52"/>
  <c r="AB65" i="52" s="1"/>
  <c r="AC65" i="52" s="1"/>
  <c r="AD65" i="52" s="1"/>
  <c r="P65" i="52" s="1"/>
  <c r="AA66" i="52"/>
  <c r="AB66" i="52" s="1"/>
  <c r="AC66" i="52" s="1"/>
  <c r="AD66" i="52" s="1"/>
  <c r="P66" i="52" s="1"/>
  <c r="AA67" i="52"/>
  <c r="AB67" i="52" s="1"/>
  <c r="AC67" i="52" s="1"/>
  <c r="AD67" i="52" s="1"/>
  <c r="P67" i="52" s="1"/>
  <c r="AA68" i="52"/>
  <c r="AB68" i="52" s="1"/>
  <c r="AC68" i="52" s="1"/>
  <c r="AD68" i="52" s="1"/>
  <c r="P68" i="52" s="1"/>
  <c r="AA69" i="52"/>
  <c r="AB69" i="52" s="1"/>
  <c r="AC69" i="52" s="1"/>
  <c r="AD69" i="52" s="1"/>
  <c r="P69" i="52" s="1"/>
  <c r="AA70" i="52"/>
  <c r="AB70" i="52" s="1"/>
  <c r="AC70" i="52" s="1"/>
  <c r="AD70" i="52" s="1"/>
  <c r="P70" i="52" s="1"/>
  <c r="AA71" i="52"/>
  <c r="AB71" i="52" s="1"/>
  <c r="AC71" i="52" s="1"/>
  <c r="AD71" i="52" s="1"/>
  <c r="P71" i="52" s="1"/>
  <c r="AA72" i="52"/>
  <c r="AB72" i="52" s="1"/>
  <c r="AC72" i="52" s="1"/>
  <c r="AD72" i="52" s="1"/>
  <c r="P72" i="52" s="1"/>
  <c r="AA73" i="52"/>
  <c r="AB73" i="52" s="1"/>
  <c r="AC73" i="52" s="1"/>
  <c r="AD73" i="52" s="1"/>
  <c r="P73" i="52" s="1"/>
  <c r="AA74" i="52"/>
  <c r="AB74" i="52" s="1"/>
  <c r="AC74" i="52" s="1"/>
  <c r="AD74" i="52" s="1"/>
  <c r="P74" i="52" s="1"/>
  <c r="AA75" i="52"/>
  <c r="AB75" i="52" s="1"/>
  <c r="AC75" i="52" s="1"/>
  <c r="AD75" i="52" s="1"/>
  <c r="P75" i="52" s="1"/>
  <c r="AA76" i="52"/>
  <c r="AB76" i="52" s="1"/>
  <c r="AC76" i="52" s="1"/>
  <c r="AD76" i="52" s="1"/>
  <c r="P76" i="52" s="1"/>
  <c r="AA77" i="52"/>
  <c r="AB77" i="52" s="1"/>
  <c r="AC77" i="52" s="1"/>
  <c r="AD77" i="52" s="1"/>
  <c r="P77" i="52" s="1"/>
  <c r="AA78" i="52"/>
  <c r="AB78" i="52" s="1"/>
  <c r="AC78" i="52" s="1"/>
  <c r="AD78" i="52" s="1"/>
  <c r="P78" i="52" s="1"/>
  <c r="AA79" i="52"/>
  <c r="AB79" i="52" s="1"/>
  <c r="AC79" i="52" s="1"/>
  <c r="AD79" i="52" s="1"/>
  <c r="P79" i="52" s="1"/>
  <c r="AA80" i="52"/>
  <c r="AB80" i="52" s="1"/>
  <c r="AC80" i="52" s="1"/>
  <c r="AD80" i="52" s="1"/>
  <c r="P80" i="52" s="1"/>
  <c r="AA81" i="52"/>
  <c r="AB81" i="52" s="1"/>
  <c r="AC81" i="52" s="1"/>
  <c r="AD81" i="52" s="1"/>
  <c r="P81" i="52" s="1"/>
  <c r="AA82" i="52"/>
  <c r="AB82" i="52" s="1"/>
  <c r="AC82" i="52" s="1"/>
  <c r="AD82" i="52" s="1"/>
  <c r="P82" i="52" s="1"/>
  <c r="AA83" i="52"/>
  <c r="AB83" i="52" s="1"/>
  <c r="AC83" i="52" s="1"/>
  <c r="AD83" i="52" s="1"/>
  <c r="P83" i="52" s="1"/>
  <c r="AA84" i="52"/>
  <c r="AB84" i="52" s="1"/>
  <c r="AC84" i="52" s="1"/>
  <c r="AD84" i="52" s="1"/>
  <c r="P84" i="52" s="1"/>
  <c r="AA85" i="52"/>
  <c r="AB85" i="52" s="1"/>
  <c r="AC85" i="52" s="1"/>
  <c r="AD85" i="52" s="1"/>
  <c r="P85" i="52" s="1"/>
  <c r="AA86" i="52"/>
  <c r="AB86" i="52" s="1"/>
  <c r="AC86" i="52" s="1"/>
  <c r="AD86" i="52" s="1"/>
  <c r="P86" i="52" s="1"/>
  <c r="AA87" i="52"/>
  <c r="AB87" i="52" s="1"/>
  <c r="AC87" i="52" s="1"/>
  <c r="AD87" i="52" s="1"/>
  <c r="P87" i="52" s="1"/>
  <c r="AA88" i="52"/>
  <c r="AB88" i="52" s="1"/>
  <c r="AC88" i="52" s="1"/>
  <c r="AD88" i="52" s="1"/>
  <c r="P88" i="52" s="1"/>
  <c r="AA89" i="52"/>
  <c r="AB89" i="52" s="1"/>
  <c r="AC89" i="52" s="1"/>
  <c r="AD89" i="52" s="1"/>
  <c r="P89" i="52" s="1"/>
  <c r="AA90" i="52"/>
  <c r="AB90" i="52" s="1"/>
  <c r="AC90" i="52" s="1"/>
  <c r="AD90" i="52" s="1"/>
  <c r="P90" i="52" s="1"/>
  <c r="AA91" i="52"/>
  <c r="AB91" i="52" s="1"/>
  <c r="AC91" i="52" s="1"/>
  <c r="AD91" i="52" s="1"/>
  <c r="P91" i="52" s="1"/>
  <c r="AA92" i="52"/>
  <c r="AB92" i="52" s="1"/>
  <c r="AC92" i="52" s="1"/>
  <c r="AD92" i="52" s="1"/>
  <c r="P92" i="52" s="1"/>
  <c r="AA93" i="52"/>
  <c r="AB93" i="52" s="1"/>
  <c r="AC93" i="52" s="1"/>
  <c r="AD93" i="52" s="1"/>
  <c r="P93" i="52" s="1"/>
  <c r="AA94" i="52"/>
  <c r="AB94" i="52" s="1"/>
  <c r="AC94" i="52" s="1"/>
  <c r="AD94" i="52" s="1"/>
  <c r="P94" i="52" s="1"/>
  <c r="AA95" i="52"/>
  <c r="AB95" i="52" s="1"/>
  <c r="AC95" i="52" s="1"/>
  <c r="AD95" i="52" s="1"/>
  <c r="P95" i="52" s="1"/>
  <c r="AA96" i="52"/>
  <c r="AB96" i="52" s="1"/>
  <c r="AC96" i="52" s="1"/>
  <c r="AD96" i="52" s="1"/>
  <c r="P96" i="52" s="1"/>
  <c r="AA97" i="52"/>
  <c r="AB97" i="52" s="1"/>
  <c r="AC97" i="52" s="1"/>
  <c r="AD97" i="52" s="1"/>
  <c r="P97" i="52" s="1"/>
  <c r="AA98" i="52"/>
  <c r="AB98" i="52" s="1"/>
  <c r="AC98" i="52" s="1"/>
  <c r="AD98" i="52" s="1"/>
  <c r="P98" i="52" s="1"/>
  <c r="AA99" i="52"/>
  <c r="AB99" i="52" s="1"/>
  <c r="AC99" i="52" s="1"/>
  <c r="AD99" i="52" s="1"/>
  <c r="P99" i="52" s="1"/>
  <c r="AA100" i="52"/>
  <c r="AB100" i="52" s="1"/>
  <c r="AC100" i="52" s="1"/>
  <c r="AD100" i="52" s="1"/>
  <c r="P100" i="52" s="1"/>
  <c r="AA101" i="52"/>
  <c r="AB101" i="52" s="1"/>
  <c r="AC101" i="52" s="1"/>
  <c r="AD101" i="52" s="1"/>
  <c r="P101" i="52" s="1"/>
  <c r="AA102" i="52"/>
  <c r="AB102" i="52" s="1"/>
  <c r="AC102" i="52" s="1"/>
  <c r="AD102" i="52" s="1"/>
  <c r="P102" i="52" s="1"/>
  <c r="AA103" i="52"/>
  <c r="AB103" i="52" s="1"/>
  <c r="AC103" i="52" s="1"/>
  <c r="AD103" i="52" s="1"/>
  <c r="P103" i="52" s="1"/>
  <c r="AA104" i="52"/>
  <c r="AB104" i="52" s="1"/>
  <c r="AC104" i="52" s="1"/>
  <c r="AD104" i="52" s="1"/>
  <c r="P104" i="52" s="1"/>
  <c r="AA105" i="52"/>
  <c r="AB105" i="52" s="1"/>
  <c r="AC105" i="52" s="1"/>
  <c r="AD105" i="52" s="1"/>
  <c r="P105" i="52" s="1"/>
  <c r="AA106" i="52"/>
  <c r="AB106" i="52" s="1"/>
  <c r="AC106" i="52" s="1"/>
  <c r="AD106" i="52" s="1"/>
  <c r="P106" i="52" s="1"/>
  <c r="AA107" i="52"/>
  <c r="AB107" i="52" s="1"/>
  <c r="AC107" i="52" s="1"/>
  <c r="AD107" i="52" s="1"/>
  <c r="P107" i="52" s="1"/>
  <c r="AA108" i="52"/>
  <c r="AB108" i="52" s="1"/>
  <c r="AC108" i="52" s="1"/>
  <c r="AD108" i="52" s="1"/>
  <c r="P108" i="52" s="1"/>
  <c r="AA109" i="52"/>
  <c r="AB109" i="52" s="1"/>
  <c r="AC109" i="52" s="1"/>
  <c r="AD109" i="52" s="1"/>
  <c r="P109" i="52" s="1"/>
  <c r="AA110" i="52"/>
  <c r="AB110" i="52" s="1"/>
  <c r="AC110" i="52" s="1"/>
  <c r="AD110" i="52" s="1"/>
  <c r="P110" i="52" s="1"/>
  <c r="AA111" i="52"/>
  <c r="AB111" i="52" s="1"/>
  <c r="AC111" i="52" s="1"/>
  <c r="AD111" i="52" s="1"/>
  <c r="P111" i="52" s="1"/>
  <c r="AA113" i="52"/>
  <c r="AB113" i="52" s="1"/>
  <c r="AC113" i="52" s="1"/>
  <c r="AD113" i="52" s="1"/>
  <c r="P113" i="52" s="1"/>
  <c r="AA114" i="52"/>
  <c r="AB114" i="52" s="1"/>
  <c r="AC114" i="52" s="1"/>
  <c r="AD114" i="52" s="1"/>
  <c r="P114" i="52" s="1"/>
  <c r="AA115" i="52"/>
  <c r="AB115" i="52" s="1"/>
  <c r="AC115" i="52" s="1"/>
  <c r="AD115" i="52" s="1"/>
  <c r="P115" i="52" s="1"/>
  <c r="AA116" i="52"/>
  <c r="AB116" i="52" s="1"/>
  <c r="AC116" i="52" s="1"/>
  <c r="AD116" i="52" s="1"/>
  <c r="P116" i="52" s="1"/>
  <c r="AA117" i="52"/>
  <c r="AB117" i="52" s="1"/>
  <c r="AC117" i="52" s="1"/>
  <c r="AD117" i="52" s="1"/>
  <c r="P117" i="52" s="1"/>
  <c r="AA118" i="52"/>
  <c r="AB118" i="52" s="1"/>
  <c r="AC118" i="52" s="1"/>
  <c r="AD118" i="52" s="1"/>
  <c r="P118" i="52" s="1"/>
  <c r="AA119" i="52"/>
  <c r="AB119" i="52" s="1"/>
  <c r="AC119" i="52" s="1"/>
  <c r="AD119" i="52" s="1"/>
  <c r="P119" i="52" s="1"/>
  <c r="AA120" i="52"/>
  <c r="AB120" i="52" s="1"/>
  <c r="AC120" i="52" s="1"/>
  <c r="AD120" i="52" s="1"/>
  <c r="P120" i="52" s="1"/>
  <c r="AA121" i="52"/>
  <c r="AB121" i="52" s="1"/>
  <c r="AC121" i="52" s="1"/>
  <c r="AD121" i="52" s="1"/>
  <c r="P121" i="52" s="1"/>
  <c r="AA122" i="52"/>
  <c r="AB122" i="52" s="1"/>
  <c r="AC122" i="52" s="1"/>
  <c r="AD122" i="52" s="1"/>
  <c r="P122" i="52" s="1"/>
  <c r="AA123" i="52"/>
  <c r="AB123" i="52" s="1"/>
  <c r="AC123" i="52" s="1"/>
  <c r="AD123" i="52" s="1"/>
  <c r="P123" i="52" s="1"/>
  <c r="AA124" i="52"/>
  <c r="AB124" i="52" s="1"/>
  <c r="AC124" i="52" s="1"/>
  <c r="AD124" i="52" s="1"/>
  <c r="P124" i="52" s="1"/>
  <c r="AA125" i="52"/>
  <c r="AB125" i="52" s="1"/>
  <c r="AC125" i="52" s="1"/>
  <c r="AD125" i="52" s="1"/>
  <c r="P125" i="52" s="1"/>
  <c r="AA126" i="52"/>
  <c r="AB126" i="52" s="1"/>
  <c r="AC126" i="52" s="1"/>
  <c r="AD126" i="52" s="1"/>
  <c r="P126" i="52" s="1"/>
  <c r="AA127" i="52"/>
  <c r="AB127" i="52" s="1"/>
  <c r="AC127" i="52" s="1"/>
  <c r="AD127" i="52" s="1"/>
  <c r="P127" i="52" s="1"/>
  <c r="AA128" i="52"/>
  <c r="AB128" i="52" s="1"/>
  <c r="AC128" i="52" s="1"/>
  <c r="AD128" i="52" s="1"/>
  <c r="P128" i="52" s="1"/>
  <c r="AA129" i="52"/>
  <c r="AB129" i="52" s="1"/>
  <c r="AC129" i="52" s="1"/>
  <c r="AD129" i="52" s="1"/>
  <c r="P129" i="52" s="1"/>
  <c r="AA130" i="52"/>
  <c r="AB130" i="52" s="1"/>
  <c r="AC130" i="52" s="1"/>
  <c r="AD130" i="52" s="1"/>
  <c r="P130" i="52" s="1"/>
  <c r="AA131" i="52"/>
  <c r="AB131" i="52" s="1"/>
  <c r="AC131" i="52" s="1"/>
  <c r="AD131" i="52" s="1"/>
  <c r="P131" i="52" s="1"/>
  <c r="AA132" i="52"/>
  <c r="AB132" i="52" s="1"/>
  <c r="AC132" i="52" s="1"/>
  <c r="AD132" i="52" s="1"/>
  <c r="P132" i="52" s="1"/>
  <c r="AA133" i="52"/>
  <c r="AB133" i="52" s="1"/>
  <c r="AC133" i="52" s="1"/>
  <c r="AD133" i="52" s="1"/>
  <c r="P133" i="52" s="1"/>
  <c r="AA134" i="52"/>
  <c r="AB134" i="52" s="1"/>
  <c r="AC134" i="52" s="1"/>
  <c r="AD134" i="52" s="1"/>
  <c r="P134" i="52" s="1"/>
  <c r="AA135" i="52"/>
  <c r="AB135" i="52" s="1"/>
  <c r="AC135" i="52" s="1"/>
  <c r="AD135" i="52" s="1"/>
  <c r="P135" i="52" s="1"/>
  <c r="AA136" i="52"/>
  <c r="AB136" i="52" s="1"/>
  <c r="AC136" i="52" s="1"/>
  <c r="AD136" i="52" s="1"/>
  <c r="P136" i="52" s="1"/>
  <c r="AA137" i="52"/>
  <c r="AB137" i="52" s="1"/>
  <c r="AC137" i="52" s="1"/>
  <c r="AD137" i="52" s="1"/>
  <c r="P137" i="52" s="1"/>
  <c r="AA138" i="52"/>
  <c r="AB138" i="52" s="1"/>
  <c r="AC138" i="52" s="1"/>
  <c r="AD138" i="52" s="1"/>
  <c r="P138" i="52" s="1"/>
  <c r="AA139" i="52"/>
  <c r="AB139" i="52" s="1"/>
  <c r="AC139" i="52" s="1"/>
  <c r="AD139" i="52" s="1"/>
  <c r="P139" i="52" s="1"/>
  <c r="AA140" i="52"/>
  <c r="AB140" i="52" s="1"/>
  <c r="AC140" i="52" s="1"/>
  <c r="AD140" i="52" s="1"/>
  <c r="P140" i="52" s="1"/>
  <c r="AA141" i="52"/>
  <c r="AB141" i="52" s="1"/>
  <c r="AC141" i="52" s="1"/>
  <c r="AD141" i="52" s="1"/>
  <c r="P141" i="52" s="1"/>
  <c r="AA142" i="52"/>
  <c r="AB142" i="52" s="1"/>
  <c r="AC142" i="52" s="1"/>
  <c r="AD142" i="52" s="1"/>
  <c r="P142" i="52" s="1"/>
  <c r="AA143" i="52"/>
  <c r="AB143" i="52" s="1"/>
  <c r="AC143" i="52" s="1"/>
  <c r="AD143" i="52" s="1"/>
  <c r="P143" i="52" s="1"/>
  <c r="AA144" i="52"/>
  <c r="AB144" i="52" s="1"/>
  <c r="AC144" i="52" s="1"/>
  <c r="AD144" i="52" s="1"/>
  <c r="P144" i="52" s="1"/>
  <c r="AA145" i="52"/>
  <c r="AB145" i="52" s="1"/>
  <c r="AC145" i="52" s="1"/>
  <c r="AD145" i="52" s="1"/>
  <c r="P145" i="52" s="1"/>
  <c r="AA146" i="52"/>
  <c r="AB146" i="52" s="1"/>
  <c r="AC146" i="52" s="1"/>
  <c r="AD146" i="52" s="1"/>
  <c r="P146" i="52" s="1"/>
  <c r="AA147" i="52"/>
  <c r="AB147" i="52" s="1"/>
  <c r="AC147" i="52" s="1"/>
  <c r="AD147" i="52" s="1"/>
  <c r="P147" i="52" s="1"/>
  <c r="AA148" i="52"/>
  <c r="AB148" i="52" s="1"/>
  <c r="AC148" i="52" s="1"/>
  <c r="AD148" i="52" s="1"/>
  <c r="P148" i="52" s="1"/>
  <c r="AA149" i="52"/>
  <c r="AB149" i="52" s="1"/>
  <c r="AC149" i="52" s="1"/>
  <c r="AD149" i="52" s="1"/>
  <c r="P149" i="52" s="1"/>
  <c r="AA150" i="52"/>
  <c r="AB150" i="52" s="1"/>
  <c r="AC150" i="52" s="1"/>
  <c r="AD150" i="52" s="1"/>
  <c r="P150" i="52" s="1"/>
  <c r="AA151" i="52"/>
  <c r="AB151" i="52" s="1"/>
  <c r="AC151" i="52" s="1"/>
  <c r="AD151" i="52" s="1"/>
  <c r="P151" i="52" s="1"/>
  <c r="AA152" i="52"/>
  <c r="AB152" i="52" s="1"/>
  <c r="AC152" i="52" s="1"/>
  <c r="AD152" i="52" s="1"/>
  <c r="P152" i="52" s="1"/>
  <c r="AA153" i="52"/>
  <c r="AB153" i="52" s="1"/>
  <c r="AC153" i="52" s="1"/>
  <c r="AD153" i="52" s="1"/>
  <c r="P153" i="52" s="1"/>
  <c r="AA154" i="52"/>
  <c r="AB154" i="52" s="1"/>
  <c r="AC154" i="52" s="1"/>
  <c r="AD154" i="52" s="1"/>
  <c r="P154" i="52" s="1"/>
  <c r="AA155" i="52"/>
  <c r="AB155" i="52" s="1"/>
  <c r="AC155" i="52" s="1"/>
  <c r="AD155" i="52" s="1"/>
  <c r="P155" i="52" s="1"/>
  <c r="AA156" i="52"/>
  <c r="AB156" i="52" s="1"/>
  <c r="AC156" i="52" s="1"/>
  <c r="AD156" i="52" s="1"/>
  <c r="P156" i="52" s="1"/>
  <c r="AA157" i="52"/>
  <c r="AB157" i="52" s="1"/>
  <c r="AC157" i="52" s="1"/>
  <c r="AD157" i="52" s="1"/>
  <c r="P157" i="52" s="1"/>
  <c r="AA158" i="52"/>
  <c r="AB158" i="52" s="1"/>
  <c r="AC158" i="52" s="1"/>
  <c r="AD158" i="52" s="1"/>
  <c r="P158" i="52" s="1"/>
  <c r="AA159" i="52"/>
  <c r="AB159" i="52" s="1"/>
  <c r="AC159" i="52" s="1"/>
  <c r="AD159" i="52" s="1"/>
  <c r="P159" i="52" s="1"/>
  <c r="AA160" i="52"/>
  <c r="AB160" i="52" s="1"/>
  <c r="AC160" i="52" s="1"/>
  <c r="AD160" i="52" s="1"/>
  <c r="P160" i="52" s="1"/>
  <c r="AA161" i="52"/>
  <c r="AB161" i="52" s="1"/>
  <c r="AC161" i="52" s="1"/>
  <c r="AD161" i="52" s="1"/>
  <c r="P161" i="52" s="1"/>
  <c r="AA162" i="52"/>
  <c r="AB162" i="52" s="1"/>
  <c r="AC162" i="52" s="1"/>
  <c r="AD162" i="52" s="1"/>
  <c r="P162" i="52" s="1"/>
  <c r="AA163" i="52"/>
  <c r="AB163" i="52" s="1"/>
  <c r="AC163" i="52" s="1"/>
  <c r="AD163" i="52" s="1"/>
  <c r="P163" i="52" s="1"/>
  <c r="AA165" i="52"/>
  <c r="AB165" i="52" s="1"/>
  <c r="AC165" i="52" s="1"/>
  <c r="AD165" i="52" s="1"/>
  <c r="P165" i="52" s="1"/>
  <c r="AA166" i="52"/>
  <c r="AB166" i="52" s="1"/>
  <c r="AC166" i="52" s="1"/>
  <c r="AD166" i="52" s="1"/>
  <c r="P166" i="52" s="1"/>
  <c r="AA167" i="52"/>
  <c r="AB167" i="52" s="1"/>
  <c r="AC167" i="52" s="1"/>
  <c r="AD167" i="52" s="1"/>
  <c r="P167" i="52" s="1"/>
  <c r="AA168" i="52"/>
  <c r="AB168" i="52" s="1"/>
  <c r="AC168" i="52" s="1"/>
  <c r="AD168" i="52" s="1"/>
  <c r="P168" i="52" s="1"/>
  <c r="AA169" i="52"/>
  <c r="AB169" i="52" s="1"/>
  <c r="AC169" i="52" s="1"/>
  <c r="AD169" i="52" s="1"/>
  <c r="P169" i="52" s="1"/>
  <c r="AA170" i="52"/>
  <c r="AB170" i="52" s="1"/>
  <c r="AC170" i="52" s="1"/>
  <c r="AD170" i="52" s="1"/>
  <c r="P170" i="52" s="1"/>
  <c r="AA171" i="52"/>
  <c r="AB171" i="52" s="1"/>
  <c r="AC171" i="52" s="1"/>
  <c r="AD171" i="52" s="1"/>
  <c r="P171" i="52" s="1"/>
  <c r="AA172" i="52"/>
  <c r="AB172" i="52" s="1"/>
  <c r="AC172" i="52" s="1"/>
  <c r="AD172" i="52" s="1"/>
  <c r="P172" i="52" s="1"/>
  <c r="AA2" i="34"/>
  <c r="AB2" i="34" s="1"/>
  <c r="AC2" i="34" s="1"/>
  <c r="AD2" i="34" s="1"/>
  <c r="O2" i="34"/>
  <c r="H2" i="33"/>
  <c r="G2" i="33"/>
  <c r="F2" i="3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46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5" i="12"/>
  <c r="H166" i="12"/>
  <c r="H167" i="12"/>
  <c r="H168" i="12"/>
  <c r="H169" i="12"/>
  <c r="H170" i="12"/>
  <c r="H171" i="12"/>
  <c r="H17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46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5" i="12"/>
  <c r="G166" i="12"/>
  <c r="G167" i="12"/>
  <c r="G168" i="12"/>
  <c r="G169" i="12"/>
  <c r="G170" i="12"/>
  <c r="G171" i="12"/>
  <c r="G17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46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5" i="12"/>
  <c r="F166" i="12"/>
  <c r="F167" i="12"/>
  <c r="F168" i="12"/>
  <c r="F169" i="12"/>
  <c r="F170" i="12"/>
  <c r="F171" i="12"/>
  <c r="F172" i="12"/>
  <c r="AA3" i="38"/>
  <c r="AB3" i="38" s="1"/>
  <c r="AC3" i="38" s="1"/>
  <c r="AD3" i="38" s="1"/>
  <c r="AA4" i="38"/>
  <c r="AB4" i="38" s="1"/>
  <c r="AC4" i="38" s="1"/>
  <c r="AD4" i="38" s="1"/>
  <c r="AA5" i="38"/>
  <c r="AB5" i="38" s="1"/>
  <c r="AC5" i="38" s="1"/>
  <c r="AD5" i="38" s="1"/>
  <c r="P5" i="38" s="1"/>
  <c r="AA6" i="38"/>
  <c r="AB6" i="38" s="1"/>
  <c r="AC6" i="38" s="1"/>
  <c r="AD6" i="38" s="1"/>
  <c r="AA7" i="38"/>
  <c r="AB7" i="38" s="1"/>
  <c r="AC7" i="38" s="1"/>
  <c r="AD7" i="38" s="1"/>
  <c r="AA8" i="38"/>
  <c r="AB8" i="38" s="1"/>
  <c r="AC8" i="38" s="1"/>
  <c r="AD8" i="38" s="1"/>
  <c r="AA9" i="38"/>
  <c r="AB9" i="38" s="1"/>
  <c r="AC9" i="38" s="1"/>
  <c r="AD9" i="38" s="1"/>
  <c r="AA10" i="38"/>
  <c r="AB10" i="38" s="1"/>
  <c r="AC10" i="38" s="1"/>
  <c r="AD10" i="38" s="1"/>
  <c r="AA11" i="38"/>
  <c r="AB11" i="38" s="1"/>
  <c r="AC11" i="38" s="1"/>
  <c r="AD11" i="38" s="1"/>
  <c r="AA12" i="38"/>
  <c r="AB12" i="38" s="1"/>
  <c r="AC12" i="38" s="1"/>
  <c r="AD12" i="38" s="1"/>
  <c r="AA13" i="38"/>
  <c r="AB13" i="38" s="1"/>
  <c r="AC13" i="38" s="1"/>
  <c r="AD13" i="38" s="1"/>
  <c r="AA14" i="38"/>
  <c r="AB14" i="38" s="1"/>
  <c r="AC14" i="38" s="1"/>
  <c r="AD14" i="38" s="1"/>
  <c r="AA15" i="38"/>
  <c r="AB15" i="38" s="1"/>
  <c r="AC15" i="38" s="1"/>
  <c r="AD15" i="38" s="1"/>
  <c r="AA16" i="38"/>
  <c r="AB16" i="38" s="1"/>
  <c r="AC16" i="38" s="1"/>
  <c r="AD16" i="38" s="1"/>
  <c r="AA17" i="38"/>
  <c r="AB17" i="38" s="1"/>
  <c r="AC17" i="38" s="1"/>
  <c r="AD17" i="38" s="1"/>
  <c r="AA18" i="38"/>
  <c r="AB18" i="38" s="1"/>
  <c r="AC18" i="38" s="1"/>
  <c r="AD18" i="38" s="1"/>
  <c r="AA19" i="38"/>
  <c r="AB19" i="38" s="1"/>
  <c r="AC19" i="38" s="1"/>
  <c r="AD19" i="38" s="1"/>
  <c r="AA20" i="38"/>
  <c r="AB20" i="38" s="1"/>
  <c r="AC20" i="38" s="1"/>
  <c r="AD20" i="38" s="1"/>
  <c r="AA22" i="38"/>
  <c r="AB22" i="38" s="1"/>
  <c r="AC22" i="38" s="1"/>
  <c r="AD22" i="38" s="1"/>
  <c r="AA23" i="38"/>
  <c r="AB23" i="38" s="1"/>
  <c r="AC23" i="38" s="1"/>
  <c r="AD23" i="38" s="1"/>
  <c r="AA24" i="38"/>
  <c r="AB24" i="38" s="1"/>
  <c r="AC24" i="38" s="1"/>
  <c r="AD24" i="38" s="1"/>
  <c r="AA25" i="38"/>
  <c r="AB25" i="38" s="1"/>
  <c r="AC25" i="38" s="1"/>
  <c r="AD25" i="38" s="1"/>
  <c r="AA26" i="38"/>
  <c r="AB26" i="38" s="1"/>
  <c r="AC26" i="38" s="1"/>
  <c r="AD26" i="38" s="1"/>
  <c r="AA27" i="38"/>
  <c r="AB27" i="38" s="1"/>
  <c r="AC27" i="38" s="1"/>
  <c r="AD27" i="38" s="1"/>
  <c r="AA28" i="38"/>
  <c r="AB28" i="38" s="1"/>
  <c r="AC28" i="38" s="1"/>
  <c r="AD28" i="38" s="1"/>
  <c r="AA29" i="38"/>
  <c r="AB29" i="38" s="1"/>
  <c r="AC29" i="38" s="1"/>
  <c r="AD29" i="38" s="1"/>
  <c r="AA30" i="38"/>
  <c r="AB30" i="38" s="1"/>
  <c r="AC30" i="38" s="1"/>
  <c r="AD30" i="38" s="1"/>
  <c r="AA31" i="38"/>
  <c r="AB31" i="38" s="1"/>
  <c r="AC31" i="38" s="1"/>
  <c r="AD31" i="38" s="1"/>
  <c r="AA32" i="38"/>
  <c r="AB32" i="38" s="1"/>
  <c r="AC32" i="38" s="1"/>
  <c r="AD32" i="38" s="1"/>
  <c r="AA33" i="38"/>
  <c r="AB33" i="38" s="1"/>
  <c r="AC33" i="38" s="1"/>
  <c r="AD33" i="38" s="1"/>
  <c r="AA34" i="38"/>
  <c r="AB34" i="38" s="1"/>
  <c r="AC34" i="38" s="1"/>
  <c r="AD34" i="38" s="1"/>
  <c r="AA35" i="38"/>
  <c r="AB35" i="38" s="1"/>
  <c r="AC35" i="38" s="1"/>
  <c r="AD35" i="38" s="1"/>
  <c r="AA36" i="38"/>
  <c r="AB36" i="38" s="1"/>
  <c r="AC36" i="38" s="1"/>
  <c r="AD36" i="38" s="1"/>
  <c r="AA37" i="38"/>
  <c r="AB37" i="38" s="1"/>
  <c r="AC37" i="38" s="1"/>
  <c r="AD37" i="38" s="1"/>
  <c r="AA38" i="38"/>
  <c r="AB38" i="38" s="1"/>
  <c r="AC38" i="38" s="1"/>
  <c r="AD38" i="38" s="1"/>
  <c r="AA39" i="38"/>
  <c r="AB39" i="38" s="1"/>
  <c r="AC39" i="38" s="1"/>
  <c r="AD39" i="38" s="1"/>
  <c r="AA40" i="38"/>
  <c r="AB40" i="38" s="1"/>
  <c r="AC40" i="38" s="1"/>
  <c r="AD40" i="38" s="1"/>
  <c r="AA41" i="38"/>
  <c r="AB41" i="38" s="1"/>
  <c r="AC41" i="38" s="1"/>
  <c r="AD41" i="38" s="1"/>
  <c r="AA42" i="38"/>
  <c r="AB42" i="38" s="1"/>
  <c r="AC42" i="38" s="1"/>
  <c r="AD42" i="38" s="1"/>
  <c r="AA43" i="38"/>
  <c r="AB43" i="38" s="1"/>
  <c r="AC43" i="38" s="1"/>
  <c r="AD43" i="38" s="1"/>
  <c r="AA44" i="38"/>
  <c r="AB44" i="38" s="1"/>
  <c r="AC44" i="38" s="1"/>
  <c r="AD44" i="38" s="1"/>
  <c r="AA45" i="38"/>
  <c r="AB45" i="38" s="1"/>
  <c r="AC45" i="38" s="1"/>
  <c r="AD45" i="38" s="1"/>
  <c r="AA46" i="38"/>
  <c r="AB46" i="38" s="1"/>
  <c r="AC46" i="38" s="1"/>
  <c r="AD46" i="38" s="1"/>
  <c r="AA47" i="38"/>
  <c r="AB47" i="38" s="1"/>
  <c r="AC47" i="38" s="1"/>
  <c r="AD47" i="38" s="1"/>
  <c r="AA48" i="38"/>
  <c r="AB48" i="38" s="1"/>
  <c r="AC48" i="38" s="1"/>
  <c r="AD48" i="38" s="1"/>
  <c r="AA49" i="38"/>
  <c r="AB49" i="38" s="1"/>
  <c r="AC49" i="38" s="1"/>
  <c r="AD49" i="38" s="1"/>
  <c r="AA50" i="38"/>
  <c r="AB50" i="38" s="1"/>
  <c r="AC50" i="38" s="1"/>
  <c r="AD50" i="38" s="1"/>
  <c r="AA51" i="38"/>
  <c r="AB51" i="38" s="1"/>
  <c r="AC51" i="38" s="1"/>
  <c r="AD51" i="38" s="1"/>
  <c r="AA52" i="38"/>
  <c r="AB52" i="38" s="1"/>
  <c r="AC52" i="38" s="1"/>
  <c r="AD52" i="38" s="1"/>
  <c r="AA53" i="38"/>
  <c r="AB53" i="38" s="1"/>
  <c r="AC53" i="38" s="1"/>
  <c r="AD53" i="38" s="1"/>
  <c r="AA54" i="38"/>
  <c r="AB54" i="38" s="1"/>
  <c r="AC54" i="38" s="1"/>
  <c r="AD54" i="38" s="1"/>
  <c r="AA55" i="38"/>
  <c r="AB55" i="38" s="1"/>
  <c r="AC55" i="38" s="1"/>
  <c r="AD55" i="38" s="1"/>
  <c r="AA56" i="38"/>
  <c r="AB56" i="38" s="1"/>
  <c r="AC56" i="38" s="1"/>
  <c r="AD56" i="38" s="1"/>
  <c r="AA57" i="38"/>
  <c r="AB57" i="38" s="1"/>
  <c r="AC57" i="38" s="1"/>
  <c r="AD57" i="38" s="1"/>
  <c r="AA58" i="38"/>
  <c r="AB58" i="38" s="1"/>
  <c r="AC58" i="38" s="1"/>
  <c r="AD58" i="38" s="1"/>
  <c r="AA59" i="38"/>
  <c r="AB59" i="38" s="1"/>
  <c r="AC59" i="38" s="1"/>
  <c r="AD59" i="38" s="1"/>
  <c r="AA60" i="38"/>
  <c r="AB60" i="38" s="1"/>
  <c r="AC60" i="38" s="1"/>
  <c r="AD60" i="38" s="1"/>
  <c r="AA61" i="38"/>
  <c r="AB61" i="38" s="1"/>
  <c r="AC61" i="38" s="1"/>
  <c r="AD61" i="38" s="1"/>
  <c r="AA62" i="38"/>
  <c r="AB62" i="38" s="1"/>
  <c r="AC62" i="38" s="1"/>
  <c r="AD62" i="38" s="1"/>
  <c r="AA63" i="38"/>
  <c r="AB63" i="38" s="1"/>
  <c r="AC63" i="38" s="1"/>
  <c r="AD63" i="38" s="1"/>
  <c r="AA64" i="38"/>
  <c r="AB64" i="38" s="1"/>
  <c r="AC64" i="38" s="1"/>
  <c r="AD64" i="38" s="1"/>
  <c r="AA65" i="38"/>
  <c r="AB65" i="38" s="1"/>
  <c r="AC65" i="38" s="1"/>
  <c r="AD65" i="38" s="1"/>
  <c r="AA66" i="38"/>
  <c r="AB66" i="38" s="1"/>
  <c r="AC66" i="38" s="1"/>
  <c r="AD66" i="38" s="1"/>
  <c r="AA67" i="38"/>
  <c r="AB67" i="38" s="1"/>
  <c r="AC67" i="38" s="1"/>
  <c r="AD67" i="38" s="1"/>
  <c r="AA68" i="38"/>
  <c r="AB68" i="38" s="1"/>
  <c r="AC68" i="38" s="1"/>
  <c r="AD68" i="38" s="1"/>
  <c r="AA69" i="38"/>
  <c r="AB69" i="38" s="1"/>
  <c r="AC69" i="38" s="1"/>
  <c r="AD69" i="38" s="1"/>
  <c r="AA70" i="38"/>
  <c r="AB70" i="38" s="1"/>
  <c r="AC70" i="38" s="1"/>
  <c r="AD70" i="38" s="1"/>
  <c r="AA72" i="38"/>
  <c r="AB72" i="38" s="1"/>
  <c r="AC72" i="38" s="1"/>
  <c r="AD72" i="38" s="1"/>
  <c r="AA73" i="38"/>
  <c r="AB73" i="38" s="1"/>
  <c r="AC73" i="38" s="1"/>
  <c r="AD73" i="38" s="1"/>
  <c r="AA74" i="38"/>
  <c r="AB74" i="38" s="1"/>
  <c r="AC74" i="38" s="1"/>
  <c r="AD74" i="38" s="1"/>
  <c r="AA75" i="38"/>
  <c r="AB75" i="38" s="1"/>
  <c r="AC75" i="38" s="1"/>
  <c r="AD75" i="38" s="1"/>
  <c r="AA76" i="38"/>
  <c r="AB76" i="38" s="1"/>
  <c r="AC76" i="38" s="1"/>
  <c r="AD76" i="38" s="1"/>
  <c r="AA77" i="38"/>
  <c r="AB77" i="38" s="1"/>
  <c r="AC77" i="38" s="1"/>
  <c r="AD77" i="38" s="1"/>
  <c r="AA78" i="38"/>
  <c r="AB78" i="38" s="1"/>
  <c r="AC78" i="38" s="1"/>
  <c r="AD78" i="38" s="1"/>
  <c r="AA79" i="38"/>
  <c r="AB79" i="38" s="1"/>
  <c r="AC79" i="38" s="1"/>
  <c r="AD79" i="38" s="1"/>
  <c r="AA80" i="38"/>
  <c r="AB80" i="38" s="1"/>
  <c r="AC80" i="38" s="1"/>
  <c r="AD80" i="38" s="1"/>
  <c r="AA81" i="38"/>
  <c r="AB81" i="38" s="1"/>
  <c r="AC81" i="38" s="1"/>
  <c r="AD81" i="38" s="1"/>
  <c r="AA82" i="38"/>
  <c r="AB82" i="38" s="1"/>
  <c r="AC82" i="38" s="1"/>
  <c r="AD82" i="38" s="1"/>
  <c r="AA83" i="38"/>
  <c r="AB83" i="38" s="1"/>
  <c r="AC83" i="38" s="1"/>
  <c r="AD83" i="38" s="1"/>
  <c r="AA84" i="38"/>
  <c r="AB84" i="38" s="1"/>
  <c r="AC84" i="38" s="1"/>
  <c r="AD84" i="38" s="1"/>
  <c r="AA85" i="38"/>
  <c r="AB85" i="38" s="1"/>
  <c r="AC85" i="38" s="1"/>
  <c r="AD85" i="38" s="1"/>
  <c r="AA86" i="38"/>
  <c r="AB86" i="38" s="1"/>
  <c r="AC86" i="38" s="1"/>
  <c r="AD86" i="38" s="1"/>
  <c r="AA87" i="38"/>
  <c r="AB87" i="38" s="1"/>
  <c r="AC87" i="38" s="1"/>
  <c r="AD87" i="38" s="1"/>
  <c r="AA88" i="38"/>
  <c r="AB88" i="38" s="1"/>
  <c r="AC88" i="38" s="1"/>
  <c r="AD88" i="38" s="1"/>
  <c r="AA89" i="38"/>
  <c r="AB89" i="38" s="1"/>
  <c r="AC89" i="38" s="1"/>
  <c r="AD89" i="38" s="1"/>
  <c r="AA90" i="38"/>
  <c r="AB90" i="38" s="1"/>
  <c r="AC90" i="38" s="1"/>
  <c r="AD90" i="38" s="1"/>
  <c r="AA91" i="38"/>
  <c r="AB91" i="38" s="1"/>
  <c r="AC91" i="38" s="1"/>
  <c r="AD91" i="38" s="1"/>
  <c r="AA92" i="38"/>
  <c r="AB92" i="38" s="1"/>
  <c r="AC92" i="38" s="1"/>
  <c r="AD92" i="38" s="1"/>
  <c r="AA93" i="38"/>
  <c r="AB93" i="38" s="1"/>
  <c r="AC93" i="38" s="1"/>
  <c r="AD93" i="38" s="1"/>
  <c r="AA94" i="38"/>
  <c r="AB94" i="38" s="1"/>
  <c r="AC94" i="38" s="1"/>
  <c r="AD94" i="38" s="1"/>
  <c r="AA95" i="38"/>
  <c r="AB95" i="38" s="1"/>
  <c r="AC95" i="38" s="1"/>
  <c r="AD95" i="38" s="1"/>
  <c r="AA96" i="38"/>
  <c r="AB96" i="38" s="1"/>
  <c r="AC96" i="38" s="1"/>
  <c r="AD96" i="38" s="1"/>
  <c r="AA97" i="38"/>
  <c r="AB97" i="38" s="1"/>
  <c r="AC97" i="38" s="1"/>
  <c r="AD97" i="38" s="1"/>
  <c r="AA98" i="38"/>
  <c r="AB98" i="38" s="1"/>
  <c r="AC98" i="38" s="1"/>
  <c r="AD98" i="38" s="1"/>
  <c r="AA99" i="38"/>
  <c r="AB99" i="38" s="1"/>
  <c r="AC99" i="38" s="1"/>
  <c r="AD99" i="38" s="1"/>
  <c r="AA100" i="38"/>
  <c r="AB100" i="38" s="1"/>
  <c r="AC100" i="38" s="1"/>
  <c r="AD100" i="38" s="1"/>
  <c r="AA101" i="38"/>
  <c r="AB101" i="38" s="1"/>
  <c r="AC101" i="38" s="1"/>
  <c r="AD101" i="38" s="1"/>
  <c r="AA102" i="38"/>
  <c r="AB102" i="38" s="1"/>
  <c r="AC102" i="38" s="1"/>
  <c r="AD102" i="38" s="1"/>
  <c r="AA103" i="38"/>
  <c r="AB103" i="38" s="1"/>
  <c r="AC103" i="38" s="1"/>
  <c r="AD103" i="38" s="1"/>
  <c r="AA104" i="38"/>
  <c r="AB104" i="38" s="1"/>
  <c r="AC104" i="38" s="1"/>
  <c r="AD104" i="38" s="1"/>
  <c r="AA105" i="38"/>
  <c r="AB105" i="38" s="1"/>
  <c r="AC105" i="38" s="1"/>
  <c r="AD105" i="38" s="1"/>
  <c r="AA106" i="38"/>
  <c r="AB106" i="38" s="1"/>
  <c r="AC106" i="38" s="1"/>
  <c r="AD106" i="38" s="1"/>
  <c r="AA107" i="38"/>
  <c r="AB107" i="38" s="1"/>
  <c r="AC107" i="38" s="1"/>
  <c r="AD107" i="38" s="1"/>
  <c r="AA108" i="38"/>
  <c r="AB108" i="38" s="1"/>
  <c r="AC108" i="38" s="1"/>
  <c r="AD108" i="38" s="1"/>
  <c r="AA109" i="38"/>
  <c r="AB109" i="38" s="1"/>
  <c r="AC109" i="38" s="1"/>
  <c r="AD109" i="38" s="1"/>
  <c r="AA110" i="38"/>
  <c r="AB110" i="38" s="1"/>
  <c r="AC110" i="38" s="1"/>
  <c r="AD110" i="38" s="1"/>
  <c r="AA111" i="38"/>
  <c r="AB111" i="38" s="1"/>
  <c r="AC111" i="38" s="1"/>
  <c r="AD111" i="38" s="1"/>
  <c r="AA112" i="38"/>
  <c r="AB112" i="38" s="1"/>
  <c r="AC112" i="38" s="1"/>
  <c r="AD112" i="38" s="1"/>
  <c r="AA113" i="38"/>
  <c r="AB113" i="38" s="1"/>
  <c r="AC113" i="38" s="1"/>
  <c r="AD113" i="38" s="1"/>
  <c r="AA114" i="38"/>
  <c r="AB114" i="38" s="1"/>
  <c r="AC114" i="38" s="1"/>
  <c r="AD114" i="38" s="1"/>
  <c r="AA115" i="38"/>
  <c r="AB115" i="38" s="1"/>
  <c r="AC115" i="38" s="1"/>
  <c r="AD115" i="38" s="1"/>
  <c r="AA116" i="38"/>
  <c r="AB116" i="38" s="1"/>
  <c r="AC116" i="38" s="1"/>
  <c r="AD116" i="38" s="1"/>
  <c r="AA117" i="38"/>
  <c r="AB117" i="38" s="1"/>
  <c r="AC117" i="38" s="1"/>
  <c r="AD117" i="38" s="1"/>
  <c r="AA118" i="38"/>
  <c r="AB118" i="38" s="1"/>
  <c r="AC118" i="38" s="1"/>
  <c r="AD118" i="38" s="1"/>
  <c r="AA119" i="38"/>
  <c r="AB119" i="38" s="1"/>
  <c r="AC119" i="38" s="1"/>
  <c r="AD119" i="38" s="1"/>
  <c r="AA120" i="38"/>
  <c r="AB120" i="38" s="1"/>
  <c r="AC120" i="38" s="1"/>
  <c r="AD120" i="38" s="1"/>
  <c r="AA121" i="38"/>
  <c r="AB121" i="38" s="1"/>
  <c r="AC121" i="38" s="1"/>
  <c r="AD121" i="38" s="1"/>
  <c r="AA122" i="38"/>
  <c r="AB122" i="38" s="1"/>
  <c r="AC122" i="38" s="1"/>
  <c r="AD122" i="38" s="1"/>
  <c r="AA123" i="38"/>
  <c r="AB123" i="38" s="1"/>
  <c r="AC123" i="38" s="1"/>
  <c r="AD123" i="38" s="1"/>
  <c r="AA124" i="38"/>
  <c r="AB124" i="38" s="1"/>
  <c r="AC124" i="38" s="1"/>
  <c r="AD124" i="38" s="1"/>
  <c r="AA125" i="38"/>
  <c r="AB125" i="38" s="1"/>
  <c r="AC125" i="38" s="1"/>
  <c r="AD125" i="38" s="1"/>
  <c r="P125" i="38" s="1"/>
  <c r="AA126" i="38"/>
  <c r="AB126" i="38" s="1"/>
  <c r="AC126" i="38" s="1"/>
  <c r="AD126" i="38" s="1"/>
  <c r="AA127" i="38"/>
  <c r="AB127" i="38" s="1"/>
  <c r="AC127" i="38" s="1"/>
  <c r="AD127" i="38" s="1"/>
  <c r="AA128" i="38"/>
  <c r="AB128" i="38" s="1"/>
  <c r="AC128" i="38" s="1"/>
  <c r="AD128" i="38" s="1"/>
  <c r="AA129" i="38"/>
  <c r="AB129" i="38" s="1"/>
  <c r="AC129" i="38" s="1"/>
  <c r="AD129" i="38" s="1"/>
  <c r="AA130" i="38"/>
  <c r="AB130" i="38" s="1"/>
  <c r="AC130" i="38" s="1"/>
  <c r="AD130" i="38" s="1"/>
  <c r="P130" i="38" s="1"/>
  <c r="AA131" i="38"/>
  <c r="AB131" i="38" s="1"/>
  <c r="AC131" i="38" s="1"/>
  <c r="AD131" i="38" s="1"/>
  <c r="AA132" i="38"/>
  <c r="AB132" i="38" s="1"/>
  <c r="AC132" i="38" s="1"/>
  <c r="AD132" i="38" s="1"/>
  <c r="AA133" i="38"/>
  <c r="AB133" i="38" s="1"/>
  <c r="AC133" i="38" s="1"/>
  <c r="AD133" i="38" s="1"/>
  <c r="AA134" i="38"/>
  <c r="AB134" i="38" s="1"/>
  <c r="AC134" i="38" s="1"/>
  <c r="AD134" i="38" s="1"/>
  <c r="AA135" i="38"/>
  <c r="AB135" i="38" s="1"/>
  <c r="AC135" i="38" s="1"/>
  <c r="AD135" i="38" s="1"/>
  <c r="AA136" i="38"/>
  <c r="AB136" i="38" s="1"/>
  <c r="AC136" i="38" s="1"/>
  <c r="AD136" i="38" s="1"/>
  <c r="AA137" i="38"/>
  <c r="AB137" i="38" s="1"/>
  <c r="AC137" i="38" s="1"/>
  <c r="AD137" i="38" s="1"/>
  <c r="AA138" i="38"/>
  <c r="AB138" i="38" s="1"/>
  <c r="AC138" i="38" s="1"/>
  <c r="AD138" i="38" s="1"/>
  <c r="AA139" i="38"/>
  <c r="AB139" i="38" s="1"/>
  <c r="AC139" i="38" s="1"/>
  <c r="AD139" i="38" s="1"/>
  <c r="AA140" i="38"/>
  <c r="AB140" i="38" s="1"/>
  <c r="AC140" i="38" s="1"/>
  <c r="AD140" i="38" s="1"/>
  <c r="AA141" i="38"/>
  <c r="AB141" i="38" s="1"/>
  <c r="AC141" i="38" s="1"/>
  <c r="AD141" i="38" s="1"/>
  <c r="AA142" i="38"/>
  <c r="AB142" i="38" s="1"/>
  <c r="AC142" i="38" s="1"/>
  <c r="AD142" i="38" s="1"/>
  <c r="AA143" i="38"/>
  <c r="AB143" i="38" s="1"/>
  <c r="AC143" i="38" s="1"/>
  <c r="AD143" i="38" s="1"/>
  <c r="AA144" i="38"/>
  <c r="AB144" i="38" s="1"/>
  <c r="AC144" i="38" s="1"/>
  <c r="AD144" i="38" s="1"/>
  <c r="AA145" i="38"/>
  <c r="AB145" i="38" s="1"/>
  <c r="AC145" i="38" s="1"/>
  <c r="AD145" i="38" s="1"/>
  <c r="AA146" i="38"/>
  <c r="AB146" i="38" s="1"/>
  <c r="AC146" i="38" s="1"/>
  <c r="AD146" i="38" s="1"/>
  <c r="AA147" i="38"/>
  <c r="AB147" i="38" s="1"/>
  <c r="AC147" i="38" s="1"/>
  <c r="AD147" i="38" s="1"/>
  <c r="AA148" i="38"/>
  <c r="AB148" i="38" s="1"/>
  <c r="AC148" i="38" s="1"/>
  <c r="AD148" i="38" s="1"/>
  <c r="AA149" i="38"/>
  <c r="AB149" i="38" s="1"/>
  <c r="AC149" i="38" s="1"/>
  <c r="AD149" i="38" s="1"/>
  <c r="AA150" i="38"/>
  <c r="AB150" i="38" s="1"/>
  <c r="AC150" i="38" s="1"/>
  <c r="AD150" i="38" s="1"/>
  <c r="AA151" i="38"/>
  <c r="AB151" i="38" s="1"/>
  <c r="AC151" i="38" s="1"/>
  <c r="AD151" i="38" s="1"/>
  <c r="AA152" i="38"/>
  <c r="AB152" i="38" s="1"/>
  <c r="AC152" i="38" s="1"/>
  <c r="AD152" i="38" s="1"/>
  <c r="AA153" i="38"/>
  <c r="AB153" i="38" s="1"/>
  <c r="AC153" i="38" s="1"/>
  <c r="AD153" i="38" s="1"/>
  <c r="AA154" i="38"/>
  <c r="AB154" i="38" s="1"/>
  <c r="AC154" i="38" s="1"/>
  <c r="AD154" i="38" s="1"/>
  <c r="AA155" i="38"/>
  <c r="AB155" i="38" s="1"/>
  <c r="AC155" i="38" s="1"/>
  <c r="AD155" i="38" s="1"/>
  <c r="AA156" i="38"/>
  <c r="AB156" i="38" s="1"/>
  <c r="AC156" i="38" s="1"/>
  <c r="AD156" i="38" s="1"/>
  <c r="AA157" i="38"/>
  <c r="AB157" i="38" s="1"/>
  <c r="AC157" i="38" s="1"/>
  <c r="AD157" i="38" s="1"/>
  <c r="AA158" i="38"/>
  <c r="AB158" i="38" s="1"/>
  <c r="AC158" i="38" s="1"/>
  <c r="AD158" i="38" s="1"/>
  <c r="AA159" i="38"/>
  <c r="AB159" i="38" s="1"/>
  <c r="AC159" i="38" s="1"/>
  <c r="AD159" i="38" s="1"/>
  <c r="AA160" i="38"/>
  <c r="AB160" i="38" s="1"/>
  <c r="AC160" i="38" s="1"/>
  <c r="AD160" i="38" s="1"/>
  <c r="AA161" i="38"/>
  <c r="AB161" i="38" s="1"/>
  <c r="AC161" i="38" s="1"/>
  <c r="AD161" i="38" s="1"/>
  <c r="AA162" i="38"/>
  <c r="AB162" i="38" s="1"/>
  <c r="AC162" i="38" s="1"/>
  <c r="AD162" i="38" s="1"/>
  <c r="AA163" i="38"/>
  <c r="AB163" i="38" s="1"/>
  <c r="AC163" i="38" s="1"/>
  <c r="AD163" i="38" s="1"/>
  <c r="AA164" i="38"/>
  <c r="AB164" i="38" s="1"/>
  <c r="AC164" i="38" s="1"/>
  <c r="AD164" i="38" s="1"/>
  <c r="AA165" i="38"/>
  <c r="AB165" i="38" s="1"/>
  <c r="AC165" i="38" s="1"/>
  <c r="AD165" i="38" s="1"/>
  <c r="AA166" i="38"/>
  <c r="AB166" i="38" s="1"/>
  <c r="AC166" i="38" s="1"/>
  <c r="AD166" i="38" s="1"/>
  <c r="AA167" i="38"/>
  <c r="AB167" i="38" s="1"/>
  <c r="AC167" i="38" s="1"/>
  <c r="AD167" i="38" s="1"/>
  <c r="AA168" i="38"/>
  <c r="AB168" i="38" s="1"/>
  <c r="AC168" i="38" s="1"/>
  <c r="AD168" i="38" s="1"/>
  <c r="AA169" i="38"/>
  <c r="AB169" i="38" s="1"/>
  <c r="AC169" i="38" s="1"/>
  <c r="AD169" i="38" s="1"/>
  <c r="AA170" i="38"/>
  <c r="AB170" i="38" s="1"/>
  <c r="AC170" i="38" s="1"/>
  <c r="AD170" i="38" s="1"/>
  <c r="AA171" i="38"/>
  <c r="AB171" i="38" s="1"/>
  <c r="AC171" i="38" s="1"/>
  <c r="AD171" i="38" s="1"/>
  <c r="AA172" i="38"/>
  <c r="AB172" i="38" s="1"/>
  <c r="AC172" i="38" s="1"/>
  <c r="AD172" i="38" s="1"/>
  <c r="AA173" i="38"/>
  <c r="AB173" i="38" s="1"/>
  <c r="AC173" i="38" s="1"/>
  <c r="AD173" i="38" s="1"/>
  <c r="AA174" i="38"/>
  <c r="AB174" i="38" s="1"/>
  <c r="AC174" i="38" s="1"/>
  <c r="AD174" i="38" s="1"/>
  <c r="AA175" i="38"/>
  <c r="AB175" i="38" s="1"/>
  <c r="AC175" i="38" s="1"/>
  <c r="AD175" i="38" s="1"/>
  <c r="AA176" i="38"/>
  <c r="AB176" i="38" s="1"/>
  <c r="AC176" i="38" s="1"/>
  <c r="AD176" i="38" s="1"/>
  <c r="AA177" i="38"/>
  <c r="AB177" i="38" s="1"/>
  <c r="AC177" i="38" s="1"/>
  <c r="AD177" i="38" s="1"/>
  <c r="AA178" i="38"/>
  <c r="AB178" i="38" s="1"/>
  <c r="AC178" i="38" s="1"/>
  <c r="AD178" i="38" s="1"/>
  <c r="AA179" i="38"/>
  <c r="AB179" i="38" s="1"/>
  <c r="AC179" i="38" s="1"/>
  <c r="AD179" i="38" s="1"/>
  <c r="AA180" i="38"/>
  <c r="AB180" i="38" s="1"/>
  <c r="AC180" i="38" s="1"/>
  <c r="AD180" i="38" s="1"/>
  <c r="AA181" i="38"/>
  <c r="AB181" i="38" s="1"/>
  <c r="AC181" i="38" s="1"/>
  <c r="AD181" i="38" s="1"/>
  <c r="AA182" i="38"/>
  <c r="AB182" i="38" s="1"/>
  <c r="AC182" i="38" s="1"/>
  <c r="AD182" i="38" s="1"/>
  <c r="AA183" i="38"/>
  <c r="AB183" i="38" s="1"/>
  <c r="AC183" i="38" s="1"/>
  <c r="AD183" i="38" s="1"/>
  <c r="AA184" i="38"/>
  <c r="AB184" i="38" s="1"/>
  <c r="AC184" i="38" s="1"/>
  <c r="AD184" i="38" s="1"/>
  <c r="AA185" i="38"/>
  <c r="AB185" i="38" s="1"/>
  <c r="AC185" i="38" s="1"/>
  <c r="AD185" i="38" s="1"/>
  <c r="AA186" i="38"/>
  <c r="AB186" i="38" s="1"/>
  <c r="AC186" i="38" s="1"/>
  <c r="AD186" i="38" s="1"/>
  <c r="P186" i="38" s="1"/>
  <c r="AA187" i="38"/>
  <c r="AB187" i="38" s="1"/>
  <c r="AC187" i="38" s="1"/>
  <c r="AD187" i="38" s="1"/>
  <c r="P187" i="38" s="1"/>
  <c r="AA188" i="38"/>
  <c r="AB188" i="38" s="1"/>
  <c r="AC188" i="38" s="1"/>
  <c r="AD188" i="38" s="1"/>
  <c r="P188" i="38" s="1"/>
  <c r="AA189" i="38"/>
  <c r="AB189" i="38" s="1"/>
  <c r="AC189" i="38" s="1"/>
  <c r="AD189" i="38" s="1"/>
  <c r="AA190" i="38"/>
  <c r="AB190" i="38" s="1"/>
  <c r="AC190" i="38" s="1"/>
  <c r="AD190" i="38" s="1"/>
  <c r="AA191" i="38"/>
  <c r="AB191" i="38" s="1"/>
  <c r="AC191" i="38" s="1"/>
  <c r="AD191" i="38" s="1"/>
  <c r="AA192" i="38"/>
  <c r="AB192" i="38" s="1"/>
  <c r="AC192" i="38" s="1"/>
  <c r="AD192" i="38" s="1"/>
  <c r="AA193" i="38"/>
  <c r="AB193" i="38" s="1"/>
  <c r="AC193" i="38" s="1"/>
  <c r="AD193" i="38" s="1"/>
  <c r="AA194" i="38"/>
  <c r="AB194" i="38" s="1"/>
  <c r="AC194" i="38" s="1"/>
  <c r="AD194" i="38" s="1"/>
  <c r="AA195" i="38"/>
  <c r="AB195" i="38" s="1"/>
  <c r="AC195" i="38" s="1"/>
  <c r="AD195" i="38" s="1"/>
  <c r="AA196" i="38"/>
  <c r="AB196" i="38" s="1"/>
  <c r="AC196" i="38" s="1"/>
  <c r="AD196" i="38" s="1"/>
  <c r="AA197" i="38"/>
  <c r="AB197" i="38" s="1"/>
  <c r="AC197" i="38" s="1"/>
  <c r="AD197" i="38" s="1"/>
  <c r="AA198" i="38"/>
  <c r="AB198" i="38" s="1"/>
  <c r="AC198" i="38" s="1"/>
  <c r="AD198" i="38" s="1"/>
  <c r="AA199" i="38"/>
  <c r="AB199" i="38" s="1"/>
  <c r="AC199" i="38" s="1"/>
  <c r="AD199" i="38" s="1"/>
  <c r="AA200" i="38"/>
  <c r="AB200" i="38" s="1"/>
  <c r="AC200" i="38" s="1"/>
  <c r="AD200" i="38" s="1"/>
  <c r="AA201" i="38"/>
  <c r="AB201" i="38" s="1"/>
  <c r="AC201" i="38" s="1"/>
  <c r="AD201" i="38" s="1"/>
  <c r="AA202" i="38"/>
  <c r="AB202" i="38" s="1"/>
  <c r="AC202" i="38" s="1"/>
  <c r="AD202" i="38" s="1"/>
  <c r="O3" i="38"/>
  <c r="O4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21" i="38"/>
  <c r="P21" i="38" s="1"/>
  <c r="O22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P71" i="38" s="1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110" i="38"/>
  <c r="O111" i="38"/>
  <c r="O112" i="38"/>
  <c r="O113" i="38"/>
  <c r="O114" i="38"/>
  <c r="O115" i="38"/>
  <c r="O116" i="38"/>
  <c r="O117" i="38"/>
  <c r="O118" i="38"/>
  <c r="O119" i="38"/>
  <c r="O120" i="38"/>
  <c r="O121" i="38"/>
  <c r="O122" i="38"/>
  <c r="O123" i="38"/>
  <c r="O124" i="38"/>
  <c r="O126" i="38"/>
  <c r="O127" i="38"/>
  <c r="O128" i="38"/>
  <c r="O129" i="38"/>
  <c r="O131" i="38"/>
  <c r="O132" i="38"/>
  <c r="O133" i="38"/>
  <c r="O134" i="38"/>
  <c r="O135" i="38"/>
  <c r="O136" i="38"/>
  <c r="O137" i="38"/>
  <c r="O138" i="38"/>
  <c r="O139" i="38"/>
  <c r="O140" i="38"/>
  <c r="O141" i="38"/>
  <c r="O142" i="38"/>
  <c r="O143" i="38"/>
  <c r="O144" i="38"/>
  <c r="O145" i="38"/>
  <c r="O146" i="38"/>
  <c r="O147" i="38"/>
  <c r="O148" i="38"/>
  <c r="O149" i="38"/>
  <c r="O150" i="38"/>
  <c r="O151" i="38"/>
  <c r="O152" i="38"/>
  <c r="O153" i="38"/>
  <c r="O154" i="38"/>
  <c r="O155" i="38"/>
  <c r="O156" i="38"/>
  <c r="O157" i="38"/>
  <c r="O158" i="38"/>
  <c r="O159" i="38"/>
  <c r="O160" i="38"/>
  <c r="O161" i="38"/>
  <c r="O162" i="38"/>
  <c r="O163" i="38"/>
  <c r="O164" i="38"/>
  <c r="O165" i="38"/>
  <c r="O166" i="38"/>
  <c r="O167" i="38"/>
  <c r="O168" i="38"/>
  <c r="O169" i="38"/>
  <c r="O170" i="38"/>
  <c r="O171" i="38"/>
  <c r="O172" i="38"/>
  <c r="O173" i="38"/>
  <c r="O174" i="38"/>
  <c r="O175" i="38"/>
  <c r="O176" i="38"/>
  <c r="O177" i="38"/>
  <c r="O178" i="38"/>
  <c r="O179" i="38"/>
  <c r="O180" i="38"/>
  <c r="O181" i="38"/>
  <c r="O182" i="38"/>
  <c r="O183" i="38"/>
  <c r="O184" i="38"/>
  <c r="O185" i="38"/>
  <c r="O189" i="38"/>
  <c r="O190" i="38"/>
  <c r="O191" i="38"/>
  <c r="O192" i="38"/>
  <c r="O193" i="38"/>
  <c r="O194" i="38"/>
  <c r="O195" i="38"/>
  <c r="O196" i="38"/>
  <c r="O197" i="38"/>
  <c r="O198" i="38"/>
  <c r="O199" i="38"/>
  <c r="O200" i="38"/>
  <c r="O201" i="38"/>
  <c r="O202" i="38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H97" i="37"/>
  <c r="H98" i="37"/>
  <c r="H99" i="37"/>
  <c r="H100" i="37"/>
  <c r="H101" i="37"/>
  <c r="H102" i="37"/>
  <c r="H103" i="37"/>
  <c r="H104" i="37"/>
  <c r="H105" i="37"/>
  <c r="H106" i="37"/>
  <c r="H107" i="37"/>
  <c r="H108" i="37"/>
  <c r="H109" i="37"/>
  <c r="H110" i="37"/>
  <c r="H111" i="37"/>
  <c r="H112" i="37"/>
  <c r="H113" i="37"/>
  <c r="H114" i="37"/>
  <c r="H115" i="37"/>
  <c r="H116" i="37"/>
  <c r="H117" i="37"/>
  <c r="H118" i="37"/>
  <c r="H119" i="37"/>
  <c r="H120" i="37"/>
  <c r="H121" i="37"/>
  <c r="H122" i="37"/>
  <c r="H123" i="37"/>
  <c r="H124" i="37"/>
  <c r="H125" i="37"/>
  <c r="H126" i="37"/>
  <c r="H127" i="37"/>
  <c r="H128" i="37"/>
  <c r="H129" i="37"/>
  <c r="H130" i="37"/>
  <c r="H131" i="37"/>
  <c r="H132" i="37"/>
  <c r="H133" i="37"/>
  <c r="H134" i="37"/>
  <c r="H135" i="37"/>
  <c r="H136" i="37"/>
  <c r="H137" i="37"/>
  <c r="H138" i="37"/>
  <c r="H139" i="37"/>
  <c r="H140" i="37"/>
  <c r="H141" i="37"/>
  <c r="H142" i="37"/>
  <c r="H143" i="37"/>
  <c r="H144" i="37"/>
  <c r="H145" i="37"/>
  <c r="H146" i="37"/>
  <c r="H147" i="37"/>
  <c r="H148" i="37"/>
  <c r="H149" i="37"/>
  <c r="H150" i="37"/>
  <c r="H151" i="37"/>
  <c r="H152" i="37"/>
  <c r="H153" i="37"/>
  <c r="H154" i="37"/>
  <c r="H155" i="37"/>
  <c r="H156" i="37"/>
  <c r="H157" i="37"/>
  <c r="H158" i="37"/>
  <c r="H159" i="37"/>
  <c r="H160" i="37"/>
  <c r="H161" i="37"/>
  <c r="H162" i="37"/>
  <c r="H163" i="37"/>
  <c r="H164" i="37"/>
  <c r="H165" i="37"/>
  <c r="H166" i="37"/>
  <c r="H167" i="37"/>
  <c r="H168" i="37"/>
  <c r="H169" i="37"/>
  <c r="H170" i="37"/>
  <c r="H171" i="37"/>
  <c r="H172" i="37"/>
  <c r="H173" i="37"/>
  <c r="H174" i="37"/>
  <c r="H175" i="37"/>
  <c r="H176" i="37"/>
  <c r="H177" i="37"/>
  <c r="H178" i="37"/>
  <c r="H179" i="37"/>
  <c r="H180" i="37"/>
  <c r="H181" i="37"/>
  <c r="H182" i="37"/>
  <c r="H183" i="37"/>
  <c r="H184" i="37"/>
  <c r="H185" i="37"/>
  <c r="H186" i="37"/>
  <c r="H187" i="37"/>
  <c r="H188" i="37"/>
  <c r="H189" i="37"/>
  <c r="H190" i="37"/>
  <c r="H191" i="37"/>
  <c r="H192" i="37"/>
  <c r="H193" i="37"/>
  <c r="H194" i="37"/>
  <c r="H195" i="37"/>
  <c r="H196" i="37"/>
  <c r="H197" i="37"/>
  <c r="H198" i="37"/>
  <c r="H199" i="37"/>
  <c r="H200" i="37"/>
  <c r="H201" i="37"/>
  <c r="H202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G91" i="37"/>
  <c r="G92" i="37"/>
  <c r="G93" i="37"/>
  <c r="G94" i="37"/>
  <c r="G95" i="37"/>
  <c r="G96" i="37"/>
  <c r="G97" i="37"/>
  <c r="G98" i="37"/>
  <c r="G99" i="37"/>
  <c r="G100" i="37"/>
  <c r="G101" i="37"/>
  <c r="G102" i="37"/>
  <c r="G103" i="37"/>
  <c r="G104" i="37"/>
  <c r="G105" i="37"/>
  <c r="G106" i="37"/>
  <c r="G107" i="37"/>
  <c r="G108" i="37"/>
  <c r="G109" i="37"/>
  <c r="G110" i="37"/>
  <c r="G111" i="37"/>
  <c r="G112" i="37"/>
  <c r="G113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G126" i="37"/>
  <c r="G127" i="37"/>
  <c r="G128" i="37"/>
  <c r="G129" i="37"/>
  <c r="G130" i="37"/>
  <c r="G131" i="37"/>
  <c r="G132" i="37"/>
  <c r="G133" i="37"/>
  <c r="G134" i="37"/>
  <c r="G135" i="37"/>
  <c r="G136" i="37"/>
  <c r="G137" i="37"/>
  <c r="G138" i="37"/>
  <c r="G139" i="37"/>
  <c r="G140" i="37"/>
  <c r="G141" i="37"/>
  <c r="G142" i="37"/>
  <c r="G143" i="37"/>
  <c r="G144" i="37"/>
  <c r="G145" i="37"/>
  <c r="G146" i="37"/>
  <c r="G147" i="37"/>
  <c r="G148" i="37"/>
  <c r="G149" i="37"/>
  <c r="G150" i="37"/>
  <c r="G151" i="37"/>
  <c r="G152" i="37"/>
  <c r="G153" i="37"/>
  <c r="G154" i="37"/>
  <c r="G155" i="37"/>
  <c r="G156" i="37"/>
  <c r="G157" i="37"/>
  <c r="G158" i="37"/>
  <c r="G159" i="37"/>
  <c r="G160" i="37"/>
  <c r="G161" i="37"/>
  <c r="G162" i="37"/>
  <c r="G163" i="37"/>
  <c r="G164" i="37"/>
  <c r="G165" i="37"/>
  <c r="G166" i="37"/>
  <c r="G167" i="37"/>
  <c r="G168" i="37"/>
  <c r="G169" i="37"/>
  <c r="G170" i="37"/>
  <c r="G171" i="37"/>
  <c r="G172" i="37"/>
  <c r="G173" i="37"/>
  <c r="G174" i="37"/>
  <c r="G175" i="37"/>
  <c r="G176" i="37"/>
  <c r="G177" i="37"/>
  <c r="G178" i="37"/>
  <c r="G179" i="37"/>
  <c r="G180" i="37"/>
  <c r="G181" i="37"/>
  <c r="G182" i="37"/>
  <c r="G183" i="37"/>
  <c r="G184" i="37"/>
  <c r="G185" i="37"/>
  <c r="G186" i="37"/>
  <c r="G187" i="37"/>
  <c r="G188" i="37"/>
  <c r="G189" i="37"/>
  <c r="G190" i="37"/>
  <c r="G191" i="37"/>
  <c r="G192" i="37"/>
  <c r="G193" i="37"/>
  <c r="G194" i="37"/>
  <c r="G195" i="37"/>
  <c r="G196" i="37"/>
  <c r="G197" i="37"/>
  <c r="G198" i="37"/>
  <c r="G199" i="37"/>
  <c r="G200" i="37"/>
  <c r="G201" i="37"/>
  <c r="G202" i="37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21" i="37"/>
  <c r="F22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74" i="37"/>
  <c r="F75" i="37"/>
  <c r="F76" i="37"/>
  <c r="F77" i="37"/>
  <c r="F78" i="37"/>
  <c r="F79" i="37"/>
  <c r="F80" i="37"/>
  <c r="F81" i="37"/>
  <c r="F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97" i="37"/>
  <c r="F98" i="37"/>
  <c r="F99" i="37"/>
  <c r="F100" i="37"/>
  <c r="F101" i="37"/>
  <c r="F102" i="37"/>
  <c r="F103" i="37"/>
  <c r="F104" i="37"/>
  <c r="F105" i="37"/>
  <c r="F106" i="37"/>
  <c r="F107" i="37"/>
  <c r="F108" i="37"/>
  <c r="F109" i="37"/>
  <c r="F110" i="37"/>
  <c r="F111" i="37"/>
  <c r="F112" i="37"/>
  <c r="F113" i="37"/>
  <c r="F114" i="37"/>
  <c r="F115" i="37"/>
  <c r="F116" i="37"/>
  <c r="F117" i="37"/>
  <c r="F118" i="37"/>
  <c r="F119" i="37"/>
  <c r="F120" i="37"/>
  <c r="F121" i="37"/>
  <c r="F122" i="37"/>
  <c r="F123" i="37"/>
  <c r="F124" i="37"/>
  <c r="F125" i="37"/>
  <c r="F126" i="37"/>
  <c r="F127" i="37"/>
  <c r="F128" i="37"/>
  <c r="F129" i="37"/>
  <c r="F130" i="37"/>
  <c r="F131" i="37"/>
  <c r="F132" i="37"/>
  <c r="F133" i="37"/>
  <c r="F134" i="37"/>
  <c r="F135" i="37"/>
  <c r="F136" i="37"/>
  <c r="F137" i="37"/>
  <c r="F138" i="37"/>
  <c r="F139" i="37"/>
  <c r="F140" i="37"/>
  <c r="F141" i="37"/>
  <c r="F142" i="37"/>
  <c r="F143" i="37"/>
  <c r="F144" i="37"/>
  <c r="F145" i="37"/>
  <c r="F146" i="37"/>
  <c r="F147" i="37"/>
  <c r="F148" i="37"/>
  <c r="F149" i="37"/>
  <c r="F150" i="37"/>
  <c r="F151" i="37"/>
  <c r="F152" i="37"/>
  <c r="F153" i="37"/>
  <c r="F154" i="37"/>
  <c r="F155" i="37"/>
  <c r="F156" i="37"/>
  <c r="F157" i="37"/>
  <c r="F158" i="37"/>
  <c r="F159" i="37"/>
  <c r="F160" i="37"/>
  <c r="F161" i="37"/>
  <c r="F162" i="37"/>
  <c r="F163" i="37"/>
  <c r="F164" i="37"/>
  <c r="F165" i="37"/>
  <c r="F166" i="37"/>
  <c r="F167" i="37"/>
  <c r="F168" i="37"/>
  <c r="F169" i="37"/>
  <c r="F170" i="37"/>
  <c r="F171" i="37"/>
  <c r="F172" i="37"/>
  <c r="F173" i="37"/>
  <c r="F174" i="37"/>
  <c r="F175" i="37"/>
  <c r="F176" i="37"/>
  <c r="F177" i="37"/>
  <c r="F178" i="37"/>
  <c r="F179" i="37"/>
  <c r="F180" i="37"/>
  <c r="F181" i="37"/>
  <c r="F182" i="37"/>
  <c r="F183" i="37"/>
  <c r="F184" i="37"/>
  <c r="F185" i="37"/>
  <c r="F186" i="37"/>
  <c r="F187" i="37"/>
  <c r="F188" i="37"/>
  <c r="F189" i="37"/>
  <c r="F190" i="37"/>
  <c r="F191" i="37"/>
  <c r="F192" i="37"/>
  <c r="F193" i="37"/>
  <c r="F194" i="37"/>
  <c r="F195" i="37"/>
  <c r="F196" i="37"/>
  <c r="F197" i="37"/>
  <c r="F198" i="37"/>
  <c r="F199" i="37"/>
  <c r="F200" i="37"/>
  <c r="F201" i="37"/>
  <c r="F202" i="37"/>
  <c r="AA3" i="47"/>
  <c r="AB3" i="47" s="1"/>
  <c r="AC3" i="47" s="1"/>
  <c r="AD3" i="47" s="1"/>
  <c r="AA4" i="47"/>
  <c r="AB4" i="47" s="1"/>
  <c r="AC4" i="47" s="1"/>
  <c r="AD4" i="47" s="1"/>
  <c r="AA5" i="47"/>
  <c r="AB5" i="47" s="1"/>
  <c r="AC5" i="47" s="1"/>
  <c r="AD5" i="47" s="1"/>
  <c r="AA6" i="47"/>
  <c r="AB6" i="47" s="1"/>
  <c r="AC6" i="47" s="1"/>
  <c r="AD6" i="47" s="1"/>
  <c r="AA7" i="47"/>
  <c r="AB7" i="47" s="1"/>
  <c r="AC7" i="47" s="1"/>
  <c r="AD7" i="47" s="1"/>
  <c r="AA8" i="47"/>
  <c r="AB8" i="47" s="1"/>
  <c r="AC8" i="47" s="1"/>
  <c r="AD8" i="47" s="1"/>
  <c r="AA9" i="47"/>
  <c r="AB9" i="47" s="1"/>
  <c r="AC9" i="47" s="1"/>
  <c r="AD9" i="47" s="1"/>
  <c r="AA10" i="47"/>
  <c r="AB10" i="47" s="1"/>
  <c r="AC10" i="47" s="1"/>
  <c r="AD10" i="47" s="1"/>
  <c r="AA11" i="47"/>
  <c r="AB11" i="47" s="1"/>
  <c r="AC11" i="47" s="1"/>
  <c r="AD11" i="47" s="1"/>
  <c r="AA12" i="47"/>
  <c r="AB12" i="47" s="1"/>
  <c r="AC12" i="47" s="1"/>
  <c r="AD12" i="47" s="1"/>
  <c r="AA13" i="47"/>
  <c r="AB13" i="47" s="1"/>
  <c r="AC13" i="47" s="1"/>
  <c r="AD13" i="47" s="1"/>
  <c r="AA14" i="47"/>
  <c r="AB14" i="47" s="1"/>
  <c r="AC14" i="47" s="1"/>
  <c r="AD14" i="47" s="1"/>
  <c r="AA15" i="47"/>
  <c r="AB15" i="47" s="1"/>
  <c r="AC15" i="47" s="1"/>
  <c r="AD15" i="47" s="1"/>
  <c r="AA16" i="47"/>
  <c r="AB16" i="47" s="1"/>
  <c r="AC16" i="47" s="1"/>
  <c r="AD16" i="47" s="1"/>
  <c r="AA17" i="47"/>
  <c r="AB17" i="47" s="1"/>
  <c r="AC17" i="47" s="1"/>
  <c r="AD17" i="47" s="1"/>
  <c r="AA18" i="47"/>
  <c r="AB18" i="47" s="1"/>
  <c r="AC18" i="47" s="1"/>
  <c r="AD18" i="47" s="1"/>
  <c r="AA19" i="47"/>
  <c r="AB19" i="47" s="1"/>
  <c r="AC19" i="47" s="1"/>
  <c r="AD19" i="47" s="1"/>
  <c r="AA20" i="47"/>
  <c r="AB20" i="47" s="1"/>
  <c r="AC20" i="47" s="1"/>
  <c r="AD20" i="47" s="1"/>
  <c r="AA21" i="47"/>
  <c r="AB21" i="47" s="1"/>
  <c r="AC21" i="47" s="1"/>
  <c r="AD21" i="47" s="1"/>
  <c r="AA22" i="47"/>
  <c r="AB22" i="47" s="1"/>
  <c r="AC22" i="47" s="1"/>
  <c r="AD22" i="47" s="1"/>
  <c r="AA23" i="47"/>
  <c r="AB23" i="47" s="1"/>
  <c r="AC23" i="47" s="1"/>
  <c r="AD23" i="47" s="1"/>
  <c r="AA24" i="47"/>
  <c r="AB24" i="47" s="1"/>
  <c r="AC24" i="47" s="1"/>
  <c r="AD24" i="47" s="1"/>
  <c r="AA25" i="47"/>
  <c r="AB25" i="47" s="1"/>
  <c r="AC25" i="47" s="1"/>
  <c r="AD25" i="47" s="1"/>
  <c r="AA27" i="47"/>
  <c r="AB27" i="47" s="1"/>
  <c r="AC27" i="47" s="1"/>
  <c r="AD27" i="47" s="1"/>
  <c r="AA28" i="47"/>
  <c r="AB28" i="47" s="1"/>
  <c r="AC28" i="47" s="1"/>
  <c r="AD28" i="47" s="1"/>
  <c r="AA29" i="47"/>
  <c r="AB29" i="47" s="1"/>
  <c r="AC29" i="47" s="1"/>
  <c r="AD29" i="47" s="1"/>
  <c r="AA30" i="47"/>
  <c r="AB30" i="47" s="1"/>
  <c r="AC30" i="47" s="1"/>
  <c r="AD30" i="47" s="1"/>
  <c r="AA31" i="47"/>
  <c r="AB31" i="47" s="1"/>
  <c r="AC31" i="47" s="1"/>
  <c r="AD31" i="47" s="1"/>
  <c r="AA32" i="47"/>
  <c r="AB32" i="47" s="1"/>
  <c r="AC32" i="47" s="1"/>
  <c r="AD32" i="47" s="1"/>
  <c r="AA33" i="47"/>
  <c r="AB33" i="47" s="1"/>
  <c r="AC33" i="47" s="1"/>
  <c r="AD33" i="47" s="1"/>
  <c r="AA34" i="47"/>
  <c r="AB34" i="47" s="1"/>
  <c r="AC34" i="47" s="1"/>
  <c r="AD34" i="47" s="1"/>
  <c r="AA35" i="47"/>
  <c r="AB35" i="47" s="1"/>
  <c r="AC35" i="47" s="1"/>
  <c r="AD35" i="47" s="1"/>
  <c r="AB38" i="47"/>
  <c r="AA39" i="47"/>
  <c r="AB39" i="47" s="1"/>
  <c r="AA40" i="47"/>
  <c r="AB40" i="47" s="1"/>
  <c r="AC40" i="47" s="1"/>
  <c r="AD40" i="47" s="1"/>
  <c r="AA41" i="47"/>
  <c r="AB41" i="47" s="1"/>
  <c r="AC41" i="47" s="1"/>
  <c r="AD41" i="47" s="1"/>
  <c r="AA42" i="47"/>
  <c r="AB42" i="47" s="1"/>
  <c r="AC42" i="47" s="1"/>
  <c r="AD42" i="47" s="1"/>
  <c r="AA43" i="47"/>
  <c r="AB43" i="47" s="1"/>
  <c r="AC43" i="47" s="1"/>
  <c r="AD43" i="47" s="1"/>
  <c r="AA44" i="47"/>
  <c r="AB44" i="47" s="1"/>
  <c r="AC44" i="47" s="1"/>
  <c r="AD44" i="47" s="1"/>
  <c r="AA45" i="47"/>
  <c r="AB45" i="47" s="1"/>
  <c r="AC45" i="47" s="1"/>
  <c r="AD45" i="47" s="1"/>
  <c r="AA46" i="47"/>
  <c r="AB46" i="47" s="1"/>
  <c r="AC46" i="47" s="1"/>
  <c r="AD46" i="47" s="1"/>
  <c r="AA47" i="47"/>
  <c r="AB47" i="47" s="1"/>
  <c r="AC47" i="47" s="1"/>
  <c r="AD47" i="47" s="1"/>
  <c r="AA48" i="47"/>
  <c r="AB48" i="47" s="1"/>
  <c r="AC48" i="47" s="1"/>
  <c r="AD48" i="47" s="1"/>
  <c r="AA49" i="47"/>
  <c r="AB49" i="47" s="1"/>
  <c r="AC49" i="47" s="1"/>
  <c r="AD49" i="47" s="1"/>
  <c r="AA50" i="47"/>
  <c r="AB50" i="47" s="1"/>
  <c r="AC50" i="47" s="1"/>
  <c r="AD50" i="47" s="1"/>
  <c r="AA51" i="47"/>
  <c r="AB51" i="47" s="1"/>
  <c r="AC51" i="47" s="1"/>
  <c r="AD51" i="47" s="1"/>
  <c r="AA52" i="47"/>
  <c r="AB52" i="47" s="1"/>
  <c r="AC52" i="47" s="1"/>
  <c r="AD52" i="47" s="1"/>
  <c r="AA53" i="47"/>
  <c r="AB53" i="47" s="1"/>
  <c r="AC53" i="47" s="1"/>
  <c r="AD53" i="47" s="1"/>
  <c r="AA54" i="47"/>
  <c r="AB54" i="47" s="1"/>
  <c r="AC54" i="47" s="1"/>
  <c r="AD54" i="47" s="1"/>
  <c r="AA55" i="47"/>
  <c r="AB55" i="47" s="1"/>
  <c r="AC55" i="47" s="1"/>
  <c r="AD55" i="47" s="1"/>
  <c r="AA56" i="47"/>
  <c r="AB56" i="47" s="1"/>
  <c r="AC56" i="47" s="1"/>
  <c r="AD56" i="47" s="1"/>
  <c r="AA57" i="47"/>
  <c r="AB57" i="47" s="1"/>
  <c r="AC57" i="47" s="1"/>
  <c r="AD57" i="47" s="1"/>
  <c r="AA58" i="47"/>
  <c r="AB58" i="47" s="1"/>
  <c r="AC58" i="47" s="1"/>
  <c r="AD58" i="47" s="1"/>
  <c r="AA59" i="47"/>
  <c r="AB59" i="47" s="1"/>
  <c r="AC59" i="47" s="1"/>
  <c r="AD59" i="47" s="1"/>
  <c r="AA60" i="47"/>
  <c r="AB60" i="47" s="1"/>
  <c r="AC60" i="47" s="1"/>
  <c r="AD60" i="47" s="1"/>
  <c r="AA61" i="47"/>
  <c r="AB61" i="47" s="1"/>
  <c r="AC61" i="47" s="1"/>
  <c r="AD61" i="47" s="1"/>
  <c r="AA62" i="47"/>
  <c r="AB62" i="47" s="1"/>
  <c r="AC62" i="47" s="1"/>
  <c r="AD62" i="47" s="1"/>
  <c r="AA63" i="47"/>
  <c r="AB63" i="47" s="1"/>
  <c r="AC63" i="47" s="1"/>
  <c r="AD63" i="47" s="1"/>
  <c r="AA64" i="47"/>
  <c r="AB64" i="47" s="1"/>
  <c r="AC64" i="47" s="1"/>
  <c r="AD64" i="47" s="1"/>
  <c r="AA65" i="47"/>
  <c r="AB65" i="47" s="1"/>
  <c r="AC65" i="47" s="1"/>
  <c r="AD65" i="47" s="1"/>
  <c r="AA66" i="47"/>
  <c r="AB66" i="47" s="1"/>
  <c r="AC66" i="47" s="1"/>
  <c r="AD66" i="47" s="1"/>
  <c r="AA67" i="47"/>
  <c r="AB67" i="47" s="1"/>
  <c r="AC67" i="47" s="1"/>
  <c r="AD67" i="47" s="1"/>
  <c r="AA68" i="47"/>
  <c r="AB68" i="47" s="1"/>
  <c r="AC68" i="47" s="1"/>
  <c r="AD68" i="47" s="1"/>
  <c r="AA69" i="47"/>
  <c r="AB69" i="47" s="1"/>
  <c r="AC69" i="47" s="1"/>
  <c r="AD69" i="47" s="1"/>
  <c r="AA70" i="47"/>
  <c r="AB70" i="47" s="1"/>
  <c r="AC70" i="47" s="1"/>
  <c r="AD70" i="47" s="1"/>
  <c r="AA71" i="47"/>
  <c r="AB71" i="47" s="1"/>
  <c r="AC71" i="47" s="1"/>
  <c r="AD71" i="47" s="1"/>
  <c r="AA72" i="47"/>
  <c r="AB72" i="47" s="1"/>
  <c r="AC72" i="47" s="1"/>
  <c r="AD72" i="47" s="1"/>
  <c r="AA73" i="47"/>
  <c r="AB73" i="47" s="1"/>
  <c r="AC73" i="47" s="1"/>
  <c r="AD73" i="47" s="1"/>
  <c r="AA74" i="47"/>
  <c r="AB74" i="47" s="1"/>
  <c r="AC74" i="47" s="1"/>
  <c r="AD74" i="47" s="1"/>
  <c r="AA75" i="47"/>
  <c r="AB75" i="47" s="1"/>
  <c r="AC75" i="47" s="1"/>
  <c r="AD75" i="47" s="1"/>
  <c r="AA76" i="47"/>
  <c r="AB76" i="47" s="1"/>
  <c r="AC76" i="47" s="1"/>
  <c r="AD76" i="47" s="1"/>
  <c r="AA77" i="47"/>
  <c r="AB77" i="47" s="1"/>
  <c r="AC77" i="47" s="1"/>
  <c r="AD77" i="47" s="1"/>
  <c r="AA79" i="47"/>
  <c r="AB79" i="47" s="1"/>
  <c r="AC79" i="47" s="1"/>
  <c r="AD79" i="47" s="1"/>
  <c r="AA80" i="47"/>
  <c r="AB80" i="47" s="1"/>
  <c r="AC80" i="47" s="1"/>
  <c r="AD80" i="47" s="1"/>
  <c r="AA81" i="47"/>
  <c r="AB81" i="47" s="1"/>
  <c r="AC81" i="47" s="1"/>
  <c r="AD81" i="47" s="1"/>
  <c r="AA82" i="47"/>
  <c r="AB82" i="47" s="1"/>
  <c r="AC82" i="47" s="1"/>
  <c r="AD82" i="47" s="1"/>
  <c r="AA83" i="47"/>
  <c r="AB83" i="47" s="1"/>
  <c r="AC83" i="47" s="1"/>
  <c r="AD83" i="47" s="1"/>
  <c r="AA84" i="47"/>
  <c r="AB84" i="47" s="1"/>
  <c r="AC84" i="47" s="1"/>
  <c r="AD84" i="47" s="1"/>
  <c r="AA85" i="47"/>
  <c r="AB85" i="47" s="1"/>
  <c r="AC85" i="47" s="1"/>
  <c r="AD85" i="47" s="1"/>
  <c r="AA86" i="47"/>
  <c r="AB86" i="47" s="1"/>
  <c r="AC86" i="47" s="1"/>
  <c r="AD86" i="47" s="1"/>
  <c r="AA87" i="47"/>
  <c r="AB87" i="47" s="1"/>
  <c r="AC87" i="47" s="1"/>
  <c r="AD87" i="47" s="1"/>
  <c r="AA88" i="47"/>
  <c r="AB88" i="47" s="1"/>
  <c r="AC88" i="47" s="1"/>
  <c r="AD88" i="47" s="1"/>
  <c r="AA89" i="47"/>
  <c r="AB89" i="47" s="1"/>
  <c r="AC89" i="47" s="1"/>
  <c r="AD89" i="47" s="1"/>
  <c r="AA90" i="47"/>
  <c r="AB90" i="47" s="1"/>
  <c r="AC90" i="47" s="1"/>
  <c r="AD90" i="47" s="1"/>
  <c r="AA133" i="47"/>
  <c r="AB133" i="47" s="1"/>
  <c r="AC133" i="47" s="1"/>
  <c r="AD133" i="47" s="1"/>
  <c r="AA92" i="47"/>
  <c r="AB92" i="47" s="1"/>
  <c r="AC92" i="47" s="1"/>
  <c r="AD92" i="47" s="1"/>
  <c r="AA93" i="47"/>
  <c r="AB93" i="47" s="1"/>
  <c r="AC93" i="47" s="1"/>
  <c r="AD93" i="47" s="1"/>
  <c r="AA94" i="47"/>
  <c r="AB94" i="47" s="1"/>
  <c r="AC94" i="47" s="1"/>
  <c r="AD94" i="47" s="1"/>
  <c r="AA95" i="47"/>
  <c r="AB95" i="47" s="1"/>
  <c r="AC95" i="47" s="1"/>
  <c r="AD95" i="47" s="1"/>
  <c r="AA96" i="47"/>
  <c r="AB96" i="47" s="1"/>
  <c r="AC96" i="47" s="1"/>
  <c r="AD96" i="47" s="1"/>
  <c r="AA97" i="47"/>
  <c r="AB97" i="47" s="1"/>
  <c r="AC97" i="47" s="1"/>
  <c r="AD97" i="47" s="1"/>
  <c r="AA98" i="47"/>
  <c r="AB98" i="47" s="1"/>
  <c r="AC98" i="47" s="1"/>
  <c r="AD98" i="47" s="1"/>
  <c r="AA99" i="47"/>
  <c r="AB99" i="47" s="1"/>
  <c r="AC99" i="47" s="1"/>
  <c r="AD99" i="47" s="1"/>
  <c r="AA100" i="47"/>
  <c r="AB100" i="47" s="1"/>
  <c r="AC100" i="47" s="1"/>
  <c r="AD100" i="47" s="1"/>
  <c r="AA101" i="47"/>
  <c r="AB101" i="47" s="1"/>
  <c r="AC101" i="47" s="1"/>
  <c r="AD101" i="47" s="1"/>
  <c r="AA102" i="47"/>
  <c r="AB102" i="47" s="1"/>
  <c r="AC102" i="47" s="1"/>
  <c r="AD102" i="47" s="1"/>
  <c r="AA103" i="47"/>
  <c r="AB103" i="47" s="1"/>
  <c r="AC103" i="47" s="1"/>
  <c r="AD103" i="47" s="1"/>
  <c r="AA104" i="47"/>
  <c r="AB104" i="47" s="1"/>
  <c r="AC104" i="47" s="1"/>
  <c r="AD104" i="47" s="1"/>
  <c r="AA105" i="47"/>
  <c r="AB105" i="47" s="1"/>
  <c r="AC105" i="47" s="1"/>
  <c r="AD105" i="47" s="1"/>
  <c r="AA106" i="47"/>
  <c r="AB106" i="47" s="1"/>
  <c r="AC106" i="47" s="1"/>
  <c r="AD106" i="47" s="1"/>
  <c r="AA107" i="47"/>
  <c r="AB107" i="47" s="1"/>
  <c r="AC107" i="47" s="1"/>
  <c r="AD107" i="47" s="1"/>
  <c r="AA108" i="47"/>
  <c r="AB108" i="47" s="1"/>
  <c r="AC108" i="47" s="1"/>
  <c r="AD108" i="47" s="1"/>
  <c r="AA109" i="47"/>
  <c r="AB109" i="47" s="1"/>
  <c r="AC109" i="47" s="1"/>
  <c r="AD109" i="47" s="1"/>
  <c r="AA110" i="47"/>
  <c r="AB110" i="47" s="1"/>
  <c r="AC110" i="47" s="1"/>
  <c r="AD110" i="47" s="1"/>
  <c r="AA111" i="47"/>
  <c r="AB111" i="47" s="1"/>
  <c r="AC111" i="47" s="1"/>
  <c r="AD111" i="47" s="1"/>
  <c r="AA112" i="47"/>
  <c r="AB112" i="47" s="1"/>
  <c r="AC112" i="47" s="1"/>
  <c r="AD112" i="47" s="1"/>
  <c r="AA113" i="47"/>
  <c r="AB113" i="47" s="1"/>
  <c r="AC113" i="47" s="1"/>
  <c r="AD113" i="47" s="1"/>
  <c r="AA114" i="47"/>
  <c r="AB114" i="47" s="1"/>
  <c r="AC114" i="47" s="1"/>
  <c r="AD114" i="47" s="1"/>
  <c r="AA115" i="47"/>
  <c r="AB115" i="47" s="1"/>
  <c r="AC115" i="47" s="1"/>
  <c r="AD115" i="47" s="1"/>
  <c r="AA116" i="47"/>
  <c r="AB116" i="47" s="1"/>
  <c r="AC116" i="47" s="1"/>
  <c r="AD116" i="47" s="1"/>
  <c r="AA117" i="47"/>
  <c r="AB117" i="47" s="1"/>
  <c r="AC117" i="47" s="1"/>
  <c r="AD117" i="47" s="1"/>
  <c r="AA118" i="47"/>
  <c r="AB118" i="47" s="1"/>
  <c r="AC118" i="47" s="1"/>
  <c r="AD118" i="47" s="1"/>
  <c r="AA119" i="47"/>
  <c r="AB119" i="47" s="1"/>
  <c r="AC119" i="47" s="1"/>
  <c r="AD119" i="47" s="1"/>
  <c r="AA120" i="47"/>
  <c r="AB120" i="47" s="1"/>
  <c r="AC120" i="47" s="1"/>
  <c r="AD120" i="47" s="1"/>
  <c r="AA121" i="47"/>
  <c r="AB121" i="47" s="1"/>
  <c r="AC121" i="47" s="1"/>
  <c r="AD121" i="47" s="1"/>
  <c r="AA122" i="47"/>
  <c r="AB122" i="47" s="1"/>
  <c r="AC122" i="47" s="1"/>
  <c r="AD122" i="47" s="1"/>
  <c r="AA123" i="47"/>
  <c r="AB123" i="47" s="1"/>
  <c r="AC123" i="47" s="1"/>
  <c r="AD123" i="47" s="1"/>
  <c r="AA124" i="47"/>
  <c r="AB124" i="47" s="1"/>
  <c r="AC124" i="47" s="1"/>
  <c r="AD124" i="47" s="1"/>
  <c r="AA125" i="47"/>
  <c r="AB125" i="47" s="1"/>
  <c r="AC125" i="47" s="1"/>
  <c r="AD125" i="47" s="1"/>
  <c r="AA126" i="47"/>
  <c r="AB126" i="47" s="1"/>
  <c r="AC126" i="47" s="1"/>
  <c r="AD126" i="47" s="1"/>
  <c r="AA127" i="47"/>
  <c r="AB127" i="47" s="1"/>
  <c r="AC127" i="47" s="1"/>
  <c r="AD127" i="47" s="1"/>
  <c r="AA128" i="47"/>
  <c r="AB128" i="47" s="1"/>
  <c r="AC128" i="47" s="1"/>
  <c r="AD128" i="47" s="1"/>
  <c r="AA129" i="47"/>
  <c r="AB129" i="47" s="1"/>
  <c r="AC129" i="47" s="1"/>
  <c r="AD129" i="47" s="1"/>
  <c r="AA130" i="47"/>
  <c r="AB130" i="47" s="1"/>
  <c r="AC130" i="47" s="1"/>
  <c r="AD130" i="47" s="1"/>
  <c r="AA131" i="47"/>
  <c r="AB131" i="47" s="1"/>
  <c r="AC131" i="47" s="1"/>
  <c r="AD131" i="47" s="1"/>
  <c r="AA132" i="47"/>
  <c r="AB132" i="47" s="1"/>
  <c r="AC132" i="47" s="1"/>
  <c r="AD132" i="47" s="1"/>
  <c r="AA134" i="47"/>
  <c r="AB134" i="47" s="1"/>
  <c r="AC134" i="47" s="1"/>
  <c r="AD134" i="47" s="1"/>
  <c r="AA135" i="47"/>
  <c r="AB135" i="47" s="1"/>
  <c r="AC135" i="47" s="1"/>
  <c r="AD135" i="47" s="1"/>
  <c r="AA137" i="47"/>
  <c r="AB137" i="47" s="1"/>
  <c r="AC137" i="47" s="1"/>
  <c r="AD137" i="47" s="1"/>
  <c r="AA138" i="47"/>
  <c r="AB138" i="47" s="1"/>
  <c r="AC138" i="47" s="1"/>
  <c r="AD138" i="47" s="1"/>
  <c r="AA139" i="47"/>
  <c r="AB139" i="47" s="1"/>
  <c r="AC139" i="47" s="1"/>
  <c r="AD139" i="47" s="1"/>
  <c r="AA140" i="47"/>
  <c r="AB140" i="47" s="1"/>
  <c r="AC140" i="47" s="1"/>
  <c r="AD140" i="47" s="1"/>
  <c r="AA141" i="47"/>
  <c r="AB141" i="47" s="1"/>
  <c r="AC141" i="47" s="1"/>
  <c r="AD141" i="47" s="1"/>
  <c r="AA142" i="47"/>
  <c r="AB142" i="47" s="1"/>
  <c r="AC142" i="47" s="1"/>
  <c r="AD142" i="47" s="1"/>
  <c r="AA143" i="47"/>
  <c r="AB143" i="47" s="1"/>
  <c r="AC143" i="47" s="1"/>
  <c r="AD143" i="47" s="1"/>
  <c r="AA144" i="47"/>
  <c r="AB144" i="47" s="1"/>
  <c r="AC144" i="47" s="1"/>
  <c r="AD144" i="47" s="1"/>
  <c r="AA145" i="47"/>
  <c r="AB145" i="47" s="1"/>
  <c r="AC145" i="47" s="1"/>
  <c r="AD145" i="47" s="1"/>
  <c r="AA146" i="47"/>
  <c r="AB146" i="47" s="1"/>
  <c r="AC146" i="47" s="1"/>
  <c r="AD146" i="47" s="1"/>
  <c r="AA147" i="47"/>
  <c r="AB147" i="47" s="1"/>
  <c r="AC147" i="47" s="1"/>
  <c r="AD147" i="47" s="1"/>
  <c r="AA148" i="47"/>
  <c r="AB148" i="47" s="1"/>
  <c r="AC148" i="47" s="1"/>
  <c r="AD148" i="47" s="1"/>
  <c r="AA149" i="47"/>
  <c r="AB149" i="47" s="1"/>
  <c r="AC149" i="47" s="1"/>
  <c r="AD149" i="47" s="1"/>
  <c r="AA150" i="47"/>
  <c r="AB150" i="47" s="1"/>
  <c r="AC150" i="47" s="1"/>
  <c r="AD150" i="47" s="1"/>
  <c r="AA151" i="47"/>
  <c r="AB151" i="47" s="1"/>
  <c r="AC151" i="47" s="1"/>
  <c r="AD151" i="47" s="1"/>
  <c r="AA152" i="47"/>
  <c r="AB152" i="47" s="1"/>
  <c r="AC152" i="47" s="1"/>
  <c r="AD152" i="47" s="1"/>
  <c r="AA153" i="47"/>
  <c r="AB153" i="47" s="1"/>
  <c r="AC153" i="47" s="1"/>
  <c r="AD153" i="47" s="1"/>
  <c r="AA154" i="47"/>
  <c r="AB154" i="47" s="1"/>
  <c r="AC154" i="47" s="1"/>
  <c r="AD154" i="47" s="1"/>
  <c r="AA156" i="47"/>
  <c r="AB156" i="47" s="1"/>
  <c r="AC156" i="47" s="1"/>
  <c r="AD156" i="47" s="1"/>
  <c r="AA157" i="47"/>
  <c r="AB157" i="47" s="1"/>
  <c r="AC157" i="47" s="1"/>
  <c r="AD157" i="47" s="1"/>
  <c r="AA158" i="47"/>
  <c r="AB158" i="47" s="1"/>
  <c r="AC158" i="47" s="1"/>
  <c r="AD158" i="47" s="1"/>
  <c r="AA159" i="47"/>
  <c r="AB159" i="47" s="1"/>
  <c r="AC159" i="47" s="1"/>
  <c r="AD159" i="47" s="1"/>
  <c r="AA160" i="47"/>
  <c r="AB160" i="47" s="1"/>
  <c r="AC160" i="47" s="1"/>
  <c r="AD160" i="47" s="1"/>
  <c r="AA161" i="47"/>
  <c r="AB161" i="47" s="1"/>
  <c r="AC161" i="47" s="1"/>
  <c r="AD161" i="47" s="1"/>
  <c r="AA162" i="47"/>
  <c r="AB162" i="47" s="1"/>
  <c r="AC162" i="47" s="1"/>
  <c r="AD162" i="47" s="1"/>
  <c r="AA78" i="47"/>
  <c r="AB78" i="47" s="1"/>
  <c r="AC78" i="47" s="1"/>
  <c r="AD78" i="47" s="1"/>
  <c r="AA163" i="47"/>
  <c r="AB163" i="47" s="1"/>
  <c r="AC163" i="47" s="1"/>
  <c r="AD163" i="47" s="1"/>
  <c r="AA164" i="47"/>
  <c r="AB164" i="47" s="1"/>
  <c r="AC164" i="47" s="1"/>
  <c r="AD164" i="47" s="1"/>
  <c r="AA165" i="47"/>
  <c r="AB165" i="47" s="1"/>
  <c r="AC165" i="47" s="1"/>
  <c r="AD165" i="47" s="1"/>
  <c r="AA166" i="47"/>
  <c r="AB166" i="47" s="1"/>
  <c r="AC166" i="47" s="1"/>
  <c r="AD166" i="47" s="1"/>
  <c r="AA167" i="47"/>
  <c r="AB167" i="47" s="1"/>
  <c r="AC167" i="47" s="1"/>
  <c r="AD167" i="47" s="1"/>
  <c r="AA168" i="47"/>
  <c r="AB168" i="47" s="1"/>
  <c r="AC168" i="47" s="1"/>
  <c r="AD168" i="47" s="1"/>
  <c r="AA169" i="47"/>
  <c r="AB169" i="47" s="1"/>
  <c r="AC169" i="47" s="1"/>
  <c r="AD169" i="47" s="1"/>
  <c r="AA170" i="47"/>
  <c r="AB170" i="47" s="1"/>
  <c r="AC170" i="47" s="1"/>
  <c r="AD170" i="47" s="1"/>
  <c r="AA171" i="47"/>
  <c r="AB171" i="47" s="1"/>
  <c r="AC171" i="47" s="1"/>
  <c r="AD171" i="47" s="1"/>
  <c r="AA172" i="47"/>
  <c r="AB172" i="47" s="1"/>
  <c r="AC172" i="47" s="1"/>
  <c r="AD172" i="47" s="1"/>
  <c r="AA173" i="47"/>
  <c r="AB173" i="47" s="1"/>
  <c r="AC173" i="47" s="1"/>
  <c r="AD173" i="47" s="1"/>
  <c r="AA174" i="47"/>
  <c r="AB174" i="47" s="1"/>
  <c r="AC174" i="47" s="1"/>
  <c r="AD174" i="47" s="1"/>
  <c r="AA175" i="47"/>
  <c r="AB175" i="47" s="1"/>
  <c r="AC175" i="47" s="1"/>
  <c r="AD175" i="47" s="1"/>
  <c r="AA176" i="47"/>
  <c r="AB176" i="47" s="1"/>
  <c r="AC176" i="47" s="1"/>
  <c r="AD176" i="47" s="1"/>
  <c r="AA177" i="47"/>
  <c r="AB177" i="47" s="1"/>
  <c r="AC177" i="47" s="1"/>
  <c r="AD177" i="47" s="1"/>
  <c r="AA178" i="47"/>
  <c r="AB178" i="47" s="1"/>
  <c r="AC178" i="47" s="1"/>
  <c r="AD178" i="47" s="1"/>
  <c r="AA179" i="47"/>
  <c r="AB179" i="47" s="1"/>
  <c r="AC179" i="47" s="1"/>
  <c r="AD179" i="47" s="1"/>
  <c r="AA180" i="47"/>
  <c r="AB180" i="47" s="1"/>
  <c r="AC180" i="47" s="1"/>
  <c r="AD180" i="47" s="1"/>
  <c r="AA181" i="47"/>
  <c r="AB181" i="47" s="1"/>
  <c r="AC181" i="47" s="1"/>
  <c r="AD181" i="47" s="1"/>
  <c r="AA182" i="47"/>
  <c r="AB182" i="47" s="1"/>
  <c r="AC182" i="47" s="1"/>
  <c r="AD182" i="47" s="1"/>
  <c r="AA183" i="47"/>
  <c r="AB183" i="47" s="1"/>
  <c r="AC183" i="47" s="1"/>
  <c r="AD183" i="47" s="1"/>
  <c r="AA184" i="47"/>
  <c r="AB184" i="47" s="1"/>
  <c r="AC184" i="47" s="1"/>
  <c r="AD184" i="47" s="1"/>
  <c r="AA185" i="47"/>
  <c r="AB185" i="47" s="1"/>
  <c r="AC185" i="47" s="1"/>
  <c r="AD185" i="47" s="1"/>
  <c r="AA186" i="47"/>
  <c r="AB186" i="47" s="1"/>
  <c r="AC186" i="47" s="1"/>
  <c r="AD186" i="47" s="1"/>
  <c r="AA187" i="47"/>
  <c r="AB187" i="47" s="1"/>
  <c r="AC187" i="47" s="1"/>
  <c r="AD187" i="47" s="1"/>
  <c r="AA188" i="47"/>
  <c r="AB188" i="47" s="1"/>
  <c r="AC188" i="47" s="1"/>
  <c r="AD188" i="47" s="1"/>
  <c r="AA189" i="47"/>
  <c r="AB189" i="47" s="1"/>
  <c r="AC189" i="47" s="1"/>
  <c r="AD189" i="47" s="1"/>
  <c r="AA190" i="47"/>
  <c r="AB190" i="47" s="1"/>
  <c r="AC190" i="47" s="1"/>
  <c r="AD190" i="47" s="1"/>
  <c r="AA191" i="47"/>
  <c r="AB191" i="47" s="1"/>
  <c r="AC191" i="47" s="1"/>
  <c r="AD191" i="47" s="1"/>
  <c r="AA192" i="47"/>
  <c r="AB192" i="47" s="1"/>
  <c r="AC192" i="47" s="1"/>
  <c r="AD192" i="47" s="1"/>
  <c r="AA193" i="47"/>
  <c r="AB193" i="47" s="1"/>
  <c r="AC193" i="47" s="1"/>
  <c r="AD193" i="47" s="1"/>
  <c r="AA194" i="47"/>
  <c r="AB194" i="47" s="1"/>
  <c r="AC194" i="47" s="1"/>
  <c r="AD194" i="47" s="1"/>
  <c r="AA195" i="47"/>
  <c r="AB195" i="47" s="1"/>
  <c r="AC195" i="47" s="1"/>
  <c r="AD195" i="47" s="1"/>
  <c r="AA196" i="47"/>
  <c r="AB196" i="47" s="1"/>
  <c r="AC196" i="47" s="1"/>
  <c r="AD196" i="47" s="1"/>
  <c r="AA197" i="47"/>
  <c r="AB197" i="47" s="1"/>
  <c r="AC197" i="47" s="1"/>
  <c r="AD197" i="47" s="1"/>
  <c r="AA198" i="47"/>
  <c r="AB198" i="47" s="1"/>
  <c r="AC198" i="47" s="1"/>
  <c r="AD198" i="47" s="1"/>
  <c r="AA199" i="47"/>
  <c r="AB199" i="47" s="1"/>
  <c r="AC199" i="47" s="1"/>
  <c r="AD199" i="47" s="1"/>
  <c r="AA200" i="47"/>
  <c r="AB200" i="47" s="1"/>
  <c r="AC200" i="47" s="1"/>
  <c r="AD200" i="47" s="1"/>
  <c r="AA201" i="47"/>
  <c r="AB201" i="47" s="1"/>
  <c r="AC201" i="47" s="1"/>
  <c r="AD201" i="47" s="1"/>
  <c r="AA202" i="47"/>
  <c r="AB202" i="47" s="1"/>
  <c r="AC202" i="47" s="1"/>
  <c r="AD202" i="47" s="1"/>
  <c r="AA203" i="47"/>
  <c r="F3" i="46"/>
  <c r="F4" i="46"/>
  <c r="F5" i="46"/>
  <c r="F6" i="46"/>
  <c r="F7" i="46"/>
  <c r="F8" i="46"/>
  <c r="F9" i="46"/>
  <c r="F10" i="46"/>
  <c r="F11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7" i="46"/>
  <c r="F28" i="46"/>
  <c r="F29" i="46"/>
  <c r="F30" i="46"/>
  <c r="F31" i="46"/>
  <c r="F32" i="46"/>
  <c r="F33" i="46"/>
  <c r="F34" i="46"/>
  <c r="F35" i="46"/>
  <c r="F37" i="46"/>
  <c r="F38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9" i="46"/>
  <c r="F80" i="46"/>
  <c r="F81" i="46"/>
  <c r="F82" i="46"/>
  <c r="F83" i="46"/>
  <c r="F84" i="46"/>
  <c r="F85" i="46"/>
  <c r="F86" i="46"/>
  <c r="F87" i="46"/>
  <c r="F88" i="46"/>
  <c r="F89" i="46"/>
  <c r="F90" i="46"/>
  <c r="F133" i="46"/>
  <c r="F92" i="46"/>
  <c r="F93" i="46"/>
  <c r="F94" i="46"/>
  <c r="F95" i="46"/>
  <c r="F96" i="46"/>
  <c r="F97" i="46"/>
  <c r="F98" i="46"/>
  <c r="F99" i="46"/>
  <c r="F100" i="46"/>
  <c r="F101" i="46"/>
  <c r="F102" i="46"/>
  <c r="F103" i="46"/>
  <c r="F104" i="46"/>
  <c r="F105" i="46"/>
  <c r="F106" i="46"/>
  <c r="F107" i="46"/>
  <c r="F108" i="46"/>
  <c r="F109" i="46"/>
  <c r="F110" i="46"/>
  <c r="F111" i="46"/>
  <c r="F112" i="46"/>
  <c r="F113" i="46"/>
  <c r="F114" i="46"/>
  <c r="F115" i="46"/>
  <c r="F116" i="46"/>
  <c r="F117" i="46"/>
  <c r="F118" i="46"/>
  <c r="F119" i="46"/>
  <c r="F120" i="46"/>
  <c r="F121" i="46"/>
  <c r="F122" i="46"/>
  <c r="F123" i="46"/>
  <c r="F124" i="46"/>
  <c r="F125" i="46"/>
  <c r="F126" i="46"/>
  <c r="F127" i="46"/>
  <c r="F128" i="46"/>
  <c r="F129" i="46"/>
  <c r="F130" i="46"/>
  <c r="F131" i="46"/>
  <c r="F132" i="46"/>
  <c r="F134" i="46"/>
  <c r="F135" i="46"/>
  <c r="F137" i="46"/>
  <c r="F138" i="46"/>
  <c r="F139" i="46"/>
  <c r="F140" i="46"/>
  <c r="F141" i="46"/>
  <c r="F142" i="46"/>
  <c r="F143" i="46"/>
  <c r="F144" i="46"/>
  <c r="F145" i="46"/>
  <c r="F146" i="46"/>
  <c r="F147" i="46"/>
  <c r="F148" i="46"/>
  <c r="F149" i="46"/>
  <c r="F150" i="46"/>
  <c r="F151" i="46"/>
  <c r="F152" i="46"/>
  <c r="F153" i="46"/>
  <c r="F154" i="46"/>
  <c r="F156" i="46"/>
  <c r="F157" i="46"/>
  <c r="F158" i="46"/>
  <c r="F159" i="46"/>
  <c r="F160" i="46"/>
  <c r="F161" i="46"/>
  <c r="F162" i="46"/>
  <c r="F78" i="46"/>
  <c r="F163" i="46"/>
  <c r="F164" i="46"/>
  <c r="F165" i="46"/>
  <c r="F166" i="46"/>
  <c r="F167" i="46"/>
  <c r="F168" i="46"/>
  <c r="F169" i="46"/>
  <c r="F170" i="46"/>
  <c r="F171" i="46"/>
  <c r="F172" i="46"/>
  <c r="F173" i="46"/>
  <c r="F174" i="46"/>
  <c r="F175" i="46"/>
  <c r="F176" i="46"/>
  <c r="F177" i="46"/>
  <c r="F178" i="46"/>
  <c r="F179" i="46"/>
  <c r="F180" i="46"/>
  <c r="F181" i="46"/>
  <c r="F182" i="46"/>
  <c r="F183" i="46"/>
  <c r="F184" i="46"/>
  <c r="F185" i="46"/>
  <c r="F186" i="46"/>
  <c r="F187" i="46"/>
  <c r="F188" i="46"/>
  <c r="F189" i="46"/>
  <c r="F190" i="46"/>
  <c r="F191" i="46"/>
  <c r="F192" i="46"/>
  <c r="F193" i="46"/>
  <c r="F194" i="46"/>
  <c r="F195" i="46"/>
  <c r="F196" i="46"/>
  <c r="F197" i="46"/>
  <c r="F198" i="46"/>
  <c r="F199" i="46"/>
  <c r="F200" i="46"/>
  <c r="F201" i="46"/>
  <c r="F202" i="46"/>
  <c r="F203" i="46"/>
  <c r="AA3" i="4"/>
  <c r="AB3" i="4" s="1"/>
  <c r="AC3" i="4" s="1"/>
  <c r="AD3" i="4" s="1"/>
  <c r="AA4" i="4"/>
  <c r="AB4" i="4" s="1"/>
  <c r="AC4" i="4" s="1"/>
  <c r="AD4" i="4" s="1"/>
  <c r="AA5" i="4"/>
  <c r="AB5" i="4" s="1"/>
  <c r="AC5" i="4" s="1"/>
  <c r="AD5" i="4" s="1"/>
  <c r="AA6" i="4"/>
  <c r="AB6" i="4" s="1"/>
  <c r="AC6" i="4" s="1"/>
  <c r="AD6" i="4" s="1"/>
  <c r="AA7" i="4"/>
  <c r="AB7" i="4" s="1"/>
  <c r="AC7" i="4" s="1"/>
  <c r="AD7" i="4" s="1"/>
  <c r="AA8" i="4"/>
  <c r="AB8" i="4" s="1"/>
  <c r="AC8" i="4" s="1"/>
  <c r="AD8" i="4" s="1"/>
  <c r="AA9" i="4"/>
  <c r="AB9" i="4" s="1"/>
  <c r="AC9" i="4" s="1"/>
  <c r="AD9" i="4" s="1"/>
  <c r="AA10" i="4"/>
  <c r="AB10" i="4" s="1"/>
  <c r="AC10" i="4" s="1"/>
  <c r="AD10" i="4" s="1"/>
  <c r="AA11" i="4"/>
  <c r="AB11" i="4" s="1"/>
  <c r="AC11" i="4" s="1"/>
  <c r="AD11" i="4" s="1"/>
  <c r="AA12" i="4"/>
  <c r="AB12" i="4" s="1"/>
  <c r="AC12" i="4" s="1"/>
  <c r="AD12" i="4" s="1"/>
  <c r="AA13" i="4"/>
  <c r="AB13" i="4" s="1"/>
  <c r="AC13" i="4" s="1"/>
  <c r="AD13" i="4" s="1"/>
  <c r="AA14" i="4"/>
  <c r="AB14" i="4" s="1"/>
  <c r="AC14" i="4" s="1"/>
  <c r="AD14" i="4" s="1"/>
  <c r="AA15" i="4"/>
  <c r="AB15" i="4" s="1"/>
  <c r="AC15" i="4" s="1"/>
  <c r="AD15" i="4" s="1"/>
  <c r="AA16" i="4"/>
  <c r="AB16" i="4" s="1"/>
  <c r="AC16" i="4" s="1"/>
  <c r="AD16" i="4" s="1"/>
  <c r="AA18" i="4"/>
  <c r="AB18" i="4" s="1"/>
  <c r="AC18" i="4" s="1"/>
  <c r="AD18" i="4" s="1"/>
  <c r="AA20" i="4"/>
  <c r="AB20" i="4" s="1"/>
  <c r="AC20" i="4" s="1"/>
  <c r="AD20" i="4" s="1"/>
  <c r="AA21" i="4"/>
  <c r="AB21" i="4" s="1"/>
  <c r="AC21" i="4" s="1"/>
  <c r="AD21" i="4" s="1"/>
  <c r="AA22" i="4"/>
  <c r="AB22" i="4" s="1"/>
  <c r="AC22" i="4" s="1"/>
  <c r="AD22" i="4" s="1"/>
  <c r="AA23" i="4"/>
  <c r="AB23" i="4" s="1"/>
  <c r="AC23" i="4" s="1"/>
  <c r="AD23" i="4" s="1"/>
  <c r="AA24" i="4"/>
  <c r="AB24" i="4" s="1"/>
  <c r="AC24" i="4" s="1"/>
  <c r="AD24" i="4" s="1"/>
  <c r="AA25" i="4"/>
  <c r="AB25" i="4" s="1"/>
  <c r="AC25" i="4" s="1"/>
  <c r="AD25" i="4" s="1"/>
  <c r="AA26" i="4"/>
  <c r="AB26" i="4" s="1"/>
  <c r="AC26" i="4" s="1"/>
  <c r="AD26" i="4" s="1"/>
  <c r="AA27" i="4"/>
  <c r="AB27" i="4" s="1"/>
  <c r="AC27" i="4" s="1"/>
  <c r="AD27" i="4" s="1"/>
  <c r="AA28" i="4"/>
  <c r="AB28" i="4" s="1"/>
  <c r="AC28" i="4" s="1"/>
  <c r="AD28" i="4" s="1"/>
  <c r="AA29" i="4"/>
  <c r="AB29" i="4" s="1"/>
  <c r="AC29" i="4" s="1"/>
  <c r="AD29" i="4" s="1"/>
  <c r="AA30" i="4"/>
  <c r="AB30" i="4" s="1"/>
  <c r="AC30" i="4" s="1"/>
  <c r="AD30" i="4" s="1"/>
  <c r="AA31" i="4"/>
  <c r="AB31" i="4" s="1"/>
  <c r="AC31" i="4" s="1"/>
  <c r="AD31" i="4" s="1"/>
  <c r="AA32" i="4"/>
  <c r="AB32" i="4" s="1"/>
  <c r="AC32" i="4" s="1"/>
  <c r="AD32" i="4" s="1"/>
  <c r="AA33" i="4"/>
  <c r="AB33" i="4" s="1"/>
  <c r="AC33" i="4" s="1"/>
  <c r="AD33" i="4" s="1"/>
  <c r="AA34" i="4"/>
  <c r="AB34" i="4" s="1"/>
  <c r="AC34" i="4" s="1"/>
  <c r="AD34" i="4" s="1"/>
  <c r="AA35" i="4"/>
  <c r="AB35" i="4" s="1"/>
  <c r="AC35" i="4" s="1"/>
  <c r="AD35" i="4" s="1"/>
  <c r="AA36" i="4"/>
  <c r="AB36" i="4" s="1"/>
  <c r="AC36" i="4" s="1"/>
  <c r="AD36" i="4" s="1"/>
  <c r="AA37" i="4"/>
  <c r="AB37" i="4" s="1"/>
  <c r="AC37" i="4" s="1"/>
  <c r="AD37" i="4" s="1"/>
  <c r="AA38" i="4"/>
  <c r="AB38" i="4" s="1"/>
  <c r="AC38" i="4" s="1"/>
  <c r="AD38" i="4" s="1"/>
  <c r="AA39" i="4"/>
  <c r="AB39" i="4" s="1"/>
  <c r="AC39" i="4" s="1"/>
  <c r="AD39" i="4" s="1"/>
  <c r="AA40" i="4"/>
  <c r="AB40" i="4" s="1"/>
  <c r="AC40" i="4" s="1"/>
  <c r="AD40" i="4" s="1"/>
  <c r="AA41" i="4"/>
  <c r="AB41" i="4" s="1"/>
  <c r="AC41" i="4" s="1"/>
  <c r="AD41" i="4" s="1"/>
  <c r="AA42" i="4"/>
  <c r="AB42" i="4" s="1"/>
  <c r="AC42" i="4" s="1"/>
  <c r="AD42" i="4" s="1"/>
  <c r="AA43" i="4"/>
  <c r="AB43" i="4" s="1"/>
  <c r="AC43" i="4" s="1"/>
  <c r="AD43" i="4" s="1"/>
  <c r="AA44" i="4"/>
  <c r="AB44" i="4" s="1"/>
  <c r="AC44" i="4" s="1"/>
  <c r="AD44" i="4" s="1"/>
  <c r="AA45" i="4"/>
  <c r="AB45" i="4" s="1"/>
  <c r="AC45" i="4" s="1"/>
  <c r="AD45" i="4" s="1"/>
  <c r="AA47" i="4"/>
  <c r="AB47" i="4" s="1"/>
  <c r="AC47" i="4" s="1"/>
  <c r="AD47" i="4" s="1"/>
  <c r="AA48" i="4"/>
  <c r="AB48" i="4" s="1"/>
  <c r="AC48" i="4" s="1"/>
  <c r="AD48" i="4" s="1"/>
  <c r="AA49" i="4"/>
  <c r="AB49" i="4" s="1"/>
  <c r="AC49" i="4" s="1"/>
  <c r="AD49" i="4" s="1"/>
  <c r="AA50" i="4"/>
  <c r="AB50" i="4" s="1"/>
  <c r="AC50" i="4" s="1"/>
  <c r="AD50" i="4" s="1"/>
  <c r="AA51" i="4"/>
  <c r="AB51" i="4" s="1"/>
  <c r="AC51" i="4" s="1"/>
  <c r="AD51" i="4" s="1"/>
  <c r="AA52" i="4"/>
  <c r="AB52" i="4" s="1"/>
  <c r="AC52" i="4" s="1"/>
  <c r="AD52" i="4" s="1"/>
  <c r="AA53" i="4"/>
  <c r="AB53" i="4" s="1"/>
  <c r="AC53" i="4" s="1"/>
  <c r="AD53" i="4" s="1"/>
  <c r="AA54" i="4"/>
  <c r="AB54" i="4" s="1"/>
  <c r="AC54" i="4" s="1"/>
  <c r="AD54" i="4" s="1"/>
  <c r="AA55" i="4"/>
  <c r="AB55" i="4" s="1"/>
  <c r="AC55" i="4" s="1"/>
  <c r="AD55" i="4" s="1"/>
  <c r="AA56" i="4"/>
  <c r="AB56" i="4" s="1"/>
  <c r="AC56" i="4" s="1"/>
  <c r="AD56" i="4" s="1"/>
  <c r="AA57" i="4"/>
  <c r="AB57" i="4" s="1"/>
  <c r="AC57" i="4" s="1"/>
  <c r="AD57" i="4" s="1"/>
  <c r="AA58" i="4"/>
  <c r="AB58" i="4" s="1"/>
  <c r="AC58" i="4" s="1"/>
  <c r="AD58" i="4" s="1"/>
  <c r="AA59" i="4"/>
  <c r="AB59" i="4" s="1"/>
  <c r="AC59" i="4" s="1"/>
  <c r="AD59" i="4" s="1"/>
  <c r="AA60" i="4"/>
  <c r="AB60" i="4" s="1"/>
  <c r="AC60" i="4" s="1"/>
  <c r="AD60" i="4" s="1"/>
  <c r="AA61" i="4"/>
  <c r="AB61" i="4" s="1"/>
  <c r="AC61" i="4" s="1"/>
  <c r="AD61" i="4" s="1"/>
  <c r="AA62" i="4"/>
  <c r="AB62" i="4" s="1"/>
  <c r="AC62" i="4" s="1"/>
  <c r="AD62" i="4" s="1"/>
  <c r="AA63" i="4"/>
  <c r="AB63" i="4" s="1"/>
  <c r="AC63" i="4" s="1"/>
  <c r="AD63" i="4" s="1"/>
  <c r="AA64" i="4"/>
  <c r="AB64" i="4" s="1"/>
  <c r="AC64" i="4" s="1"/>
  <c r="AD64" i="4" s="1"/>
  <c r="AA65" i="4"/>
  <c r="AB65" i="4" s="1"/>
  <c r="AC65" i="4" s="1"/>
  <c r="AD65" i="4" s="1"/>
  <c r="AA66" i="4"/>
  <c r="AB66" i="4" s="1"/>
  <c r="AC66" i="4" s="1"/>
  <c r="AD66" i="4" s="1"/>
  <c r="AA67" i="4"/>
  <c r="AB67" i="4" s="1"/>
  <c r="AC67" i="4" s="1"/>
  <c r="AD67" i="4" s="1"/>
  <c r="AA68" i="4"/>
  <c r="AB68" i="4" s="1"/>
  <c r="AC68" i="4" s="1"/>
  <c r="AD68" i="4" s="1"/>
  <c r="AA69" i="4"/>
  <c r="AB69" i="4" s="1"/>
  <c r="AC69" i="4" s="1"/>
  <c r="AD69" i="4" s="1"/>
  <c r="AA70" i="4"/>
  <c r="AB70" i="4" s="1"/>
  <c r="AC70" i="4" s="1"/>
  <c r="AD70" i="4" s="1"/>
  <c r="AA71" i="4"/>
  <c r="AB71" i="4" s="1"/>
  <c r="AC71" i="4" s="1"/>
  <c r="AD71" i="4" s="1"/>
  <c r="AA72" i="4"/>
  <c r="AB72" i="4" s="1"/>
  <c r="AC72" i="4" s="1"/>
  <c r="AD72" i="4" s="1"/>
  <c r="AA73" i="4"/>
  <c r="AB73" i="4" s="1"/>
  <c r="AC73" i="4" s="1"/>
  <c r="AD73" i="4" s="1"/>
  <c r="AA74" i="4"/>
  <c r="AB74" i="4" s="1"/>
  <c r="AC74" i="4" s="1"/>
  <c r="AD74" i="4" s="1"/>
  <c r="AA75" i="4"/>
  <c r="AB75" i="4" s="1"/>
  <c r="AC75" i="4" s="1"/>
  <c r="AD75" i="4" s="1"/>
  <c r="AA76" i="4"/>
  <c r="AB76" i="4" s="1"/>
  <c r="AC76" i="4" s="1"/>
  <c r="AD76" i="4" s="1"/>
  <c r="AA77" i="4"/>
  <c r="AB77" i="4" s="1"/>
  <c r="AC77" i="4" s="1"/>
  <c r="AD77" i="4" s="1"/>
  <c r="AA78" i="4"/>
  <c r="AB78" i="4" s="1"/>
  <c r="AC78" i="4" s="1"/>
  <c r="AD78" i="4" s="1"/>
  <c r="AA79" i="4"/>
  <c r="AB79" i="4" s="1"/>
  <c r="AC79" i="4" s="1"/>
  <c r="AD79" i="4" s="1"/>
  <c r="AA80" i="4"/>
  <c r="AB80" i="4" s="1"/>
  <c r="AC80" i="4" s="1"/>
  <c r="AD80" i="4" s="1"/>
  <c r="AA81" i="4"/>
  <c r="AB81" i="4" s="1"/>
  <c r="AC81" i="4" s="1"/>
  <c r="AD81" i="4" s="1"/>
  <c r="AA82" i="4"/>
  <c r="AB82" i="4" s="1"/>
  <c r="AC82" i="4" s="1"/>
  <c r="AD82" i="4" s="1"/>
  <c r="AA83" i="4"/>
  <c r="AB83" i="4" s="1"/>
  <c r="AC83" i="4" s="1"/>
  <c r="AD83" i="4" s="1"/>
  <c r="AA84" i="4"/>
  <c r="AB84" i="4" s="1"/>
  <c r="AC84" i="4" s="1"/>
  <c r="AD84" i="4" s="1"/>
  <c r="AA85" i="4"/>
  <c r="AB85" i="4" s="1"/>
  <c r="AC85" i="4" s="1"/>
  <c r="AD85" i="4" s="1"/>
  <c r="AA86" i="4"/>
  <c r="AB86" i="4" s="1"/>
  <c r="AC86" i="4" s="1"/>
  <c r="AD86" i="4" s="1"/>
  <c r="AA87" i="4"/>
  <c r="AB87" i="4" s="1"/>
  <c r="AC87" i="4" s="1"/>
  <c r="AD87" i="4" s="1"/>
  <c r="AA88" i="4"/>
  <c r="AB88" i="4" s="1"/>
  <c r="AC88" i="4" s="1"/>
  <c r="AD88" i="4" s="1"/>
  <c r="AA89" i="4"/>
  <c r="AB89" i="4" s="1"/>
  <c r="AC89" i="4" s="1"/>
  <c r="AD89" i="4" s="1"/>
  <c r="AA90" i="4"/>
  <c r="AB90" i="4" s="1"/>
  <c r="AC90" i="4" s="1"/>
  <c r="AD90" i="4" s="1"/>
  <c r="AA91" i="4"/>
  <c r="AB91" i="4" s="1"/>
  <c r="AC91" i="4" s="1"/>
  <c r="AD91" i="4" s="1"/>
  <c r="AA92" i="4"/>
  <c r="AB92" i="4" s="1"/>
  <c r="AC92" i="4" s="1"/>
  <c r="AD92" i="4" s="1"/>
  <c r="AA93" i="4"/>
  <c r="AB93" i="4" s="1"/>
  <c r="AC93" i="4" s="1"/>
  <c r="AD93" i="4" s="1"/>
  <c r="AA94" i="4"/>
  <c r="AB94" i="4" s="1"/>
  <c r="AC94" i="4" s="1"/>
  <c r="AD94" i="4" s="1"/>
  <c r="AA95" i="4"/>
  <c r="AB95" i="4" s="1"/>
  <c r="AC95" i="4" s="1"/>
  <c r="AD95" i="4" s="1"/>
  <c r="AA96" i="4"/>
  <c r="AB96" i="4" s="1"/>
  <c r="AC96" i="4" s="1"/>
  <c r="AD96" i="4" s="1"/>
  <c r="AA97" i="4"/>
  <c r="AB97" i="4" s="1"/>
  <c r="AC97" i="4" s="1"/>
  <c r="AD97" i="4" s="1"/>
  <c r="AA98" i="4"/>
  <c r="AB98" i="4" s="1"/>
  <c r="AC98" i="4" s="1"/>
  <c r="AD98" i="4" s="1"/>
  <c r="AA99" i="4"/>
  <c r="AB99" i="4" s="1"/>
  <c r="AC99" i="4" s="1"/>
  <c r="AD99" i="4" s="1"/>
  <c r="AA100" i="4"/>
  <c r="AB100" i="4" s="1"/>
  <c r="AC100" i="4" s="1"/>
  <c r="AD100" i="4" s="1"/>
  <c r="AA101" i="4"/>
  <c r="AB101" i="4" s="1"/>
  <c r="AC101" i="4" s="1"/>
  <c r="AD101" i="4" s="1"/>
  <c r="AA102" i="4"/>
  <c r="AB102" i="4" s="1"/>
  <c r="AC102" i="4" s="1"/>
  <c r="AD102" i="4" s="1"/>
  <c r="AA103" i="4"/>
  <c r="AB103" i="4" s="1"/>
  <c r="AC103" i="4" s="1"/>
  <c r="AD103" i="4" s="1"/>
  <c r="AA104" i="4"/>
  <c r="AB104" i="4" s="1"/>
  <c r="AC104" i="4" s="1"/>
  <c r="AD104" i="4" s="1"/>
  <c r="AA105" i="4"/>
  <c r="AB105" i="4" s="1"/>
  <c r="AC105" i="4" s="1"/>
  <c r="AD105" i="4" s="1"/>
  <c r="AA106" i="4"/>
  <c r="AB106" i="4" s="1"/>
  <c r="AC106" i="4" s="1"/>
  <c r="AD106" i="4" s="1"/>
  <c r="AA107" i="4"/>
  <c r="AB107" i="4" s="1"/>
  <c r="AC107" i="4" s="1"/>
  <c r="AD107" i="4" s="1"/>
  <c r="AA108" i="4"/>
  <c r="AB108" i="4" s="1"/>
  <c r="AC108" i="4" s="1"/>
  <c r="AD108" i="4" s="1"/>
  <c r="AA109" i="4"/>
  <c r="AB109" i="4" s="1"/>
  <c r="AC109" i="4" s="1"/>
  <c r="AD109" i="4" s="1"/>
  <c r="AA110" i="4"/>
  <c r="AB110" i="4" s="1"/>
  <c r="AC110" i="4" s="1"/>
  <c r="AD110" i="4" s="1"/>
  <c r="AA111" i="4"/>
  <c r="AB111" i="4" s="1"/>
  <c r="AC111" i="4" s="1"/>
  <c r="AD111" i="4" s="1"/>
  <c r="AA112" i="4"/>
  <c r="AB112" i="4" s="1"/>
  <c r="AC112" i="4" s="1"/>
  <c r="AD112" i="4" s="1"/>
  <c r="AA113" i="4"/>
  <c r="AB113" i="4" s="1"/>
  <c r="AC113" i="4" s="1"/>
  <c r="AD113" i="4" s="1"/>
  <c r="AA114" i="4"/>
  <c r="AB114" i="4" s="1"/>
  <c r="AC114" i="4" s="1"/>
  <c r="AD114" i="4" s="1"/>
  <c r="AA115" i="4"/>
  <c r="AB115" i="4" s="1"/>
  <c r="AC115" i="4" s="1"/>
  <c r="AD115" i="4" s="1"/>
  <c r="AA116" i="4"/>
  <c r="AB116" i="4" s="1"/>
  <c r="AC116" i="4" s="1"/>
  <c r="AD116" i="4" s="1"/>
  <c r="AA117" i="4"/>
  <c r="AB117" i="4" s="1"/>
  <c r="AC117" i="4" s="1"/>
  <c r="AD117" i="4" s="1"/>
  <c r="AA118" i="4"/>
  <c r="AB118" i="4" s="1"/>
  <c r="AC118" i="4" s="1"/>
  <c r="AD118" i="4" s="1"/>
  <c r="AA119" i="4"/>
  <c r="AB119" i="4" s="1"/>
  <c r="AC119" i="4" s="1"/>
  <c r="AD119" i="4" s="1"/>
  <c r="AA120" i="4"/>
  <c r="AB120" i="4" s="1"/>
  <c r="AC120" i="4" s="1"/>
  <c r="AD120" i="4" s="1"/>
  <c r="AA121" i="4"/>
  <c r="AB121" i="4" s="1"/>
  <c r="AC121" i="4" s="1"/>
  <c r="AD121" i="4" s="1"/>
  <c r="AA122" i="4"/>
  <c r="AB122" i="4" s="1"/>
  <c r="AC122" i="4" s="1"/>
  <c r="AD122" i="4" s="1"/>
  <c r="AA123" i="4"/>
  <c r="AB123" i="4" s="1"/>
  <c r="AC123" i="4" s="1"/>
  <c r="AD123" i="4" s="1"/>
  <c r="AA124" i="4"/>
  <c r="AB124" i="4" s="1"/>
  <c r="AC124" i="4" s="1"/>
  <c r="AD124" i="4" s="1"/>
  <c r="AA125" i="4"/>
  <c r="AB125" i="4" s="1"/>
  <c r="AC125" i="4" s="1"/>
  <c r="AD125" i="4" s="1"/>
  <c r="AA126" i="4"/>
  <c r="AB126" i="4" s="1"/>
  <c r="AC126" i="4" s="1"/>
  <c r="AD126" i="4" s="1"/>
  <c r="AA127" i="4"/>
  <c r="AB127" i="4" s="1"/>
  <c r="AC127" i="4" s="1"/>
  <c r="AD127" i="4" s="1"/>
  <c r="AA128" i="4"/>
  <c r="AB128" i="4" s="1"/>
  <c r="AC128" i="4" s="1"/>
  <c r="AD128" i="4" s="1"/>
  <c r="AA129" i="4"/>
  <c r="AB129" i="4" s="1"/>
  <c r="AC129" i="4" s="1"/>
  <c r="AD129" i="4" s="1"/>
  <c r="AA130" i="4"/>
  <c r="AB130" i="4" s="1"/>
  <c r="AC130" i="4" s="1"/>
  <c r="AD130" i="4" s="1"/>
  <c r="AA131" i="4"/>
  <c r="AB131" i="4" s="1"/>
  <c r="AC131" i="4" s="1"/>
  <c r="AD131" i="4" s="1"/>
  <c r="AA132" i="4"/>
  <c r="AB132" i="4" s="1"/>
  <c r="AC132" i="4" s="1"/>
  <c r="AD132" i="4" s="1"/>
  <c r="AA133" i="4"/>
  <c r="AB133" i="4" s="1"/>
  <c r="AC133" i="4" s="1"/>
  <c r="AD133" i="4" s="1"/>
  <c r="AA134" i="4"/>
  <c r="AB134" i="4" s="1"/>
  <c r="AC134" i="4" s="1"/>
  <c r="AD134" i="4" s="1"/>
  <c r="AA135" i="4"/>
  <c r="AB135" i="4" s="1"/>
  <c r="AC135" i="4" s="1"/>
  <c r="AD135" i="4" s="1"/>
  <c r="AA136" i="4"/>
  <c r="AB136" i="4" s="1"/>
  <c r="AC136" i="4" s="1"/>
  <c r="AD136" i="4" s="1"/>
  <c r="AA137" i="4"/>
  <c r="AB137" i="4" s="1"/>
  <c r="AC137" i="4" s="1"/>
  <c r="AD137" i="4" s="1"/>
  <c r="AA138" i="4"/>
  <c r="AB138" i="4" s="1"/>
  <c r="AC138" i="4" s="1"/>
  <c r="AD138" i="4" s="1"/>
  <c r="AA139" i="4"/>
  <c r="AB139" i="4" s="1"/>
  <c r="AC139" i="4" s="1"/>
  <c r="AD139" i="4" s="1"/>
  <c r="AA140" i="4"/>
  <c r="AB140" i="4" s="1"/>
  <c r="AC140" i="4" s="1"/>
  <c r="AD140" i="4" s="1"/>
  <c r="AA141" i="4"/>
  <c r="AB141" i="4" s="1"/>
  <c r="AC141" i="4" s="1"/>
  <c r="AD141" i="4" s="1"/>
  <c r="AA142" i="4"/>
  <c r="AB142" i="4" s="1"/>
  <c r="AC142" i="4" s="1"/>
  <c r="AD142" i="4" s="1"/>
  <c r="AA143" i="4"/>
  <c r="AB143" i="4" s="1"/>
  <c r="AC143" i="4" s="1"/>
  <c r="AD143" i="4" s="1"/>
  <c r="AA144" i="4"/>
  <c r="AB144" i="4" s="1"/>
  <c r="AC144" i="4" s="1"/>
  <c r="AD144" i="4" s="1"/>
  <c r="AA145" i="4"/>
  <c r="AB145" i="4" s="1"/>
  <c r="AC145" i="4" s="1"/>
  <c r="AD145" i="4" s="1"/>
  <c r="AA146" i="4"/>
  <c r="AB146" i="4" s="1"/>
  <c r="AC146" i="4" s="1"/>
  <c r="AD146" i="4" s="1"/>
  <c r="AA147" i="4"/>
  <c r="AB147" i="4" s="1"/>
  <c r="AC147" i="4" s="1"/>
  <c r="AD147" i="4" s="1"/>
  <c r="AA148" i="4"/>
  <c r="AB148" i="4" s="1"/>
  <c r="AC148" i="4" s="1"/>
  <c r="AD148" i="4" s="1"/>
  <c r="AA149" i="4"/>
  <c r="AB149" i="4" s="1"/>
  <c r="AC149" i="4" s="1"/>
  <c r="AD149" i="4" s="1"/>
  <c r="AA150" i="4"/>
  <c r="AB150" i="4" s="1"/>
  <c r="AC150" i="4" s="1"/>
  <c r="AD150" i="4" s="1"/>
  <c r="AA151" i="4"/>
  <c r="AB151" i="4" s="1"/>
  <c r="AC151" i="4" s="1"/>
  <c r="AD151" i="4" s="1"/>
  <c r="AA152" i="4"/>
  <c r="AB152" i="4" s="1"/>
  <c r="AC152" i="4" s="1"/>
  <c r="AD152" i="4" s="1"/>
  <c r="AA153" i="4"/>
  <c r="AB153" i="4" s="1"/>
  <c r="AC153" i="4" s="1"/>
  <c r="AD153" i="4" s="1"/>
  <c r="AA154" i="4"/>
  <c r="AB154" i="4" s="1"/>
  <c r="AC154" i="4" s="1"/>
  <c r="AD154" i="4" s="1"/>
  <c r="AA155" i="4"/>
  <c r="AB155" i="4" s="1"/>
  <c r="AC155" i="4" s="1"/>
  <c r="AD155" i="4" s="1"/>
  <c r="AA156" i="4"/>
  <c r="AB156" i="4" s="1"/>
  <c r="AC156" i="4" s="1"/>
  <c r="AD156" i="4" s="1"/>
  <c r="AA157" i="4"/>
  <c r="AB157" i="4" s="1"/>
  <c r="AC157" i="4" s="1"/>
  <c r="AD157" i="4" s="1"/>
  <c r="AA158" i="4"/>
  <c r="AB158" i="4" s="1"/>
  <c r="AC158" i="4" s="1"/>
  <c r="AD158" i="4" s="1"/>
  <c r="AA159" i="4"/>
  <c r="AB159" i="4" s="1"/>
  <c r="AC159" i="4" s="1"/>
  <c r="AD159" i="4" s="1"/>
  <c r="AA160" i="4"/>
  <c r="AB160" i="4" s="1"/>
  <c r="AC160" i="4" s="1"/>
  <c r="AD160" i="4" s="1"/>
  <c r="AA161" i="4"/>
  <c r="AB161" i="4" s="1"/>
  <c r="AC161" i="4" s="1"/>
  <c r="AD161" i="4" s="1"/>
  <c r="AA162" i="4"/>
  <c r="AB162" i="4" s="1"/>
  <c r="AC162" i="4" s="1"/>
  <c r="AD162" i="4" s="1"/>
  <c r="AA163" i="4"/>
  <c r="AB163" i="4" s="1"/>
  <c r="AC163" i="4" s="1"/>
  <c r="AD163" i="4" s="1"/>
  <c r="AA19" i="4"/>
  <c r="AB19" i="4" s="1"/>
  <c r="AC19" i="4" s="1"/>
  <c r="AD19" i="4" s="1"/>
  <c r="AA164" i="4"/>
  <c r="AB164" i="4" s="1"/>
  <c r="AC164" i="4" s="1"/>
  <c r="AD164" i="4" s="1"/>
  <c r="AA165" i="4"/>
  <c r="AB165" i="4" s="1"/>
  <c r="AC165" i="4" s="1"/>
  <c r="AD165" i="4" s="1"/>
  <c r="AA166" i="4"/>
  <c r="AB166" i="4" s="1"/>
  <c r="AC166" i="4" s="1"/>
  <c r="AD166" i="4" s="1"/>
  <c r="AA167" i="4"/>
  <c r="AB167" i="4" s="1"/>
  <c r="AC167" i="4" s="1"/>
  <c r="AD167" i="4" s="1"/>
  <c r="AA168" i="4"/>
  <c r="AB168" i="4" s="1"/>
  <c r="AC168" i="4" s="1"/>
  <c r="AD168" i="4" s="1"/>
  <c r="AA169" i="4"/>
  <c r="AB169" i="4" s="1"/>
  <c r="AC169" i="4" s="1"/>
  <c r="AD169" i="4" s="1"/>
  <c r="AA170" i="4"/>
  <c r="AB170" i="4" s="1"/>
  <c r="AC170" i="4" s="1"/>
  <c r="AD170" i="4" s="1"/>
  <c r="AA171" i="4"/>
  <c r="AB171" i="4" s="1"/>
  <c r="AC171" i="4" s="1"/>
  <c r="AD171" i="4" s="1"/>
  <c r="AA172" i="4"/>
  <c r="AB172" i="4" s="1"/>
  <c r="AC172" i="4" s="1"/>
  <c r="AD172" i="4" s="1"/>
  <c r="AA173" i="4"/>
  <c r="AB173" i="4" s="1"/>
  <c r="AC173" i="4" s="1"/>
  <c r="AD173" i="4" s="1"/>
  <c r="AA174" i="4"/>
  <c r="AB174" i="4" s="1"/>
  <c r="AC174" i="4" s="1"/>
  <c r="AD174" i="4" s="1"/>
  <c r="AA175" i="4"/>
  <c r="AB175" i="4" s="1"/>
  <c r="AC175" i="4" s="1"/>
  <c r="AD175" i="4" s="1"/>
  <c r="AA176" i="4"/>
  <c r="AB176" i="4" s="1"/>
  <c r="AC176" i="4" s="1"/>
  <c r="AD176" i="4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8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9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8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9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8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9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8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9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P121" i="38" l="1"/>
  <c r="P117" i="38"/>
  <c r="P113" i="38"/>
  <c r="P109" i="38"/>
  <c r="P105" i="38"/>
  <c r="P101" i="38"/>
  <c r="P97" i="38"/>
  <c r="P93" i="38"/>
  <c r="P89" i="38"/>
  <c r="P85" i="38"/>
  <c r="P81" i="38"/>
  <c r="P77" i="38"/>
  <c r="P73" i="38"/>
  <c r="AC38" i="47"/>
  <c r="AD38" i="47" s="1"/>
  <c r="AC39" i="47"/>
  <c r="AD39" i="47" s="1"/>
  <c r="P74" i="22"/>
  <c r="P66" i="22"/>
  <c r="P62" i="22"/>
  <c r="P58" i="22"/>
  <c r="P54" i="22"/>
  <c r="P50" i="22"/>
  <c r="P46" i="22"/>
  <c r="P42" i="22"/>
  <c r="P38" i="22"/>
  <c r="P34" i="22"/>
  <c r="P30" i="22"/>
  <c r="P26" i="22"/>
  <c r="P22" i="22"/>
  <c r="P18" i="22"/>
  <c r="P14" i="22"/>
  <c r="P9" i="22"/>
  <c r="P5" i="22"/>
  <c r="P73" i="22"/>
  <c r="P69" i="22"/>
  <c r="P65" i="22"/>
  <c r="P61" i="22"/>
  <c r="P57" i="22"/>
  <c r="P53" i="22"/>
  <c r="P49" i="22"/>
  <c r="P45" i="22"/>
  <c r="P41" i="22"/>
  <c r="P33" i="22"/>
  <c r="P29" i="22"/>
  <c r="P25" i="22"/>
  <c r="P21" i="22"/>
  <c r="P17" i="22"/>
  <c r="P13" i="22"/>
  <c r="P8" i="22"/>
  <c r="P4" i="22"/>
  <c r="P76" i="22"/>
  <c r="P72" i="22"/>
  <c r="P64" i="22"/>
  <c r="P60" i="22"/>
  <c r="P56" i="22"/>
  <c r="P52" i="22"/>
  <c r="P48" i="22"/>
  <c r="P44" i="22"/>
  <c r="P40" i="22"/>
  <c r="P32" i="22"/>
  <c r="P28" i="22"/>
  <c r="P24" i="22"/>
  <c r="P20" i="22"/>
  <c r="P16" i="22"/>
  <c r="P11" i="22"/>
  <c r="P7" i="22"/>
  <c r="P3" i="22"/>
  <c r="P71" i="22"/>
  <c r="P67" i="22"/>
  <c r="P63" i="22"/>
  <c r="P59" i="22"/>
  <c r="P55" i="22"/>
  <c r="P51" i="22"/>
  <c r="P47" i="22"/>
  <c r="P39" i="22"/>
  <c r="P35" i="22"/>
  <c r="P31" i="22"/>
  <c r="P27" i="22"/>
  <c r="P23" i="22"/>
  <c r="P19" i="22"/>
  <c r="P15" i="22"/>
  <c r="P10" i="22"/>
  <c r="P6" i="22"/>
  <c r="P123" i="38"/>
  <c r="P119" i="38"/>
  <c r="P115" i="38"/>
  <c r="P111" i="38"/>
  <c r="P107" i="38"/>
  <c r="P103" i="38"/>
  <c r="P99" i="38"/>
  <c r="P95" i="38"/>
  <c r="P91" i="38"/>
  <c r="P87" i="38"/>
  <c r="P83" i="38"/>
  <c r="P79" i="38"/>
  <c r="P75" i="38"/>
  <c r="P199" i="38"/>
  <c r="P195" i="38"/>
  <c r="P191" i="38"/>
  <c r="P183" i="38"/>
  <c r="P175" i="38"/>
  <c r="P171" i="38"/>
  <c r="P167" i="38"/>
  <c r="P163" i="38"/>
  <c r="P159" i="38"/>
  <c r="P155" i="38"/>
  <c r="P151" i="38"/>
  <c r="P147" i="38"/>
  <c r="P143" i="38"/>
  <c r="P139" i="38"/>
  <c r="P135" i="38"/>
  <c r="P131" i="38"/>
  <c r="P127" i="38"/>
  <c r="P70" i="38"/>
  <c r="P66" i="38"/>
  <c r="P62" i="38"/>
  <c r="P58" i="38"/>
  <c r="P54" i="38"/>
  <c r="P50" i="38"/>
  <c r="P46" i="38"/>
  <c r="P42" i="38"/>
  <c r="P38" i="38"/>
  <c r="P34" i="38"/>
  <c r="P30" i="38"/>
  <c r="P26" i="38"/>
  <c r="P22" i="38"/>
  <c r="P17" i="38"/>
  <c r="P13" i="38"/>
  <c r="P9" i="38"/>
  <c r="P179" i="38"/>
  <c r="P202" i="38"/>
  <c r="P198" i="38"/>
  <c r="P194" i="38"/>
  <c r="P190" i="38"/>
  <c r="P126" i="38"/>
  <c r="P69" i="38"/>
  <c r="P65" i="38"/>
  <c r="P61" i="38"/>
  <c r="P57" i="38"/>
  <c r="P53" i="38"/>
  <c r="P49" i="38"/>
  <c r="P45" i="38"/>
  <c r="P41" i="38"/>
  <c r="P37" i="38"/>
  <c r="P33" i="38"/>
  <c r="P29" i="38"/>
  <c r="P25" i="38"/>
  <c r="P4" i="38"/>
  <c r="P201" i="38"/>
  <c r="P197" i="38"/>
  <c r="P193" i="38"/>
  <c r="P189" i="38"/>
  <c r="P185" i="38"/>
  <c r="P181" i="38"/>
  <c r="P177" i="38"/>
  <c r="P173" i="38"/>
  <c r="P169" i="38"/>
  <c r="P165" i="38"/>
  <c r="P161" i="38"/>
  <c r="P157" i="38"/>
  <c r="P153" i="38"/>
  <c r="P149" i="38"/>
  <c r="P145" i="38"/>
  <c r="P141" i="38"/>
  <c r="P137" i="38"/>
  <c r="P133" i="38"/>
  <c r="P129" i="38"/>
  <c r="P68" i="38"/>
  <c r="P64" i="38"/>
  <c r="P60" i="38"/>
  <c r="P56" i="38"/>
  <c r="P52" i="38"/>
  <c r="P48" i="38"/>
  <c r="P44" i="38"/>
  <c r="P40" i="38"/>
  <c r="P36" i="38"/>
  <c r="P32" i="38"/>
  <c r="P28" i="38"/>
  <c r="P24" i="38"/>
  <c r="P19" i="38"/>
  <c r="P15" i="38"/>
  <c r="P11" i="38"/>
  <c r="P7" i="38"/>
  <c r="P3" i="38"/>
  <c r="P200" i="38"/>
  <c r="P196" i="38"/>
  <c r="P192" i="38"/>
  <c r="P184" i="38"/>
  <c r="P180" i="38"/>
  <c r="P176" i="38"/>
  <c r="P172" i="38"/>
  <c r="P168" i="38"/>
  <c r="P164" i="38"/>
  <c r="P160" i="38"/>
  <c r="P156" i="38"/>
  <c r="P152" i="38"/>
  <c r="P148" i="38"/>
  <c r="P144" i="38"/>
  <c r="P140" i="38"/>
  <c r="P136" i="38"/>
  <c r="P132" i="38"/>
  <c r="P128" i="38"/>
  <c r="P124" i="38"/>
  <c r="P120" i="38"/>
  <c r="P116" i="38"/>
  <c r="P112" i="38"/>
  <c r="P108" i="38"/>
  <c r="P104" i="38"/>
  <c r="P100" i="38"/>
  <c r="P96" i="38"/>
  <c r="P92" i="38"/>
  <c r="P88" i="38"/>
  <c r="P84" i="38"/>
  <c r="P80" i="38"/>
  <c r="P76" i="38"/>
  <c r="P72" i="38"/>
  <c r="P67" i="38"/>
  <c r="P63" i="38"/>
  <c r="P59" i="38"/>
  <c r="P55" i="38"/>
  <c r="P51" i="38"/>
  <c r="P47" i="38"/>
  <c r="P43" i="38"/>
  <c r="P39" i="38"/>
  <c r="P35" i="38"/>
  <c r="P31" i="38"/>
  <c r="P27" i="38"/>
  <c r="P23" i="38"/>
  <c r="P18" i="38"/>
  <c r="P14" i="38"/>
  <c r="P10" i="38"/>
  <c r="P6" i="38"/>
  <c r="P182" i="38"/>
  <c r="P178" i="38"/>
  <c r="P174" i="38"/>
  <c r="P170" i="38"/>
  <c r="P166" i="38"/>
  <c r="P162" i="38"/>
  <c r="P158" i="38"/>
  <c r="P154" i="38"/>
  <c r="P150" i="38"/>
  <c r="P146" i="38"/>
  <c r="P142" i="38"/>
  <c r="P138" i="38"/>
  <c r="P134" i="38"/>
  <c r="P122" i="38"/>
  <c r="P118" i="38"/>
  <c r="P114" i="38"/>
  <c r="P110" i="38"/>
  <c r="P106" i="38"/>
  <c r="P102" i="38"/>
  <c r="P98" i="38"/>
  <c r="P94" i="38"/>
  <c r="P90" i="38"/>
  <c r="P86" i="38"/>
  <c r="P82" i="38"/>
  <c r="P78" i="38"/>
  <c r="P74" i="38"/>
  <c r="P20" i="38"/>
  <c r="P16" i="38"/>
  <c r="P12" i="38"/>
  <c r="P8" i="38"/>
  <c r="AB203" i="47"/>
  <c r="AC203" i="47" s="1"/>
  <c r="AD203" i="47" s="1"/>
  <c r="P2" i="34"/>
  <c r="O3" i="49" l="1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53" i="49"/>
  <c r="O54" i="49"/>
  <c r="O55" i="49"/>
  <c r="O56" i="49"/>
  <c r="O57" i="49"/>
  <c r="O58" i="49"/>
  <c r="O59" i="49"/>
  <c r="O60" i="49"/>
  <c r="O61" i="49"/>
  <c r="O62" i="49"/>
  <c r="O63" i="49"/>
  <c r="O64" i="49"/>
  <c r="O65" i="49"/>
  <c r="O66" i="49"/>
  <c r="O67" i="49"/>
  <c r="O68" i="49"/>
  <c r="O69" i="49"/>
  <c r="O70" i="49"/>
  <c r="O71" i="49"/>
  <c r="O72" i="49"/>
  <c r="O73" i="49"/>
  <c r="O74" i="49"/>
  <c r="O75" i="49"/>
  <c r="O76" i="49"/>
  <c r="O77" i="49"/>
  <c r="O78" i="49"/>
  <c r="O79" i="49"/>
  <c r="O80" i="49"/>
  <c r="O81" i="49"/>
  <c r="O82" i="49"/>
  <c r="O83" i="49"/>
  <c r="O84" i="49"/>
  <c r="O85" i="49"/>
  <c r="O86" i="49"/>
  <c r="O87" i="49"/>
  <c r="O88" i="49"/>
  <c r="O89" i="49"/>
  <c r="O90" i="49"/>
  <c r="O91" i="49"/>
  <c r="O92" i="49"/>
  <c r="O93" i="49"/>
  <c r="O94" i="49"/>
  <c r="O95" i="49"/>
  <c r="O96" i="49"/>
  <c r="O97" i="49"/>
  <c r="O98" i="49"/>
  <c r="O99" i="49"/>
  <c r="O100" i="49"/>
  <c r="O101" i="49"/>
  <c r="O102" i="49"/>
  <c r="O103" i="49"/>
  <c r="O104" i="49"/>
  <c r="O105" i="49"/>
  <c r="O106" i="49"/>
  <c r="O107" i="49"/>
  <c r="O108" i="49"/>
  <c r="O109" i="49"/>
  <c r="O110" i="49"/>
  <c r="O111" i="49"/>
  <c r="O112" i="49"/>
  <c r="O113" i="49"/>
  <c r="O114" i="49"/>
  <c r="O116" i="49"/>
  <c r="O117" i="49"/>
  <c r="O118" i="49"/>
  <c r="O119" i="49"/>
  <c r="O120" i="49"/>
  <c r="O2" i="25" l="1"/>
  <c r="O177" i="4"/>
  <c r="AA203" i="38" l="1"/>
  <c r="AB203" i="38" s="1"/>
  <c r="AC203" i="38" s="1"/>
  <c r="AD203" i="38" s="1"/>
  <c r="AA204" i="38"/>
  <c r="AB204" i="38" s="1"/>
  <c r="AC204" i="38" s="1"/>
  <c r="AD204" i="38" s="1"/>
  <c r="AA205" i="38"/>
  <c r="AB205" i="38" s="1"/>
  <c r="AC205" i="38" s="1"/>
  <c r="AD205" i="38" s="1"/>
  <c r="AA206" i="38"/>
  <c r="AB206" i="38" s="1"/>
  <c r="AC206" i="38" s="1"/>
  <c r="AD206" i="38" s="1"/>
  <c r="AA207" i="38"/>
  <c r="AB207" i="38" s="1"/>
  <c r="AC207" i="38" s="1"/>
  <c r="AD207" i="38" s="1"/>
  <c r="O203" i="38"/>
  <c r="O204" i="38"/>
  <c r="O205" i="38"/>
  <c r="O206" i="38"/>
  <c r="O207" i="38"/>
  <c r="H203" i="37"/>
  <c r="H204" i="37"/>
  <c r="H205" i="37"/>
  <c r="H206" i="37"/>
  <c r="H207" i="37"/>
  <c r="G203" i="37"/>
  <c r="G204" i="37"/>
  <c r="G205" i="37"/>
  <c r="G206" i="37"/>
  <c r="G207" i="37"/>
  <c r="F203" i="37"/>
  <c r="F204" i="37"/>
  <c r="F205" i="37"/>
  <c r="F206" i="37"/>
  <c r="F207" i="37"/>
  <c r="P203" i="38" l="1"/>
  <c r="P206" i="38"/>
  <c r="P205" i="38"/>
  <c r="P204" i="38"/>
  <c r="P207" i="38"/>
  <c r="AA6" i="36" l="1"/>
  <c r="AB6" i="36" s="1"/>
  <c r="AC6" i="36" s="1"/>
  <c r="AD6" i="36" s="1"/>
  <c r="O6" i="36"/>
  <c r="H6" i="35"/>
  <c r="G6" i="35"/>
  <c r="F6" i="35"/>
  <c r="P6" i="36" l="1"/>
  <c r="H23" i="3"/>
  <c r="H24" i="3"/>
  <c r="H20" i="3"/>
  <c r="H22" i="3"/>
  <c r="G23" i="3"/>
  <c r="G24" i="3"/>
  <c r="G20" i="3"/>
  <c r="G22" i="3"/>
  <c r="AA107" i="49"/>
  <c r="AB107" i="49" s="1"/>
  <c r="AC107" i="49" s="1"/>
  <c r="AD107" i="49" s="1"/>
  <c r="P107" i="49" s="1"/>
  <c r="AA103" i="49"/>
  <c r="AB103" i="49" s="1"/>
  <c r="AC103" i="49" s="1"/>
  <c r="AD103" i="49" s="1"/>
  <c r="P103" i="49" s="1"/>
  <c r="AA106" i="49"/>
  <c r="AB106" i="49" s="1"/>
  <c r="AC106" i="49" s="1"/>
  <c r="AD106" i="49" s="1"/>
  <c r="P106" i="49" s="1"/>
  <c r="AA104" i="49"/>
  <c r="AB104" i="49" s="1"/>
  <c r="AC104" i="49" s="1"/>
  <c r="AD104" i="49" s="1"/>
  <c r="P104" i="49" s="1"/>
  <c r="AA105" i="49"/>
  <c r="AB105" i="49" s="1"/>
  <c r="AC105" i="49" s="1"/>
  <c r="AD105" i="49" s="1"/>
  <c r="P105" i="49" s="1"/>
  <c r="AA23" i="49"/>
  <c r="AB23" i="49" s="1"/>
  <c r="AC23" i="49" s="1"/>
  <c r="AD23" i="49" s="1"/>
  <c r="P23" i="49" s="1"/>
  <c r="AA24" i="49"/>
  <c r="AB24" i="49" s="1"/>
  <c r="AC24" i="49" s="1"/>
  <c r="AD24" i="49" s="1"/>
  <c r="P24" i="49" s="1"/>
  <c r="AA20" i="49"/>
  <c r="AB20" i="49" s="1"/>
  <c r="AC20" i="49" s="1"/>
  <c r="AD20" i="49" s="1"/>
  <c r="P20" i="49" s="1"/>
  <c r="AA22" i="49"/>
  <c r="AB22" i="49" s="1"/>
  <c r="AC22" i="49" s="1"/>
  <c r="AD22" i="49" s="1"/>
  <c r="P22" i="49" s="1"/>
  <c r="H98" i="23"/>
  <c r="G98" i="23"/>
  <c r="F98" i="23"/>
  <c r="AA98" i="25"/>
  <c r="AB98" i="25" s="1"/>
  <c r="AC98" i="25" s="1"/>
  <c r="AD98" i="25" s="1"/>
  <c r="O98" i="25"/>
  <c r="P98" i="25" l="1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O2" i="55" l="1"/>
  <c r="O3" i="55"/>
  <c r="O4" i="55"/>
  <c r="O22" i="55"/>
  <c r="O5" i="55"/>
  <c r="O6" i="55"/>
  <c r="O7" i="55"/>
  <c r="O8" i="55"/>
  <c r="O10" i="55"/>
  <c r="O11" i="55"/>
  <c r="O12" i="55"/>
  <c r="O13" i="55"/>
  <c r="O14" i="55"/>
  <c r="O15" i="55"/>
  <c r="O25" i="55"/>
  <c r="O28" i="55"/>
  <c r="O17" i="55"/>
  <c r="O18" i="55"/>
  <c r="O19" i="55"/>
  <c r="O23" i="55"/>
  <c r="O27" i="55"/>
  <c r="O43" i="55"/>
  <c r="O29" i="55"/>
  <c r="O30" i="55"/>
  <c r="O31" i="55"/>
  <c r="O32" i="55"/>
  <c r="O33" i="55"/>
  <c r="O24" i="55"/>
  <c r="O35" i="55"/>
  <c r="O20" i="55"/>
  <c r="O37" i="55"/>
  <c r="O38" i="55"/>
  <c r="O39" i="55"/>
  <c r="O40" i="55"/>
  <c r="O41" i="55"/>
  <c r="O42" i="55"/>
  <c r="O9" i="55"/>
  <c r="O46" i="55"/>
  <c r="O47" i="55"/>
  <c r="O48" i="55"/>
  <c r="O49" i="55"/>
  <c r="O50" i="55"/>
  <c r="O21" i="55"/>
  <c r="O51" i="55"/>
  <c r="O44" i="55"/>
  <c r="O53" i="55"/>
  <c r="O45" i="55"/>
  <c r="O34" i="55" l="1"/>
  <c r="H3" i="42" l="1"/>
  <c r="H4" i="42"/>
  <c r="H5" i="42"/>
  <c r="H6" i="42"/>
  <c r="H7" i="42"/>
  <c r="H8" i="42"/>
  <c r="H9" i="42"/>
  <c r="H10" i="42"/>
  <c r="H11" i="42"/>
  <c r="H12" i="42"/>
  <c r="H13" i="42"/>
  <c r="H14" i="42"/>
  <c r="H15" i="42"/>
  <c r="H16" i="42"/>
  <c r="H17" i="42"/>
  <c r="H18" i="42"/>
  <c r="H19" i="42"/>
  <c r="H20" i="42"/>
  <c r="H21" i="42"/>
  <c r="H22" i="42"/>
  <c r="H23" i="42"/>
  <c r="H24" i="42"/>
  <c r="H25" i="42"/>
  <c r="H26" i="42"/>
  <c r="H27" i="42"/>
  <c r="G3" i="42"/>
  <c r="G4" i="42"/>
  <c r="G5" i="42"/>
  <c r="G6" i="42"/>
  <c r="G7" i="42"/>
  <c r="G8" i="42"/>
  <c r="G9" i="42"/>
  <c r="G10" i="42"/>
  <c r="G11" i="42"/>
  <c r="G12" i="42"/>
  <c r="G13" i="42"/>
  <c r="G14" i="42"/>
  <c r="G15" i="42"/>
  <c r="G16" i="42"/>
  <c r="G17" i="42"/>
  <c r="G18" i="42"/>
  <c r="G19" i="42"/>
  <c r="G20" i="42"/>
  <c r="G21" i="42"/>
  <c r="G22" i="42"/>
  <c r="G23" i="42"/>
  <c r="G24" i="42"/>
  <c r="G25" i="42"/>
  <c r="G26" i="42"/>
  <c r="G27" i="42"/>
  <c r="F3" i="42"/>
  <c r="F4" i="42"/>
  <c r="F5" i="42"/>
  <c r="F6" i="42"/>
  <c r="F7" i="42"/>
  <c r="F8" i="42"/>
  <c r="F9" i="42"/>
  <c r="F10" i="42"/>
  <c r="F11" i="42"/>
  <c r="F12" i="42"/>
  <c r="F13" i="42"/>
  <c r="F14" i="42"/>
  <c r="F15" i="42"/>
  <c r="F16" i="42"/>
  <c r="F17" i="42"/>
  <c r="F18" i="42"/>
  <c r="F19" i="42"/>
  <c r="F20" i="42"/>
  <c r="F21" i="42"/>
  <c r="F22" i="42"/>
  <c r="F23" i="42"/>
  <c r="F24" i="42"/>
  <c r="F25" i="42"/>
  <c r="F27" i="42"/>
  <c r="H3" i="3"/>
  <c r="H4" i="3"/>
  <c r="H5" i="3"/>
  <c r="H6" i="3"/>
  <c r="H7" i="3"/>
  <c r="H8" i="3"/>
  <c r="H9" i="3"/>
  <c r="H10" i="3"/>
  <c r="H11" i="3"/>
  <c r="H12" i="3"/>
  <c r="H13" i="3"/>
  <c r="H91" i="3"/>
  <c r="H14" i="3"/>
  <c r="H15" i="3"/>
  <c r="H16" i="3"/>
  <c r="H17" i="3"/>
  <c r="H18" i="3"/>
  <c r="H25" i="3"/>
  <c r="H28" i="3"/>
  <c r="H26" i="3"/>
  <c r="H27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19" i="3"/>
  <c r="H66" i="3"/>
  <c r="H67" i="3"/>
  <c r="H120" i="3"/>
  <c r="H21" i="3"/>
  <c r="H68" i="3"/>
  <c r="H69" i="3"/>
  <c r="H70" i="3"/>
  <c r="H71" i="3"/>
  <c r="H72" i="3"/>
  <c r="H73" i="3"/>
  <c r="H74" i="3"/>
  <c r="H75" i="3"/>
  <c r="H76" i="3"/>
  <c r="H78" i="3"/>
  <c r="H79" i="3"/>
  <c r="H80" i="3"/>
  <c r="H81" i="3"/>
  <c r="H82" i="3"/>
  <c r="H77" i="3"/>
  <c r="H83" i="3"/>
  <c r="H84" i="3"/>
  <c r="H85" i="3"/>
  <c r="H86" i="3"/>
  <c r="H87" i="3"/>
  <c r="H88" i="3"/>
  <c r="H89" i="3"/>
  <c r="H90" i="3"/>
  <c r="H92" i="3"/>
  <c r="H93" i="3"/>
  <c r="H94" i="3"/>
  <c r="H95" i="3"/>
  <c r="H96" i="3"/>
  <c r="H97" i="3"/>
  <c r="H98" i="3"/>
  <c r="H99" i="3"/>
  <c r="H100" i="3"/>
  <c r="H101" i="3"/>
  <c r="H102" i="3"/>
  <c r="H108" i="3"/>
  <c r="H109" i="3"/>
  <c r="H110" i="3"/>
  <c r="H111" i="3"/>
  <c r="H112" i="3"/>
  <c r="H113" i="3"/>
  <c r="H114" i="3"/>
  <c r="H116" i="3"/>
  <c r="H117" i="3"/>
  <c r="H118" i="3"/>
  <c r="H119" i="3"/>
  <c r="G3" i="3"/>
  <c r="G4" i="3"/>
  <c r="G5" i="3"/>
  <c r="G6" i="3"/>
  <c r="G7" i="3"/>
  <c r="G8" i="3"/>
  <c r="G9" i="3"/>
  <c r="G10" i="3"/>
  <c r="G11" i="3"/>
  <c r="G12" i="3"/>
  <c r="G13" i="3"/>
  <c r="G91" i="3"/>
  <c r="G14" i="3"/>
  <c r="G15" i="3"/>
  <c r="G16" i="3"/>
  <c r="G17" i="3"/>
  <c r="G18" i="3"/>
  <c r="G25" i="3"/>
  <c r="G28" i="3"/>
  <c r="G26" i="3"/>
  <c r="G27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19" i="3"/>
  <c r="G66" i="3"/>
  <c r="G67" i="3"/>
  <c r="G120" i="3"/>
  <c r="G21" i="3"/>
  <c r="G68" i="3"/>
  <c r="G69" i="3"/>
  <c r="G70" i="3"/>
  <c r="G71" i="3"/>
  <c r="G72" i="3"/>
  <c r="G73" i="3"/>
  <c r="G74" i="3"/>
  <c r="G75" i="3"/>
  <c r="G76" i="3"/>
  <c r="G78" i="3"/>
  <c r="G79" i="3"/>
  <c r="G80" i="3"/>
  <c r="G81" i="3"/>
  <c r="G82" i="3"/>
  <c r="G77" i="3"/>
  <c r="G83" i="3"/>
  <c r="G84" i="3"/>
  <c r="G85" i="3"/>
  <c r="G86" i="3"/>
  <c r="G87" i="3"/>
  <c r="G88" i="3"/>
  <c r="G89" i="3"/>
  <c r="G90" i="3"/>
  <c r="G92" i="3"/>
  <c r="G93" i="3"/>
  <c r="G94" i="3"/>
  <c r="G95" i="3"/>
  <c r="G96" i="3"/>
  <c r="G97" i="3"/>
  <c r="G98" i="3"/>
  <c r="G99" i="3"/>
  <c r="G100" i="3"/>
  <c r="G101" i="3"/>
  <c r="G102" i="3"/>
  <c r="G108" i="3"/>
  <c r="G109" i="3"/>
  <c r="G110" i="3"/>
  <c r="G111" i="3"/>
  <c r="G112" i="3"/>
  <c r="G113" i="3"/>
  <c r="G114" i="3"/>
  <c r="G116" i="3"/>
  <c r="G117" i="3"/>
  <c r="G118" i="3"/>
  <c r="G119" i="3"/>
  <c r="O3" i="43" l="1"/>
  <c r="O4" i="43"/>
  <c r="O5" i="43"/>
  <c r="O6" i="43"/>
  <c r="O7" i="43"/>
  <c r="O8" i="43"/>
  <c r="O9" i="43"/>
  <c r="O10" i="43"/>
  <c r="O11" i="43"/>
  <c r="P11" i="43" s="1"/>
  <c r="O12" i="43"/>
  <c r="O13" i="43"/>
  <c r="O14" i="43"/>
  <c r="O15" i="43"/>
  <c r="P15" i="43" s="1"/>
  <c r="O16" i="43"/>
  <c r="O17" i="43"/>
  <c r="O18" i="43"/>
  <c r="O19" i="43"/>
  <c r="O20" i="43"/>
  <c r="O21" i="43"/>
  <c r="O22" i="43"/>
  <c r="O23" i="43"/>
  <c r="O24" i="43"/>
  <c r="O25" i="43"/>
  <c r="O26" i="43"/>
  <c r="O27" i="43"/>
  <c r="AA177" i="4" l="1"/>
  <c r="AB177" i="4" s="1"/>
  <c r="AC177" i="4" s="1"/>
  <c r="AD177" i="4" s="1"/>
  <c r="P177" i="4" s="1"/>
  <c r="AA178" i="4"/>
  <c r="AB178" i="4" s="1"/>
  <c r="AC178" i="4" s="1"/>
  <c r="AD178" i="4" s="1"/>
  <c r="O178" i="4"/>
  <c r="P178" i="4" l="1"/>
  <c r="G28" i="42"/>
  <c r="H28" i="42"/>
  <c r="A3" i="2" l="1"/>
  <c r="AA11" i="49" l="1"/>
  <c r="AB11" i="49" s="1"/>
  <c r="AC11" i="49" s="1"/>
  <c r="AD11" i="49" s="1"/>
  <c r="P11" i="49" s="1"/>
  <c r="O2" i="45" l="1"/>
  <c r="O2" i="2"/>
  <c r="AA57" i="45" l="1"/>
  <c r="AB57" i="45" s="1"/>
  <c r="AC57" i="45" s="1"/>
  <c r="AD57" i="45" s="1"/>
  <c r="AA58" i="45"/>
  <c r="AB58" i="45" s="1"/>
  <c r="AC58" i="45" s="1"/>
  <c r="AD58" i="45" s="1"/>
  <c r="AA36" i="49" l="1"/>
  <c r="AB36" i="49" s="1"/>
  <c r="AC36" i="49" s="1"/>
  <c r="AD36" i="49" s="1"/>
  <c r="P36" i="49" s="1"/>
  <c r="O2" i="49" l="1"/>
  <c r="H2" i="42" l="1"/>
  <c r="H29" i="42"/>
  <c r="G2" i="42"/>
  <c r="G29" i="42"/>
  <c r="H65" i="56"/>
  <c r="H66" i="56"/>
  <c r="G65" i="56"/>
  <c r="G66" i="56"/>
  <c r="F65" i="56"/>
  <c r="F66" i="56"/>
  <c r="H57" i="44" l="1"/>
  <c r="H58" i="44"/>
  <c r="H59" i="44"/>
  <c r="G57" i="44"/>
  <c r="G58" i="44"/>
  <c r="G59" i="44"/>
  <c r="F57" i="44"/>
  <c r="F58" i="44"/>
  <c r="F59" i="44"/>
  <c r="AA2" i="47" l="1"/>
  <c r="AB2" i="47" s="1"/>
  <c r="AC2" i="47" s="1"/>
  <c r="H107" i="3" l="1"/>
  <c r="H103" i="3"/>
  <c r="H106" i="3"/>
  <c r="H104" i="3"/>
  <c r="H105" i="3"/>
  <c r="G107" i="3"/>
  <c r="G103" i="3"/>
  <c r="G106" i="3"/>
  <c r="G104" i="3"/>
  <c r="G105" i="3"/>
  <c r="AA37" i="49" l="1"/>
  <c r="AB37" i="49" s="1"/>
  <c r="AC37" i="49" s="1"/>
  <c r="AD37" i="49" s="1"/>
  <c r="P37" i="49" s="1"/>
  <c r="AA43" i="49" l="1"/>
  <c r="AB43" i="49" s="1"/>
  <c r="AC43" i="49" s="1"/>
  <c r="AD43" i="49" s="1"/>
  <c r="P43" i="49" s="1"/>
  <c r="AA2" i="52" l="1"/>
  <c r="AB2" i="52" s="1"/>
  <c r="AC2" i="52" s="1"/>
  <c r="AD2" i="52" s="1"/>
  <c r="F2" i="23" l="1"/>
  <c r="G2" i="23"/>
  <c r="H2" i="23"/>
  <c r="AD2" i="47" l="1"/>
  <c r="AA3" i="49" l="1"/>
  <c r="AB3" i="49" s="1"/>
  <c r="AC3" i="49" s="1"/>
  <c r="AD3" i="49" s="1"/>
  <c r="P3" i="49" s="1"/>
  <c r="AA4" i="49"/>
  <c r="AB4" i="49" s="1"/>
  <c r="AC4" i="49" s="1"/>
  <c r="AD4" i="49" s="1"/>
  <c r="P4" i="49" s="1"/>
  <c r="AA5" i="49"/>
  <c r="AB5" i="49" s="1"/>
  <c r="AC5" i="49" s="1"/>
  <c r="AD5" i="49" s="1"/>
  <c r="P5" i="49" s="1"/>
  <c r="AA6" i="49"/>
  <c r="AB6" i="49" s="1"/>
  <c r="AC6" i="49" s="1"/>
  <c r="AD6" i="49" s="1"/>
  <c r="P6" i="49" s="1"/>
  <c r="AA7" i="49"/>
  <c r="AB7" i="49" s="1"/>
  <c r="AC7" i="49" s="1"/>
  <c r="AD7" i="49" s="1"/>
  <c r="P7" i="49" s="1"/>
  <c r="AA8" i="49"/>
  <c r="AB8" i="49" s="1"/>
  <c r="AC8" i="49" s="1"/>
  <c r="AD8" i="49" s="1"/>
  <c r="P8" i="49" s="1"/>
  <c r="AA92" i="49"/>
  <c r="AB92" i="49" s="1"/>
  <c r="AC92" i="49" s="1"/>
  <c r="AD92" i="49" s="1"/>
  <c r="P92" i="49" s="1"/>
  <c r="AA10" i="49"/>
  <c r="AB10" i="49" s="1"/>
  <c r="AC10" i="49" s="1"/>
  <c r="AD10" i="49" s="1"/>
  <c r="P10" i="49" s="1"/>
  <c r="AA12" i="49"/>
  <c r="AB12" i="49" s="1"/>
  <c r="AC12" i="49" s="1"/>
  <c r="AD12" i="49" s="1"/>
  <c r="P12" i="49" s="1"/>
  <c r="AA13" i="49"/>
  <c r="AB13" i="49" s="1"/>
  <c r="AC13" i="49" s="1"/>
  <c r="AD13" i="49" s="1"/>
  <c r="P13" i="49" s="1"/>
  <c r="AA91" i="49"/>
  <c r="AB91" i="49" s="1"/>
  <c r="AC91" i="49" s="1"/>
  <c r="AD91" i="49" s="1"/>
  <c r="P91" i="49" s="1"/>
  <c r="AA14" i="49"/>
  <c r="AB14" i="49" s="1"/>
  <c r="AC14" i="49" s="1"/>
  <c r="AD14" i="49" s="1"/>
  <c r="P14" i="49" s="1"/>
  <c r="AA15" i="49"/>
  <c r="AB15" i="49" s="1"/>
  <c r="AC15" i="49" s="1"/>
  <c r="AD15" i="49" s="1"/>
  <c r="P15" i="49" s="1"/>
  <c r="AA16" i="49"/>
  <c r="AB16" i="49" s="1"/>
  <c r="AC16" i="49" s="1"/>
  <c r="AD16" i="49" s="1"/>
  <c r="P16" i="49" s="1"/>
  <c r="AA18" i="49"/>
  <c r="AB18" i="49" s="1"/>
  <c r="AC18" i="49" s="1"/>
  <c r="AD18" i="49" s="1"/>
  <c r="P18" i="49" s="1"/>
  <c r="AA25" i="49"/>
  <c r="AB25" i="49" s="1"/>
  <c r="AC25" i="49" s="1"/>
  <c r="AD25" i="49" s="1"/>
  <c r="P25" i="49" s="1"/>
  <c r="AA28" i="49"/>
  <c r="AB28" i="49" s="1"/>
  <c r="AC28" i="49" s="1"/>
  <c r="AD28" i="49" s="1"/>
  <c r="P28" i="49" s="1"/>
  <c r="AA26" i="49"/>
  <c r="AB26" i="49" s="1"/>
  <c r="AC26" i="49" s="1"/>
  <c r="AD26" i="49" s="1"/>
  <c r="P26" i="49" s="1"/>
  <c r="AA27" i="49"/>
  <c r="AB27" i="49" s="1"/>
  <c r="AC27" i="49" s="1"/>
  <c r="AD27" i="49" s="1"/>
  <c r="P27" i="49" s="1"/>
  <c r="AA29" i="49"/>
  <c r="AB29" i="49" s="1"/>
  <c r="AC29" i="49" s="1"/>
  <c r="AD29" i="49" s="1"/>
  <c r="P29" i="49" s="1"/>
  <c r="AA9" i="49"/>
  <c r="AB9" i="49" s="1"/>
  <c r="AC9" i="49" s="1"/>
  <c r="AD9" i="49" s="1"/>
  <c r="P9" i="49" s="1"/>
  <c r="AA30" i="49"/>
  <c r="AB30" i="49" s="1"/>
  <c r="AC30" i="49" s="1"/>
  <c r="AD30" i="49" s="1"/>
  <c r="P30" i="49" s="1"/>
  <c r="AA31" i="49"/>
  <c r="AB31" i="49" s="1"/>
  <c r="AC31" i="49" s="1"/>
  <c r="AD31" i="49" s="1"/>
  <c r="P31" i="49" s="1"/>
  <c r="AA32" i="49"/>
  <c r="AB32" i="49" s="1"/>
  <c r="AC32" i="49" s="1"/>
  <c r="AD32" i="49" s="1"/>
  <c r="P32" i="49" s="1"/>
  <c r="AA33" i="49"/>
  <c r="AB33" i="49" s="1"/>
  <c r="AC33" i="49" s="1"/>
  <c r="AD33" i="49" s="1"/>
  <c r="P33" i="49" s="1"/>
  <c r="AA34" i="49"/>
  <c r="AB34" i="49" s="1"/>
  <c r="AC34" i="49" s="1"/>
  <c r="AD34" i="49" s="1"/>
  <c r="P34" i="49" s="1"/>
  <c r="AA35" i="49"/>
  <c r="AB35" i="49" s="1"/>
  <c r="AC35" i="49" s="1"/>
  <c r="AD35" i="49" s="1"/>
  <c r="P35" i="49" s="1"/>
  <c r="AA38" i="49"/>
  <c r="AB38" i="49" s="1"/>
  <c r="AC38" i="49" s="1"/>
  <c r="AD38" i="49" s="1"/>
  <c r="P38" i="49" s="1"/>
  <c r="AA39" i="49"/>
  <c r="AB39" i="49" s="1"/>
  <c r="AC39" i="49" s="1"/>
  <c r="AD39" i="49" s="1"/>
  <c r="P39" i="49" s="1"/>
  <c r="AA40" i="49"/>
  <c r="AB40" i="49" s="1"/>
  <c r="AC40" i="49" s="1"/>
  <c r="AD40" i="49" s="1"/>
  <c r="P40" i="49" s="1"/>
  <c r="AA41" i="49"/>
  <c r="AB41" i="49" s="1"/>
  <c r="AC41" i="49" s="1"/>
  <c r="AD41" i="49" s="1"/>
  <c r="P41" i="49" s="1"/>
  <c r="AA42" i="49"/>
  <c r="AB42" i="49" s="1"/>
  <c r="AC42" i="49" s="1"/>
  <c r="AD42" i="49" s="1"/>
  <c r="P42" i="49" s="1"/>
  <c r="AA45" i="49"/>
  <c r="AB45" i="49" s="1"/>
  <c r="AC45" i="49" s="1"/>
  <c r="AD45" i="49" s="1"/>
  <c r="P45" i="49" s="1"/>
  <c r="AA46" i="49"/>
  <c r="AB46" i="49" s="1"/>
  <c r="AC46" i="49" s="1"/>
  <c r="AD46" i="49" s="1"/>
  <c r="P46" i="49" s="1"/>
  <c r="AA47" i="49"/>
  <c r="AB47" i="49" s="1"/>
  <c r="AC47" i="49" s="1"/>
  <c r="AD47" i="49" s="1"/>
  <c r="P47" i="49" s="1"/>
  <c r="AA48" i="49"/>
  <c r="AB48" i="49" s="1"/>
  <c r="AC48" i="49" s="1"/>
  <c r="AD48" i="49" s="1"/>
  <c r="P48" i="49" s="1"/>
  <c r="AA49" i="49"/>
  <c r="AB49" i="49" s="1"/>
  <c r="AC49" i="49" s="1"/>
  <c r="AD49" i="49" s="1"/>
  <c r="P49" i="49" s="1"/>
  <c r="AA50" i="49"/>
  <c r="AB50" i="49" s="1"/>
  <c r="AC50" i="49" s="1"/>
  <c r="AD50" i="49" s="1"/>
  <c r="P50" i="49" s="1"/>
  <c r="AA51" i="49"/>
  <c r="AB51" i="49" s="1"/>
  <c r="AC51" i="49" s="1"/>
  <c r="AD51" i="49" s="1"/>
  <c r="P51" i="49" s="1"/>
  <c r="AA52" i="49"/>
  <c r="AB52" i="49" s="1"/>
  <c r="AC52" i="49" s="1"/>
  <c r="AD52" i="49" s="1"/>
  <c r="P52" i="49" s="1"/>
  <c r="AA53" i="49"/>
  <c r="AB53" i="49" s="1"/>
  <c r="AC53" i="49" s="1"/>
  <c r="AD53" i="49" s="1"/>
  <c r="P53" i="49" s="1"/>
  <c r="AA54" i="49"/>
  <c r="AB54" i="49" s="1"/>
  <c r="AC54" i="49" s="1"/>
  <c r="AD54" i="49" s="1"/>
  <c r="P54" i="49" s="1"/>
  <c r="AA55" i="49"/>
  <c r="AB55" i="49" s="1"/>
  <c r="AC55" i="49" s="1"/>
  <c r="AD55" i="49" s="1"/>
  <c r="P55" i="49" s="1"/>
  <c r="AA56" i="49"/>
  <c r="AB56" i="49" s="1"/>
  <c r="AC56" i="49" s="1"/>
  <c r="AD56" i="49" s="1"/>
  <c r="P56" i="49" s="1"/>
  <c r="AA57" i="49"/>
  <c r="AB57" i="49" s="1"/>
  <c r="AC57" i="49" s="1"/>
  <c r="AD57" i="49" s="1"/>
  <c r="P57" i="49" s="1"/>
  <c r="AA58" i="49"/>
  <c r="AB58" i="49" s="1"/>
  <c r="AC58" i="49" s="1"/>
  <c r="AD58" i="49" s="1"/>
  <c r="P58" i="49" s="1"/>
  <c r="AA59" i="49"/>
  <c r="AB59" i="49" s="1"/>
  <c r="AC59" i="49" s="1"/>
  <c r="AD59" i="49" s="1"/>
  <c r="P59" i="49" s="1"/>
  <c r="AA60" i="49"/>
  <c r="AB60" i="49" s="1"/>
  <c r="AC60" i="49" s="1"/>
  <c r="AD60" i="49" s="1"/>
  <c r="P60" i="49" s="1"/>
  <c r="AA61" i="49"/>
  <c r="AB61" i="49" s="1"/>
  <c r="AC61" i="49" s="1"/>
  <c r="AD61" i="49" s="1"/>
  <c r="P61" i="49" s="1"/>
  <c r="AA62" i="49"/>
  <c r="AB62" i="49" s="1"/>
  <c r="AC62" i="49" s="1"/>
  <c r="AD62" i="49" s="1"/>
  <c r="P62" i="49" s="1"/>
  <c r="AA63" i="49"/>
  <c r="AB63" i="49" s="1"/>
  <c r="AC63" i="49" s="1"/>
  <c r="AD63" i="49" s="1"/>
  <c r="P63" i="49" s="1"/>
  <c r="AA64" i="49"/>
  <c r="AB64" i="49" s="1"/>
  <c r="AC64" i="49" s="1"/>
  <c r="AD64" i="49" s="1"/>
  <c r="P64" i="49" s="1"/>
  <c r="AA65" i="49"/>
  <c r="AB65" i="49" s="1"/>
  <c r="AC65" i="49" s="1"/>
  <c r="AD65" i="49" s="1"/>
  <c r="P65" i="49" s="1"/>
  <c r="AA19" i="49"/>
  <c r="AB19" i="49" s="1"/>
  <c r="AC19" i="49" s="1"/>
  <c r="AD19" i="49" s="1"/>
  <c r="P19" i="49" s="1"/>
  <c r="AA66" i="49"/>
  <c r="AB66" i="49" s="1"/>
  <c r="AC66" i="49" s="1"/>
  <c r="AD66" i="49" s="1"/>
  <c r="P66" i="49" s="1"/>
  <c r="AA67" i="49"/>
  <c r="AB67" i="49" s="1"/>
  <c r="AC67" i="49" s="1"/>
  <c r="AD67" i="49" s="1"/>
  <c r="P67" i="49" s="1"/>
  <c r="AA120" i="49"/>
  <c r="AB120" i="49" s="1"/>
  <c r="AC120" i="49" s="1"/>
  <c r="AD120" i="49" s="1"/>
  <c r="P120" i="49" s="1"/>
  <c r="AA21" i="49"/>
  <c r="AB21" i="49" s="1"/>
  <c r="AC21" i="49" s="1"/>
  <c r="AD21" i="49" s="1"/>
  <c r="P21" i="49" s="1"/>
  <c r="AA68" i="49"/>
  <c r="AB68" i="49" s="1"/>
  <c r="AC68" i="49" s="1"/>
  <c r="AD68" i="49" s="1"/>
  <c r="P68" i="49" s="1"/>
  <c r="AA69" i="49"/>
  <c r="AB69" i="49" s="1"/>
  <c r="AC69" i="49" s="1"/>
  <c r="AD69" i="49" s="1"/>
  <c r="P69" i="49" s="1"/>
  <c r="AA70" i="49"/>
  <c r="AB70" i="49" s="1"/>
  <c r="AC70" i="49" s="1"/>
  <c r="AD70" i="49" s="1"/>
  <c r="P70" i="49" s="1"/>
  <c r="AA71" i="49"/>
  <c r="AB71" i="49" s="1"/>
  <c r="AC71" i="49" s="1"/>
  <c r="AD71" i="49" s="1"/>
  <c r="P71" i="49" s="1"/>
  <c r="AA72" i="49"/>
  <c r="AB72" i="49" s="1"/>
  <c r="AC72" i="49" s="1"/>
  <c r="AD72" i="49" s="1"/>
  <c r="P72" i="49" s="1"/>
  <c r="AA73" i="49"/>
  <c r="AB73" i="49" s="1"/>
  <c r="AC73" i="49" s="1"/>
  <c r="AD73" i="49" s="1"/>
  <c r="P73" i="49" s="1"/>
  <c r="AA74" i="49"/>
  <c r="AB74" i="49" s="1"/>
  <c r="AC74" i="49" s="1"/>
  <c r="AD74" i="49" s="1"/>
  <c r="P74" i="49" s="1"/>
  <c r="AA75" i="49"/>
  <c r="AB75" i="49" s="1"/>
  <c r="AC75" i="49" s="1"/>
  <c r="AD75" i="49" s="1"/>
  <c r="P75" i="49" s="1"/>
  <c r="AA76" i="49"/>
  <c r="AB76" i="49" s="1"/>
  <c r="AC76" i="49" s="1"/>
  <c r="AD76" i="49" s="1"/>
  <c r="P76" i="49" s="1"/>
  <c r="AA78" i="49"/>
  <c r="AB78" i="49" s="1"/>
  <c r="AC78" i="49" s="1"/>
  <c r="AD78" i="49" s="1"/>
  <c r="P78" i="49" s="1"/>
  <c r="AA79" i="49"/>
  <c r="AB79" i="49" s="1"/>
  <c r="AC79" i="49" s="1"/>
  <c r="AD79" i="49" s="1"/>
  <c r="P79" i="49" s="1"/>
  <c r="AA80" i="49"/>
  <c r="AB80" i="49" s="1"/>
  <c r="AC80" i="49" s="1"/>
  <c r="AD80" i="49" s="1"/>
  <c r="P80" i="49" s="1"/>
  <c r="AA81" i="49"/>
  <c r="AB81" i="49" s="1"/>
  <c r="AC81" i="49" s="1"/>
  <c r="AD81" i="49" s="1"/>
  <c r="P81" i="49" s="1"/>
  <c r="AA82" i="49"/>
  <c r="AB82" i="49" s="1"/>
  <c r="AC82" i="49" s="1"/>
  <c r="AD82" i="49" s="1"/>
  <c r="P82" i="49" s="1"/>
  <c r="AA77" i="49"/>
  <c r="AB77" i="49" s="1"/>
  <c r="AC77" i="49" s="1"/>
  <c r="AD77" i="49" s="1"/>
  <c r="P77" i="49" s="1"/>
  <c r="AA83" i="49"/>
  <c r="AB83" i="49" s="1"/>
  <c r="AC83" i="49" s="1"/>
  <c r="AD83" i="49" s="1"/>
  <c r="P83" i="49" s="1"/>
  <c r="AA84" i="49"/>
  <c r="AB84" i="49" s="1"/>
  <c r="AC84" i="49" s="1"/>
  <c r="AD84" i="49" s="1"/>
  <c r="P84" i="49" s="1"/>
  <c r="AA85" i="49"/>
  <c r="AB85" i="49" s="1"/>
  <c r="AC85" i="49" s="1"/>
  <c r="AD85" i="49" s="1"/>
  <c r="P85" i="49" s="1"/>
  <c r="AA87" i="49"/>
  <c r="AB87" i="49" s="1"/>
  <c r="AC87" i="49" s="1"/>
  <c r="AD87" i="49" s="1"/>
  <c r="P87" i="49" s="1"/>
  <c r="AA88" i="49"/>
  <c r="AB88" i="49" s="1"/>
  <c r="AC88" i="49" s="1"/>
  <c r="AD88" i="49" s="1"/>
  <c r="P88" i="49" s="1"/>
  <c r="AA89" i="49"/>
  <c r="AB89" i="49" s="1"/>
  <c r="AC89" i="49" s="1"/>
  <c r="AD89" i="49" s="1"/>
  <c r="P89" i="49" s="1"/>
  <c r="AA90" i="49"/>
  <c r="AB90" i="49" s="1"/>
  <c r="AC90" i="49" s="1"/>
  <c r="AD90" i="49" s="1"/>
  <c r="P90" i="49" s="1"/>
  <c r="AA17" i="49"/>
  <c r="AB17" i="49" s="1"/>
  <c r="AC17" i="49" s="1"/>
  <c r="AD17" i="49" s="1"/>
  <c r="P17" i="49" s="1"/>
  <c r="AA93" i="49"/>
  <c r="AB93" i="49" s="1"/>
  <c r="AC93" i="49" s="1"/>
  <c r="AD93" i="49" s="1"/>
  <c r="P93" i="49" s="1"/>
  <c r="AA94" i="49"/>
  <c r="AB94" i="49" s="1"/>
  <c r="AC94" i="49" s="1"/>
  <c r="AD94" i="49" s="1"/>
  <c r="P94" i="49" s="1"/>
  <c r="AA117" i="49"/>
  <c r="AB117" i="49" s="1"/>
  <c r="AC117" i="49" s="1"/>
  <c r="AD117" i="49" s="1"/>
  <c r="P117" i="49" s="1"/>
  <c r="AA95" i="49"/>
  <c r="AB95" i="49" s="1"/>
  <c r="AC95" i="49" s="1"/>
  <c r="AD95" i="49" s="1"/>
  <c r="P95" i="49" s="1"/>
  <c r="AA44" i="49"/>
  <c r="AB44" i="49" s="1"/>
  <c r="AC44" i="49" s="1"/>
  <c r="AD44" i="49" s="1"/>
  <c r="P44" i="49" s="1"/>
  <c r="AA96" i="49"/>
  <c r="AB96" i="49" s="1"/>
  <c r="AC96" i="49" s="1"/>
  <c r="AD96" i="49" s="1"/>
  <c r="P96" i="49" s="1"/>
  <c r="AA86" i="49"/>
  <c r="AB86" i="49" s="1"/>
  <c r="AC86" i="49" s="1"/>
  <c r="AD86" i="49" s="1"/>
  <c r="P86" i="49" s="1"/>
  <c r="AA97" i="49"/>
  <c r="AB97" i="49" s="1"/>
  <c r="AC97" i="49" s="1"/>
  <c r="AD97" i="49" s="1"/>
  <c r="P97" i="49" s="1"/>
  <c r="AA98" i="49"/>
  <c r="AB98" i="49" s="1"/>
  <c r="AC98" i="49" s="1"/>
  <c r="AD98" i="49" s="1"/>
  <c r="P98" i="49" s="1"/>
  <c r="AA99" i="49"/>
  <c r="AB99" i="49" s="1"/>
  <c r="AC99" i="49" s="1"/>
  <c r="AD99" i="49" s="1"/>
  <c r="P99" i="49" s="1"/>
  <c r="AA100" i="49"/>
  <c r="AB100" i="49" s="1"/>
  <c r="AC100" i="49" s="1"/>
  <c r="AD100" i="49" s="1"/>
  <c r="P100" i="49" s="1"/>
  <c r="AA101" i="49"/>
  <c r="AB101" i="49" s="1"/>
  <c r="AC101" i="49" s="1"/>
  <c r="AD101" i="49" s="1"/>
  <c r="P101" i="49" s="1"/>
  <c r="AA102" i="49"/>
  <c r="AB102" i="49" s="1"/>
  <c r="AC102" i="49" s="1"/>
  <c r="AD102" i="49" s="1"/>
  <c r="P102" i="49" s="1"/>
  <c r="AA108" i="49"/>
  <c r="AB108" i="49" s="1"/>
  <c r="AC108" i="49" s="1"/>
  <c r="AD108" i="49" s="1"/>
  <c r="P108" i="49" s="1"/>
  <c r="AA109" i="49"/>
  <c r="AB109" i="49" s="1"/>
  <c r="AC109" i="49" s="1"/>
  <c r="AD109" i="49" s="1"/>
  <c r="P109" i="49" s="1"/>
  <c r="AA110" i="49"/>
  <c r="AB110" i="49" s="1"/>
  <c r="AC110" i="49" s="1"/>
  <c r="AD110" i="49" s="1"/>
  <c r="P110" i="49" s="1"/>
  <c r="AA111" i="49"/>
  <c r="AB111" i="49" s="1"/>
  <c r="AC111" i="49" s="1"/>
  <c r="AD111" i="49" s="1"/>
  <c r="P111" i="49" s="1"/>
  <c r="AA112" i="49"/>
  <c r="AB112" i="49" s="1"/>
  <c r="AC112" i="49" s="1"/>
  <c r="AD112" i="49" s="1"/>
  <c r="P112" i="49" s="1"/>
  <c r="AA113" i="49"/>
  <c r="AB113" i="49" s="1"/>
  <c r="AC113" i="49" s="1"/>
  <c r="AD113" i="49" s="1"/>
  <c r="P113" i="49" s="1"/>
  <c r="AA114" i="49"/>
  <c r="AB114" i="49" s="1"/>
  <c r="AC114" i="49" s="1"/>
  <c r="AD114" i="49" s="1"/>
  <c r="P114" i="49" s="1"/>
  <c r="AA116" i="49"/>
  <c r="AB116" i="49" s="1"/>
  <c r="AC116" i="49" s="1"/>
  <c r="AD116" i="49" s="1"/>
  <c r="P116" i="49" s="1"/>
  <c r="AA118" i="49"/>
  <c r="AB118" i="49" s="1"/>
  <c r="AC118" i="49" s="1"/>
  <c r="AD118" i="49" s="1"/>
  <c r="P118" i="49" s="1"/>
  <c r="AA119" i="49"/>
  <c r="AB119" i="49" s="1"/>
  <c r="AC119" i="49" s="1"/>
  <c r="AD119" i="49" s="1"/>
  <c r="P119" i="49" s="1"/>
  <c r="AA2" i="43"/>
  <c r="AB2" i="43" s="1"/>
  <c r="AC2" i="43" s="1"/>
  <c r="AD2" i="43" s="1"/>
  <c r="AA3" i="43"/>
  <c r="AB3" i="43" s="1"/>
  <c r="AC3" i="43" s="1"/>
  <c r="AD3" i="43" s="1"/>
  <c r="P3" i="43" s="1"/>
  <c r="AA4" i="43"/>
  <c r="AB4" i="43" s="1"/>
  <c r="AC4" i="43" s="1"/>
  <c r="AD4" i="43" s="1"/>
  <c r="P4" i="43" s="1"/>
  <c r="AA5" i="43"/>
  <c r="AB5" i="43" s="1"/>
  <c r="AC5" i="43" s="1"/>
  <c r="AD5" i="43" s="1"/>
  <c r="P5" i="43" s="1"/>
  <c r="AA6" i="43"/>
  <c r="AB6" i="43" s="1"/>
  <c r="AC6" i="43" s="1"/>
  <c r="AD6" i="43" s="1"/>
  <c r="P6" i="43" s="1"/>
  <c r="AA7" i="43"/>
  <c r="AB7" i="43" s="1"/>
  <c r="AC7" i="43" s="1"/>
  <c r="AD7" i="43" s="1"/>
  <c r="AA8" i="43"/>
  <c r="AB8" i="43" s="1"/>
  <c r="AC8" i="43" s="1"/>
  <c r="AD8" i="43" s="1"/>
  <c r="AA9" i="43"/>
  <c r="AB9" i="43" s="1"/>
  <c r="AC9" i="43" s="1"/>
  <c r="AD9" i="43" s="1"/>
  <c r="P9" i="43" s="1"/>
  <c r="AA10" i="43"/>
  <c r="AB10" i="43" s="1"/>
  <c r="AC10" i="43" s="1"/>
  <c r="AD10" i="43" s="1"/>
  <c r="P10" i="43" s="1"/>
  <c r="AA12" i="43"/>
  <c r="AB12" i="43" s="1"/>
  <c r="AC12" i="43" s="1"/>
  <c r="AD12" i="43" s="1"/>
  <c r="P12" i="43" s="1"/>
  <c r="AA13" i="43"/>
  <c r="AB13" i="43" s="1"/>
  <c r="AC13" i="43" s="1"/>
  <c r="AD13" i="43" s="1"/>
  <c r="P13" i="43" s="1"/>
  <c r="AA14" i="43"/>
  <c r="AB14" i="43" s="1"/>
  <c r="AC14" i="43" s="1"/>
  <c r="AD14" i="43" s="1"/>
  <c r="P14" i="43" s="1"/>
  <c r="AA16" i="43"/>
  <c r="AB16" i="43" s="1"/>
  <c r="AC16" i="43" s="1"/>
  <c r="AD16" i="43" s="1"/>
  <c r="P16" i="43" s="1"/>
  <c r="AA17" i="43"/>
  <c r="AB17" i="43" s="1"/>
  <c r="AC17" i="43" s="1"/>
  <c r="AD17" i="43" s="1"/>
  <c r="P17" i="43" s="1"/>
  <c r="AA18" i="43"/>
  <c r="AB18" i="43" s="1"/>
  <c r="AC18" i="43" s="1"/>
  <c r="AD18" i="43" s="1"/>
  <c r="P18" i="43" s="1"/>
  <c r="AA19" i="43"/>
  <c r="AB19" i="43" s="1"/>
  <c r="AC19" i="43" s="1"/>
  <c r="AD19" i="43" s="1"/>
  <c r="AA20" i="43"/>
  <c r="AB20" i="43" s="1"/>
  <c r="AC20" i="43" s="1"/>
  <c r="AD20" i="43" s="1"/>
  <c r="P20" i="43" s="1"/>
  <c r="AA21" i="43"/>
  <c r="AB21" i="43" s="1"/>
  <c r="AC21" i="43" s="1"/>
  <c r="AD21" i="43" s="1"/>
  <c r="P21" i="43" s="1"/>
  <c r="AA22" i="43"/>
  <c r="AB22" i="43" s="1"/>
  <c r="AC22" i="43" s="1"/>
  <c r="AD22" i="43" s="1"/>
  <c r="P22" i="43" s="1"/>
  <c r="AA23" i="43"/>
  <c r="AB23" i="43" s="1"/>
  <c r="AC23" i="43" s="1"/>
  <c r="AD23" i="43" s="1"/>
  <c r="P23" i="43" s="1"/>
  <c r="AA24" i="43"/>
  <c r="AB24" i="43" s="1"/>
  <c r="AC24" i="43" s="1"/>
  <c r="AD24" i="43" s="1"/>
  <c r="P24" i="43" s="1"/>
  <c r="AA25" i="43"/>
  <c r="AB25" i="43" s="1"/>
  <c r="AC25" i="43" s="1"/>
  <c r="AD25" i="43" s="1"/>
  <c r="P25" i="43" s="1"/>
  <c r="AA26" i="43"/>
  <c r="AB26" i="43" s="1"/>
  <c r="AC26" i="43" s="1"/>
  <c r="AD26" i="43" s="1"/>
  <c r="P26" i="43" s="1"/>
  <c r="AA27" i="43"/>
  <c r="AB27" i="43" s="1"/>
  <c r="AC27" i="43" s="1"/>
  <c r="AD27" i="43" s="1"/>
  <c r="P27" i="43" s="1"/>
  <c r="AA42" i="34"/>
  <c r="AB42" i="34" l="1"/>
  <c r="AC42" i="34" s="1"/>
  <c r="AD42" i="34" s="1"/>
  <c r="O2" i="36" l="1"/>
  <c r="F2" i="42" l="1"/>
  <c r="H2" i="46"/>
  <c r="H209" i="46" s="1"/>
  <c r="G2" i="46"/>
  <c r="G209" i="46" s="1"/>
  <c r="F2" i="46"/>
  <c r="G174" i="12" l="1"/>
  <c r="F2" i="31" l="1"/>
  <c r="G2" i="31"/>
  <c r="H2" i="31"/>
  <c r="O2" i="52" l="1"/>
  <c r="P2" i="52" s="1"/>
  <c r="A3" i="55" l="1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O2" i="38" l="1"/>
  <c r="A3" i="23" l="1"/>
  <c r="A4" i="23" s="1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l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l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O2" i="43"/>
  <c r="P2" i="43" s="1"/>
  <c r="O2" i="47"/>
  <c r="P2" i="47" s="1"/>
  <c r="A106" i="23" l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H116" i="23"/>
  <c r="H118" i="23" s="1"/>
  <c r="H81" i="14"/>
  <c r="G81" i="14"/>
  <c r="G2" i="56"/>
  <c r="G68" i="56" s="1"/>
  <c r="F2" i="56"/>
  <c r="AA2" i="2"/>
  <c r="AB2" i="2" s="1"/>
  <c r="AC2" i="2" s="1"/>
  <c r="AD2" i="2" s="1"/>
  <c r="P2" i="2" s="1"/>
  <c r="A3" i="56" l="1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l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H83" i="14"/>
  <c r="H86" i="14" s="1"/>
  <c r="A4" i="2" l="1"/>
  <c r="A67" i="56"/>
  <c r="A68" i="56" s="1"/>
  <c r="A69" i="56" s="1"/>
  <c r="A70" i="56" s="1"/>
  <c r="A71" i="56" s="1"/>
  <c r="A72" i="56" s="1"/>
  <c r="A73" i="56" s="1"/>
  <c r="A74" i="56" s="1"/>
  <c r="A75" i="56" s="1"/>
  <c r="A76" i="56" s="1"/>
  <c r="A5" i="2" l="1"/>
  <c r="A77" i="56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6" i="2" l="1"/>
  <c r="A7" i="2" l="1"/>
  <c r="A76" i="22"/>
  <c r="A77" i="22" s="1"/>
  <c r="A78" i="22" s="1"/>
  <c r="A79" i="22" s="1"/>
  <c r="A80" i="22" s="1"/>
  <c r="A81" i="22" s="1"/>
  <c r="A82" i="22" s="1"/>
  <c r="A83" i="22" s="1"/>
  <c r="A8" i="2" l="1"/>
  <c r="AA2" i="25"/>
  <c r="AB2" i="25" s="1"/>
  <c r="AC2" i="25" s="1"/>
  <c r="AD2" i="25" s="1"/>
  <c r="A9" i="2" l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10" i="2" l="1"/>
  <c r="A11" i="2" l="1"/>
  <c r="A12" i="2" l="1"/>
  <c r="A13" i="2" l="1"/>
  <c r="A14" i="2" l="1"/>
  <c r="A15" i="2" l="1"/>
  <c r="H2" i="56"/>
  <c r="H68" i="56" s="1"/>
  <c r="G70" i="56" s="1"/>
  <c r="A16" i="2" l="1"/>
  <c r="G72" i="56"/>
  <c r="A77" i="14" l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17" i="2"/>
  <c r="A3" i="49"/>
  <c r="A4" i="49" s="1"/>
  <c r="A5" i="49" s="1"/>
  <c r="A6" i="49" s="1"/>
  <c r="A7" i="49" s="1"/>
  <c r="A8" i="49" s="1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18" i="2" l="1"/>
  <c r="A84" i="3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85" i="49"/>
  <c r="A86" i="49" s="1"/>
  <c r="A87" i="49" s="1"/>
  <c r="A88" i="49" s="1"/>
  <c r="A89" i="49" s="1"/>
  <c r="A90" i="49" s="1"/>
  <c r="A91" i="49" s="1"/>
  <c r="A92" i="49" s="1"/>
  <c r="A93" i="49" s="1"/>
  <c r="A94" i="49" s="1"/>
  <c r="A95" i="49" s="1"/>
  <c r="A96" i="49" s="1"/>
  <c r="A97" i="49" s="1"/>
  <c r="A98" i="49" s="1"/>
  <c r="A99" i="49" s="1"/>
  <c r="A100" i="49" s="1"/>
  <c r="A101" i="49" s="1"/>
  <c r="A102" i="49" s="1"/>
  <c r="A103" i="49" s="1"/>
  <c r="A104" i="49" s="1"/>
  <c r="A105" i="49" s="1"/>
  <c r="A106" i="49" s="1"/>
  <c r="A107" i="49" s="1"/>
  <c r="A108" i="49" s="1"/>
  <c r="A109" i="49" s="1"/>
  <c r="A110" i="49" s="1"/>
  <c r="A111" i="49" s="1"/>
  <c r="A115" i="3" l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9" i="2"/>
  <c r="A112" i="49"/>
  <c r="A113" i="49" s="1"/>
  <c r="A114" i="49" s="1"/>
  <c r="A115" i="49" s="1"/>
  <c r="A116" i="49" s="1"/>
  <c r="A117" i="49" s="1"/>
  <c r="A118" i="49" s="1"/>
  <c r="A119" i="49" s="1"/>
  <c r="P2" i="25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P3" i="21"/>
  <c r="P4" i="21"/>
  <c r="P5" i="21"/>
  <c r="P6" i="21"/>
  <c r="P7" i="21"/>
  <c r="P8" i="21"/>
  <c r="P9" i="21"/>
  <c r="A3" i="33" l="1"/>
  <c r="A4" i="33" s="1"/>
  <c r="A5" i="33" l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l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l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3" i="7"/>
  <c r="A27" i="4" l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51" i="4" l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27" i="7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l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70" i="4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7" i="7" l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3" i="32"/>
  <c r="A3" i="31"/>
  <c r="A4" i="32" l="1"/>
  <c r="A4" i="3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l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5" i="31"/>
  <c r="A6" i="31" l="1"/>
  <c r="H211" i="46"/>
  <c r="H213" i="46" s="1"/>
  <c r="A34" i="2" l="1"/>
  <c r="A7" i="31"/>
  <c r="AE2" i="2"/>
  <c r="A35" i="2" l="1"/>
  <c r="A8" i="31"/>
  <c r="A36" i="2" l="1"/>
  <c r="A9" i="31"/>
  <c r="A37" i="2" l="1"/>
  <c r="A10" i="31"/>
  <c r="G2" i="35"/>
  <c r="F2" i="35"/>
  <c r="A38" i="2" l="1"/>
  <c r="A11" i="31"/>
  <c r="H32" i="42"/>
  <c r="H34" i="42" s="1"/>
  <c r="H2" i="35"/>
  <c r="A39" i="2" l="1"/>
  <c r="A12" i="31"/>
  <c r="AA2" i="36"/>
  <c r="AA2" i="45"/>
  <c r="AB2" i="36" l="1"/>
  <c r="AC2" i="36" s="1"/>
  <c r="AD2" i="36" s="1"/>
  <c r="P2" i="36" s="1"/>
  <c r="A40" i="2"/>
  <c r="A13" i="31"/>
  <c r="A41" i="2" l="1"/>
  <c r="A14" i="31"/>
  <c r="AA2" i="4"/>
  <c r="AB2" i="4" s="1"/>
  <c r="AC2" i="4" s="1"/>
  <c r="AD2" i="4" s="1"/>
  <c r="A42" i="2" l="1"/>
  <c r="A15" i="31"/>
  <c r="A3" i="37"/>
  <c r="A4" i="37" s="1"/>
  <c r="A5" i="37" s="1"/>
  <c r="A6" i="37" s="1"/>
  <c r="A7" i="37" s="1"/>
  <c r="A8" i="37" s="1"/>
  <c r="A9" i="37" s="1"/>
  <c r="A10" i="37" s="1"/>
  <c r="A43" i="2" l="1"/>
  <c r="A16" i="31"/>
  <c r="A11" i="37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A2" i="21"/>
  <c r="AB2" i="21" s="1"/>
  <c r="AC2" i="21" s="1"/>
  <c r="AD2" i="21" s="1"/>
  <c r="O2" i="21"/>
  <c r="A56" i="37" l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44" i="2"/>
  <c r="A17" i="31"/>
  <c r="P2" i="21"/>
  <c r="A45" i="2" l="1"/>
  <c r="A18" i="31"/>
  <c r="A114" i="37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46" i="2" l="1"/>
  <c r="A19" i="31"/>
  <c r="A144" i="37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72" i="12"/>
  <c r="A173" i="12" s="1"/>
  <c r="A174" i="12" s="1"/>
  <c r="A175" i="12" s="1"/>
  <c r="A176" i="12" s="1"/>
  <c r="A177" i="12" s="1"/>
  <c r="A47" i="2" l="1"/>
  <c r="A20" i="31"/>
  <c r="A159" i="37"/>
  <c r="A160" i="37" s="1"/>
  <c r="A178" i="12"/>
  <c r="A179" i="12" s="1"/>
  <c r="A180" i="12" s="1"/>
  <c r="A3" i="35"/>
  <c r="A4" i="35" s="1"/>
  <c r="A5" i="35" s="1"/>
  <c r="A6" i="35" s="1"/>
  <c r="A7" i="35" s="1"/>
  <c r="A8" i="35" s="1"/>
  <c r="A9" i="35" s="1"/>
  <c r="A10" i="35" s="1"/>
  <c r="A48" i="2" l="1"/>
  <c r="A21" i="31"/>
  <c r="A161" i="37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92" i="32"/>
  <c r="A49" i="2" l="1"/>
  <c r="A196" i="37"/>
  <c r="A197" i="37" s="1"/>
  <c r="A198" i="37" s="1"/>
  <c r="A22" i="31"/>
  <c r="A11" i="35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O2" i="32"/>
  <c r="A24" i="35" l="1"/>
  <c r="A25" i="35" s="1"/>
  <c r="A199" i="37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50" i="2"/>
  <c r="A23" i="3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26" i="35" l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24" i="31"/>
  <c r="A25" i="31" s="1"/>
  <c r="A26" i="31" s="1"/>
  <c r="A27" i="31" s="1"/>
  <c r="A28" i="31" s="1"/>
  <c r="A51" i="2"/>
  <c r="A136" i="23"/>
  <c r="A135" i="23"/>
  <c r="A137" i="23" s="1"/>
  <c r="A52" i="2" l="1"/>
  <c r="A53" i="2" l="1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54" i="2" l="1"/>
  <c r="A15" i="44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3" i="42"/>
  <c r="H10" i="13"/>
  <c r="G10" i="13"/>
  <c r="G11" i="13"/>
  <c r="A55" i="2" l="1"/>
  <c r="A49" i="44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3" i="52"/>
  <c r="A4" i="52" s="1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56" i="2" l="1"/>
  <c r="A57" i="2" l="1"/>
  <c r="A3" i="34"/>
  <c r="A4" i="34" s="1"/>
  <c r="A5" i="34" s="1"/>
  <c r="A6" i="34" s="1"/>
  <c r="A7" i="34" s="1"/>
  <c r="A58" i="2" l="1"/>
  <c r="A8" i="34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59" i="2" l="1"/>
  <c r="A29" i="34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5" i="32"/>
  <c r="A3" i="25"/>
  <c r="A4" i="25" s="1"/>
  <c r="A5" i="25" s="1"/>
  <c r="A6" i="25" s="1"/>
  <c r="A7" i="25" s="1"/>
  <c r="A8" i="25" s="1"/>
  <c r="A60" i="2" l="1"/>
  <c r="A9" i="25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6" i="32"/>
  <c r="A61" i="2" l="1"/>
  <c r="A7" i="32"/>
  <c r="A62" i="2" l="1"/>
  <c r="A8" i="32"/>
  <c r="A43" i="34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63" i="2" l="1"/>
  <c r="A9" i="32"/>
  <c r="AA2" i="32"/>
  <c r="AB2" i="32" s="1"/>
  <c r="AC2" i="32" s="1"/>
  <c r="AD2" i="32" s="1"/>
  <c r="A64" i="2" l="1"/>
  <c r="A10" i="32"/>
  <c r="A65" i="2" l="1"/>
  <c r="A11" i="32"/>
  <c r="G12" i="13"/>
  <c r="G13" i="13"/>
  <c r="G14" i="13"/>
  <c r="G2" i="12"/>
  <c r="A66" i="2" l="1"/>
  <c r="A12" i="32"/>
  <c r="H11" i="13"/>
  <c r="H12" i="13"/>
  <c r="H13" i="13"/>
  <c r="H14" i="13"/>
  <c r="H2" i="12"/>
  <c r="H174" i="12" s="1"/>
  <c r="A67" i="2" l="1"/>
  <c r="A13" i="32"/>
  <c r="AA2" i="49"/>
  <c r="AB2" i="49" s="1"/>
  <c r="AC2" i="49" s="1"/>
  <c r="AD2" i="49" s="1"/>
  <c r="P2" i="49" s="1"/>
  <c r="A68" i="2" l="1"/>
  <c r="A14" i="32"/>
  <c r="H2" i="3"/>
  <c r="G2" i="3"/>
  <c r="F2" i="3"/>
  <c r="A69" i="2" l="1"/>
  <c r="A70" i="2" s="1"/>
  <c r="A71" i="2" s="1"/>
  <c r="A72" i="2" s="1"/>
  <c r="A73" i="2" s="1"/>
  <c r="A15" i="32"/>
  <c r="F2" i="12"/>
  <c r="A16" i="32" l="1"/>
  <c r="H2" i="13"/>
  <c r="G2" i="13"/>
  <c r="F2" i="13"/>
  <c r="F11" i="13"/>
  <c r="F12" i="13"/>
  <c r="F13" i="13"/>
  <c r="F14" i="13"/>
  <c r="A17" i="32" l="1"/>
  <c r="H16" i="13"/>
  <c r="A18" i="32" l="1"/>
  <c r="H124" i="3"/>
  <c r="H125" i="3" s="1"/>
  <c r="A19" i="32" l="1"/>
  <c r="A133" i="3"/>
  <c r="A20" i="32" l="1"/>
  <c r="H2" i="7"/>
  <c r="H182" i="7" s="1"/>
  <c r="G2" i="7"/>
  <c r="G182" i="7" s="1"/>
  <c r="F2" i="7"/>
  <c r="H183" i="7" l="1"/>
  <c r="A21" i="32"/>
  <c r="A22" i="32" l="1"/>
  <c r="A23" i="32" s="1"/>
  <c r="H36" i="35"/>
  <c r="H37" i="35" s="1"/>
  <c r="A24" i="32" l="1"/>
  <c r="A25" i="32" s="1"/>
  <c r="A26" i="32" s="1"/>
  <c r="A27" i="32" s="1"/>
  <c r="H44" i="33"/>
  <c r="H175" i="12" l="1"/>
  <c r="H176" i="12" s="1"/>
  <c r="A46" i="45" l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28" i="32" l="1"/>
  <c r="H2" i="44"/>
  <c r="G2" i="44"/>
  <c r="H62" i="44" l="1"/>
  <c r="H63" i="44" s="1"/>
  <c r="AB2" i="45" l="1"/>
  <c r="AC2" i="45" l="1"/>
  <c r="AD2" i="45" s="1"/>
  <c r="H17" i="13" l="1"/>
  <c r="H46" i="33" l="1"/>
  <c r="A256" i="47" l="1"/>
  <c r="A257" i="47" s="1"/>
  <c r="A258" i="47" s="1"/>
  <c r="A259" i="47" s="1"/>
  <c r="A260" i="47" s="1"/>
  <c r="A261" i="47" s="1"/>
  <c r="A262" i="47" s="1"/>
  <c r="A263" i="47" s="1"/>
  <c r="A264" i="47" s="1"/>
  <c r="A265" i="47" s="1"/>
  <c r="A266" i="47" s="1"/>
  <c r="A267" i="47" s="1"/>
  <c r="A268" i="47" s="1"/>
  <c r="A269" i="47" s="1"/>
  <c r="A270" i="47" s="1"/>
  <c r="A271" i="47" s="1"/>
  <c r="A272" i="47" s="1"/>
  <c r="A273" i="47" s="1"/>
  <c r="A274" i="47" s="1"/>
  <c r="A275" i="47" s="1"/>
  <c r="A276" i="47" s="1"/>
  <c r="A277" i="47" s="1"/>
  <c r="A278" i="47" s="1"/>
  <c r="A279" i="47" s="1"/>
  <c r="A280" i="47" s="1"/>
  <c r="A281" i="47" s="1"/>
  <c r="A282" i="47" s="1"/>
  <c r="A283" i="47" s="1"/>
  <c r="A284" i="47" s="1"/>
  <c r="A285" i="47" s="1"/>
  <c r="A286" i="47" s="1"/>
  <c r="A287" i="47" s="1"/>
  <c r="A288" i="47" s="1"/>
  <c r="A289" i="47" s="1"/>
  <c r="A290" i="47" s="1"/>
  <c r="A291" i="47" s="1"/>
  <c r="A292" i="47" s="1"/>
  <c r="A293" i="47" s="1"/>
  <c r="A294" i="47" s="1"/>
  <c r="A295" i="47" s="1"/>
  <c r="A296" i="47" s="1"/>
  <c r="A297" i="47" s="1"/>
  <c r="A298" i="47" s="1"/>
  <c r="A299" i="47" s="1"/>
  <c r="A300" i="47" s="1"/>
  <c r="A301" i="47" s="1"/>
  <c r="A302" i="47" s="1"/>
  <c r="A303" i="47" s="1"/>
  <c r="A304" i="47" s="1"/>
  <c r="A305" i="47" s="1"/>
  <c r="A306" i="47" s="1"/>
  <c r="A307" i="47" s="1"/>
  <c r="A308" i="47" s="1"/>
  <c r="A309" i="47" s="1"/>
  <c r="A310" i="47" s="1"/>
  <c r="A311" i="47" s="1"/>
  <c r="A312" i="47" s="1"/>
  <c r="A313" i="47" s="1"/>
  <c r="A314" i="47" s="1"/>
  <c r="A315" i="47" s="1"/>
  <c r="A316" i="47" s="1"/>
  <c r="A317" i="47" s="1"/>
  <c r="A318" i="47" s="1"/>
  <c r="A319" i="47" s="1"/>
  <c r="A320" i="47" s="1"/>
  <c r="A321" i="47" s="1"/>
  <c r="A322" i="47" s="1"/>
  <c r="A323" i="47" s="1"/>
  <c r="A324" i="47" s="1"/>
  <c r="A325" i="47" s="1"/>
  <c r="A326" i="47" s="1"/>
  <c r="A327" i="47" s="1"/>
  <c r="A328" i="47" s="1"/>
  <c r="A329" i="47" s="1"/>
  <c r="A330" i="47" s="1"/>
  <c r="A331" i="47" s="1"/>
  <c r="A332" i="47" s="1"/>
  <c r="A333" i="47" s="1"/>
  <c r="A334" i="47" s="1"/>
  <c r="A335" i="47" s="1"/>
  <c r="A336" i="47" s="1"/>
  <c r="A337" i="47" s="1"/>
  <c r="A338" i="47" s="1"/>
  <c r="A339" i="47" s="1"/>
  <c r="A340" i="47" s="1"/>
  <c r="A341" i="47" s="1"/>
  <c r="A342" i="47" s="1"/>
  <c r="A343" i="47" s="1"/>
  <c r="A344" i="47" s="1"/>
  <c r="A345" i="47" s="1"/>
  <c r="A346" i="47" s="1"/>
  <c r="A347" i="47" s="1"/>
  <c r="A348" i="47" s="1"/>
  <c r="A349" i="47" s="1"/>
  <c r="A350" i="47" s="1"/>
  <c r="A351" i="47" s="1"/>
  <c r="A352" i="47" s="1"/>
  <c r="A353" i="47" s="1"/>
  <c r="A354" i="47" s="1"/>
  <c r="A355" i="47" s="1"/>
  <c r="A356" i="47" s="1"/>
  <c r="A357" i="47" s="1"/>
  <c r="A3" i="47"/>
  <c r="A4" i="47" l="1"/>
  <c r="A5" i="47" s="1"/>
  <c r="A6" i="47" s="1"/>
  <c r="A7" i="47" s="1"/>
  <c r="A8" i="47" s="1"/>
  <c r="A9" i="47" s="1"/>
  <c r="A10" i="47" s="1"/>
  <c r="A11" i="47" s="1"/>
  <c r="A12" i="47" s="1"/>
  <c r="A13" i="47" s="1"/>
  <c r="A14" i="47" s="1"/>
  <c r="AA2" i="38"/>
  <c r="AB2" i="38" s="1"/>
  <c r="AC2" i="38" l="1"/>
  <c r="AD2" i="38" s="1"/>
  <c r="P2" i="38" s="1"/>
  <c r="A230" i="45"/>
  <c r="A231" i="45" s="1"/>
  <c r="A232" i="45" s="1"/>
  <c r="A233" i="45" s="1"/>
  <c r="A234" i="45" s="1"/>
  <c r="A235" i="45" s="1"/>
  <c r="A236" i="45" s="1"/>
  <c r="A237" i="45" s="1"/>
  <c r="A238" i="45" s="1"/>
  <c r="A239" i="45" s="1"/>
  <c r="A240" i="45" s="1"/>
  <c r="A241" i="45" s="1"/>
  <c r="A242" i="45" s="1"/>
  <c r="A243" i="45" s="1"/>
  <c r="A244" i="45" s="1"/>
  <c r="A245" i="45" s="1"/>
  <c r="A246" i="45" s="1"/>
  <c r="A247" i="45" s="1"/>
  <c r="A248" i="45" s="1"/>
  <c r="A249" i="45" s="1"/>
  <c r="A250" i="45" s="1"/>
  <c r="A251" i="45" s="1"/>
  <c r="A252" i="45" s="1"/>
  <c r="A253" i="45" s="1"/>
  <c r="A254" i="45" s="1"/>
  <c r="A255" i="45" s="1"/>
  <c r="A256" i="45" s="1"/>
  <c r="A257" i="45" s="1"/>
  <c r="A258" i="45" s="1"/>
  <c r="A259" i="45" s="1"/>
  <c r="A260" i="45" s="1"/>
  <c r="A261" i="45" s="1"/>
  <c r="A262" i="45" s="1"/>
  <c r="A263" i="45" s="1"/>
  <c r="A264" i="45" s="1"/>
  <c r="A265" i="45" s="1"/>
  <c r="A266" i="45" s="1"/>
  <c r="A267" i="45" s="1"/>
  <c r="A268" i="45" s="1"/>
  <c r="A269" i="45" s="1"/>
  <c r="A270" i="45" s="1"/>
  <c r="A271" i="45" s="1"/>
  <c r="A272" i="45" s="1"/>
  <c r="A273" i="45" s="1"/>
  <c r="A274" i="45" s="1"/>
  <c r="A275" i="45" s="1"/>
  <c r="A276" i="45" s="1"/>
  <c r="A277" i="45" s="1"/>
  <c r="A278" i="45" s="1"/>
  <c r="A279" i="45" s="1"/>
  <c r="A280" i="45" s="1"/>
  <c r="A281" i="45" s="1"/>
  <c r="A282" i="45" s="1"/>
  <c r="A283" i="45" s="1"/>
  <c r="A284" i="45" s="1"/>
  <c r="A285" i="45" s="1"/>
  <c r="A286" i="45" s="1"/>
  <c r="A287" i="45" s="1"/>
  <c r="A288" i="45" s="1"/>
  <c r="A289" i="45" s="1"/>
  <c r="A290" i="45" s="1"/>
  <c r="A291" i="45" s="1"/>
  <c r="A292" i="45" s="1"/>
  <c r="A293" i="45" s="1"/>
  <c r="A294" i="45" s="1"/>
  <c r="A295" i="45" s="1"/>
  <c r="A296" i="45" s="1"/>
  <c r="A297" i="45" s="1"/>
  <c r="A298" i="45" s="1"/>
  <c r="A299" i="45" s="1"/>
  <c r="A300" i="45" s="1"/>
  <c r="A301" i="45" s="1"/>
  <c r="A302" i="45" s="1"/>
  <c r="A303" i="45" s="1"/>
  <c r="A304" i="45" s="1"/>
  <c r="A305" i="45" s="1"/>
  <c r="A306" i="45" s="1"/>
  <c r="A307" i="45" s="1"/>
  <c r="A308" i="45" s="1"/>
  <c r="A309" i="45" s="1"/>
  <c r="A310" i="45" s="1"/>
  <c r="A311" i="45" s="1"/>
  <c r="A312" i="45" s="1"/>
  <c r="A313" i="45" s="1"/>
  <c r="A314" i="45" s="1"/>
  <c r="A315" i="45" s="1"/>
  <c r="A316" i="45" s="1"/>
  <c r="A317" i="45" s="1"/>
  <c r="A318" i="45" s="1"/>
  <c r="A319" i="45" s="1"/>
  <c r="A320" i="45" s="1"/>
  <c r="A321" i="45" s="1"/>
  <c r="A322" i="45" s="1"/>
  <c r="A323" i="45" s="1"/>
  <c r="A324" i="45" s="1"/>
  <c r="A325" i="45" s="1"/>
  <c r="A326" i="45" s="1"/>
  <c r="A327" i="45" s="1"/>
  <c r="A328" i="45" s="1"/>
  <c r="A329" i="45" s="1"/>
  <c r="A330" i="45" s="1"/>
  <c r="A331" i="45" s="1"/>
  <c r="F2" i="44"/>
  <c r="H2" i="37" l="1"/>
  <c r="H209" i="37" s="1"/>
  <c r="F2" i="37" l="1"/>
  <c r="G2" i="37"/>
  <c r="G209" i="37" l="1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A247" i="43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334" i="43" s="1"/>
  <c r="A335" i="43" s="1"/>
  <c r="A336" i="43" s="1"/>
  <c r="A337" i="43" s="1"/>
  <c r="A338" i="43" s="1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O235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H210" i="37" l="1"/>
  <c r="H211" i="37" s="1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A246" i="36"/>
  <c r="A247" i="36" s="1"/>
  <c r="A248" i="36" s="1"/>
  <c r="A249" i="36" s="1"/>
  <c r="A250" i="36" s="1"/>
  <c r="A251" i="36" s="1"/>
  <c r="A252" i="36" s="1"/>
  <c r="A253" i="36" s="1"/>
  <c r="A254" i="36" s="1"/>
  <c r="A255" i="36" s="1"/>
  <c r="A256" i="36" s="1"/>
  <c r="A257" i="36" s="1"/>
  <c r="A258" i="36" s="1"/>
  <c r="A259" i="36" s="1"/>
  <c r="A260" i="36" s="1"/>
  <c r="A261" i="36" s="1"/>
  <c r="A262" i="36" s="1"/>
  <c r="A263" i="36" s="1"/>
  <c r="A264" i="36" s="1"/>
  <c r="A265" i="36" s="1"/>
  <c r="A266" i="36" s="1"/>
  <c r="A267" i="36" s="1"/>
  <c r="A268" i="36" s="1"/>
  <c r="A269" i="36" s="1"/>
  <c r="A270" i="36" s="1"/>
  <c r="A271" i="36" s="1"/>
  <c r="A272" i="36" s="1"/>
  <c r="A273" i="36" s="1"/>
  <c r="A274" i="36" s="1"/>
  <c r="A275" i="36" s="1"/>
  <c r="A276" i="36" s="1"/>
  <c r="A277" i="36" s="1"/>
  <c r="A278" i="36" s="1"/>
  <c r="A279" i="36" s="1"/>
  <c r="A280" i="36" s="1"/>
  <c r="A281" i="36" s="1"/>
  <c r="A282" i="36" s="1"/>
  <c r="A283" i="36" s="1"/>
  <c r="A284" i="36" s="1"/>
  <c r="A285" i="36" s="1"/>
  <c r="A286" i="36" s="1"/>
  <c r="A287" i="36" s="1"/>
  <c r="A288" i="36" s="1"/>
  <c r="A289" i="36" s="1"/>
  <c r="A290" i="36" s="1"/>
  <c r="A291" i="36" s="1"/>
  <c r="A292" i="36" s="1"/>
  <c r="A293" i="36" s="1"/>
  <c r="A294" i="36" s="1"/>
  <c r="A295" i="36" s="1"/>
  <c r="A296" i="36" s="1"/>
  <c r="A297" i="36" s="1"/>
  <c r="A298" i="36" s="1"/>
  <c r="A299" i="36" s="1"/>
  <c r="A300" i="36" s="1"/>
  <c r="A301" i="36" s="1"/>
  <c r="A302" i="36" s="1"/>
  <c r="A303" i="36" s="1"/>
  <c r="A304" i="36" s="1"/>
  <c r="A305" i="36" s="1"/>
  <c r="A306" i="36" s="1"/>
  <c r="A307" i="36" s="1"/>
  <c r="A308" i="36" s="1"/>
  <c r="A309" i="36" s="1"/>
  <c r="A310" i="36" s="1"/>
  <c r="A311" i="36" s="1"/>
  <c r="A312" i="36" s="1"/>
  <c r="A313" i="36" s="1"/>
  <c r="A314" i="36" s="1"/>
  <c r="A315" i="36" s="1"/>
  <c r="A316" i="36" s="1"/>
  <c r="A317" i="36" s="1"/>
  <c r="A318" i="36" s="1"/>
  <c r="A319" i="36" s="1"/>
  <c r="A320" i="36" s="1"/>
  <c r="A321" i="36" s="1"/>
  <c r="A322" i="36" s="1"/>
  <c r="A323" i="36" s="1"/>
  <c r="A324" i="36" s="1"/>
  <c r="A325" i="36" s="1"/>
  <c r="A326" i="36" s="1"/>
  <c r="A327" i="36" s="1"/>
  <c r="A328" i="36" s="1"/>
  <c r="A329" i="36" s="1"/>
  <c r="A330" i="36" s="1"/>
  <c r="A331" i="36" s="1"/>
  <c r="A332" i="36" s="1"/>
  <c r="A333" i="36" s="1"/>
  <c r="A334" i="36" s="1"/>
  <c r="A335" i="36" s="1"/>
  <c r="A336" i="36" s="1"/>
  <c r="A337" i="36" s="1"/>
  <c r="A338" i="36" s="1"/>
  <c r="A339" i="36" s="1"/>
  <c r="A340" i="36" s="1"/>
  <c r="A341" i="36" s="1"/>
  <c r="A342" i="36" s="1"/>
  <c r="A343" i="36" s="1"/>
  <c r="A344" i="36" s="1"/>
  <c r="A345" i="36" s="1"/>
  <c r="A346" i="36" s="1"/>
  <c r="A347" i="36" s="1"/>
  <c r="O240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233" i="34"/>
  <c r="O354" i="32" l="1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O253" i="32"/>
  <c r="A253" i="32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O252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O113" i="32"/>
  <c r="A168" i="25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A268" i="25" s="1"/>
  <c r="A269" i="25" s="1"/>
  <c r="H30" i="31" l="1"/>
  <c r="H31" i="31" s="1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A232" i="22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7" i="22" s="1"/>
  <c r="A328" i="22" s="1"/>
  <c r="A329" i="22" s="1"/>
  <c r="A330" i="22" s="1"/>
  <c r="A331" i="22" s="1"/>
  <c r="A332" i="22" s="1"/>
  <c r="A333" i="22" s="1"/>
  <c r="O216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114" i="21"/>
  <c r="O113" i="21"/>
  <c r="O112" i="21"/>
  <c r="O111" i="21"/>
  <c r="O110" i="21"/>
  <c r="O109" i="21"/>
  <c r="O108" i="21"/>
  <c r="O107" i="21"/>
  <c r="O106" i="21"/>
  <c r="O105" i="2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H184" i="7" l="1"/>
  <c r="A213" i="22" l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15" i="47" l="1"/>
  <c r="A16" i="47" s="1"/>
  <c r="A94" i="21"/>
  <c r="A133" i="36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A220" i="36" s="1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17" i="47" l="1"/>
  <c r="A18" i="47" s="1"/>
  <c r="A19" i="47" s="1"/>
  <c r="A20" i="47" s="1"/>
  <c r="A21" i="47" s="1"/>
  <c r="A22" i="47" s="1"/>
  <c r="A23" i="47" s="1"/>
  <c r="A245" i="34"/>
  <c r="A160" i="43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" i="47" l="1"/>
  <c r="A25" i="47" s="1"/>
  <c r="A26" i="47" s="1"/>
  <c r="A27" i="47" s="1"/>
  <c r="A28" i="47" s="1"/>
  <c r="A29" i="47" s="1"/>
  <c r="A30" i="47" s="1"/>
  <c r="A31" i="47" s="1"/>
  <c r="A32" i="47" s="1"/>
  <c r="A113" i="32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33" i="47" l="1"/>
  <c r="A34" i="47" s="1"/>
  <c r="A35" i="47" s="1"/>
  <c r="A36" i="47" s="1"/>
  <c r="A37" i="47" s="1"/>
  <c r="A38" i="47" s="1"/>
  <c r="A71" i="45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196" i="45" s="1"/>
  <c r="A197" i="45" s="1"/>
  <c r="A198" i="45" s="1"/>
  <c r="A199" i="45" s="1"/>
  <c r="A200" i="45" s="1"/>
  <c r="A201" i="45" s="1"/>
  <c r="A202" i="45" s="1"/>
  <c r="A203" i="45" s="1"/>
  <c r="A204" i="45" s="1"/>
  <c r="A205" i="45" s="1"/>
  <c r="A206" i="45" s="1"/>
  <c r="A207" i="45" s="1"/>
  <c r="A208" i="45" s="1"/>
  <c r="A209" i="45" s="1"/>
  <c r="A210" i="45" s="1"/>
  <c r="A211" i="45" s="1"/>
  <c r="A212" i="45" s="1"/>
  <c r="A213" i="45" s="1"/>
  <c r="A214" i="45" s="1"/>
  <c r="A215" i="45" s="1"/>
  <c r="A216" i="45" s="1"/>
  <c r="A217" i="45" s="1"/>
  <c r="A218" i="45" s="1"/>
  <c r="A219" i="45" s="1"/>
  <c r="A220" i="45" s="1"/>
  <c r="A221" i="45" s="1"/>
  <c r="A222" i="45" s="1"/>
  <c r="A223" i="45" s="1"/>
  <c r="A224" i="45" s="1"/>
  <c r="A225" i="45" s="1"/>
  <c r="A226" i="45" s="1"/>
  <c r="A39" i="47" l="1"/>
  <c r="A40" i="47" s="1"/>
  <c r="A95" i="21"/>
  <c r="A41" i="47" l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254" i="21"/>
  <c r="A80" i="47" l="1"/>
  <c r="A81" i="47" s="1"/>
  <c r="A96" i="21"/>
  <c r="A82" i="47" l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255" i="21"/>
  <c r="A97" i="47" l="1"/>
  <c r="A98" i="47" s="1"/>
  <c r="A99" i="47" s="1"/>
  <c r="A100" i="47" s="1"/>
  <c r="A97" i="21"/>
  <c r="A101" i="47" l="1"/>
  <c r="A102" i="47" s="1"/>
  <c r="A103" i="47" s="1"/>
  <c r="A104" i="47" s="1"/>
  <c r="A105" i="47" s="1"/>
  <c r="A106" i="47" s="1"/>
  <c r="A256" i="21"/>
  <c r="A107" i="47" l="1"/>
  <c r="A108" i="47" s="1"/>
  <c r="A109" i="47" s="1"/>
  <c r="A110" i="47" s="1"/>
  <c r="A98" i="21"/>
  <c r="A111" i="47" l="1"/>
  <c r="A112" i="47" s="1"/>
  <c r="A113" i="47" s="1"/>
  <c r="A114" i="47" s="1"/>
  <c r="A115" i="47" s="1"/>
  <c r="A116" i="47" s="1"/>
  <c r="A257" i="21"/>
  <c r="A117" i="47" l="1"/>
  <c r="A99" i="21"/>
  <c r="A118" i="47" l="1"/>
  <c r="A119" i="47" s="1"/>
  <c r="A120" i="47" s="1"/>
  <c r="A121" i="47" s="1"/>
  <c r="A122" i="47" s="1"/>
  <c r="A123" i="47" s="1"/>
  <c r="A258" i="21"/>
  <c r="A100" i="21" l="1"/>
  <c r="A124" i="47" l="1"/>
  <c r="A259" i="21"/>
  <c r="A125" i="47" l="1"/>
  <c r="A126" i="47" s="1"/>
  <c r="A127" i="47" s="1"/>
  <c r="A128" i="47" s="1"/>
  <c r="A129" i="47" s="1"/>
  <c r="A130" i="47" s="1"/>
  <c r="A131" i="47" s="1"/>
  <c r="A132" i="47" s="1"/>
  <c r="A101" i="21"/>
  <c r="A133" i="47" l="1"/>
  <c r="A134" i="47" s="1"/>
  <c r="A260" i="21"/>
  <c r="A135" i="47" l="1"/>
  <c r="A136" i="47" s="1"/>
  <c r="A137" i="47" s="1"/>
  <c r="A138" i="47" s="1"/>
  <c r="A139" i="47" s="1"/>
  <c r="A102" i="21"/>
  <c r="A140" i="47" l="1"/>
  <c r="A141" i="47" s="1"/>
  <c r="A142" i="47" s="1"/>
  <c r="A261" i="21"/>
  <c r="A143" i="47" l="1"/>
  <c r="A144" i="47" s="1"/>
  <c r="A103" i="21"/>
  <c r="A145" i="47" l="1"/>
  <c r="A146" i="47" s="1"/>
  <c r="A147" i="47" s="1"/>
  <c r="A148" i="47" s="1"/>
  <c r="A149" i="47" s="1"/>
  <c r="A262" i="21"/>
  <c r="A150" i="47" l="1"/>
  <c r="A151" i="47" s="1"/>
  <c r="A152" i="47" s="1"/>
  <c r="A153" i="47" s="1"/>
  <c r="A154" i="47" s="1"/>
  <c r="A104" i="21"/>
  <c r="A155" i="47" l="1"/>
  <c r="A156" i="47" s="1"/>
  <c r="A157" i="47" s="1"/>
  <c r="A158" i="47" s="1"/>
  <c r="A159" i="47" s="1"/>
  <c r="A160" i="47" s="1"/>
  <c r="A263" i="21"/>
  <c r="A161" i="47" l="1"/>
  <c r="A162" i="47" s="1"/>
  <c r="A163" i="47" s="1"/>
  <c r="A164" i="47" s="1"/>
  <c r="A165" i="47" s="1"/>
  <c r="A166" i="47" s="1"/>
  <c r="A167" i="47" s="1"/>
  <c r="A105" i="21"/>
  <c r="A168" i="47" l="1"/>
  <c r="A169" i="47" s="1"/>
  <c r="A170" i="47" s="1"/>
  <c r="A171" i="47" s="1"/>
  <c r="A264" i="21"/>
  <c r="A172" i="47" l="1"/>
  <c r="A173" i="47" s="1"/>
  <c r="A174" i="47" s="1"/>
  <c r="A106" i="21"/>
  <c r="A175" i="47" l="1"/>
  <c r="A176" i="47" s="1"/>
  <c r="A265" i="21"/>
  <c r="A177" i="47" l="1"/>
  <c r="A178" i="47" s="1"/>
  <c r="A179" i="47" s="1"/>
  <c r="A180" i="47" s="1"/>
  <c r="A181" i="47" s="1"/>
  <c r="A182" i="47" s="1"/>
  <c r="A107" i="21"/>
  <c r="A183" i="47" l="1"/>
  <c r="A184" i="47" s="1"/>
  <c r="A185" i="47" s="1"/>
  <c r="A186" i="47" s="1"/>
  <c r="A187" i="47" s="1"/>
  <c r="A188" i="47" s="1"/>
  <c r="A189" i="47" s="1"/>
  <c r="A190" i="47" s="1"/>
  <c r="A191" i="47" s="1"/>
  <c r="A266" i="21"/>
  <c r="A192" i="47" l="1"/>
  <c r="A193" i="47" s="1"/>
  <c r="A194" i="47" s="1"/>
  <c r="A195" i="47" s="1"/>
  <c r="A108" i="21"/>
  <c r="A196" i="47" l="1"/>
  <c r="A197" i="47" s="1"/>
  <c r="A198" i="47" s="1"/>
  <c r="A267" i="21"/>
  <c r="A199" i="47" l="1"/>
  <c r="A200" i="47" s="1"/>
  <c r="A201" i="47" s="1"/>
  <c r="A202" i="47" s="1"/>
  <c r="A203" i="47" s="1"/>
  <c r="A204" i="47" s="1"/>
  <c r="A205" i="47" s="1"/>
  <c r="A206" i="47" s="1"/>
  <c r="A207" i="47" s="1"/>
  <c r="A208" i="47" s="1"/>
  <c r="A209" i="47" s="1"/>
  <c r="A210" i="47" s="1"/>
  <c r="A211" i="47" s="1"/>
  <c r="A212" i="47" s="1"/>
  <c r="A213" i="47" s="1"/>
  <c r="A214" i="47" s="1"/>
  <c r="A215" i="47" s="1"/>
  <c r="A216" i="47" s="1"/>
  <c r="A217" i="47" s="1"/>
  <c r="A218" i="47" s="1"/>
  <c r="A219" i="47" s="1"/>
  <c r="A220" i="47" s="1"/>
  <c r="A221" i="47" s="1"/>
  <c r="A222" i="47" s="1"/>
  <c r="A223" i="47" s="1"/>
  <c r="A224" i="47" s="1"/>
  <c r="A225" i="47" s="1"/>
  <c r="A226" i="47" s="1"/>
  <c r="A227" i="47" s="1"/>
  <c r="A228" i="47" s="1"/>
  <c r="A229" i="47" s="1"/>
  <c r="A230" i="47" s="1"/>
  <c r="A231" i="47" s="1"/>
  <c r="A232" i="47" s="1"/>
  <c r="A233" i="47" s="1"/>
  <c r="A234" i="47" s="1"/>
  <c r="A235" i="47" s="1"/>
  <c r="A236" i="47" s="1"/>
  <c r="A237" i="47" s="1"/>
  <c r="A238" i="47" s="1"/>
  <c r="A239" i="47" s="1"/>
  <c r="A240" i="47" s="1"/>
  <c r="A241" i="47" s="1"/>
  <c r="A242" i="47" s="1"/>
  <c r="A243" i="47" s="1"/>
  <c r="A244" i="47" s="1"/>
  <c r="A245" i="47" s="1"/>
  <c r="A246" i="47" s="1"/>
  <c r="A247" i="47" s="1"/>
  <c r="A248" i="47" s="1"/>
  <c r="A249" i="47" s="1"/>
  <c r="A250" i="47" s="1"/>
  <c r="A251" i="47" s="1"/>
  <c r="A252" i="47" s="1"/>
  <c r="A109" i="21"/>
  <c r="A268" i="21" l="1"/>
  <c r="A110" i="21" l="1"/>
  <c r="A269" i="21" l="1"/>
  <c r="A111" i="21" l="1"/>
  <c r="A270" i="21" l="1"/>
  <c r="A112" i="21" l="1"/>
  <c r="A271" i="21" l="1"/>
  <c r="A113" i="21" l="1"/>
  <c r="A272" i="21" l="1"/>
  <c r="A114" i="21" l="1"/>
  <c r="A273" i="21" l="1"/>
  <c r="A115" i="21" l="1"/>
  <c r="A274" i="21" l="1"/>
  <c r="A116" i="21" l="1"/>
  <c r="A275" i="21" l="1"/>
  <c r="A117" i="21" l="1"/>
  <c r="A276" i="21" l="1"/>
  <c r="A118" i="21" l="1"/>
  <c r="A277" i="21" l="1"/>
  <c r="A119" i="21" l="1"/>
  <c r="A278" i="21" l="1"/>
  <c r="A120" i="21" l="1"/>
  <c r="A279" i="21" l="1"/>
  <c r="A121" i="21" l="1"/>
  <c r="A280" i="21" l="1"/>
  <c r="A122" i="21" l="1"/>
  <c r="A281" i="21" l="1"/>
  <c r="A123" i="21" l="1"/>
  <c r="A282" i="21" l="1"/>
  <c r="A124" i="21" l="1"/>
  <c r="A283" i="21" l="1"/>
  <c r="A125" i="21" l="1"/>
  <c r="A284" i="21" l="1"/>
  <c r="A126" i="21" l="1"/>
  <c r="A285" i="21" l="1"/>
  <c r="A127" i="21" l="1"/>
  <c r="A286" i="21" l="1"/>
  <c r="A287" i="21" l="1"/>
  <c r="A288" i="21" l="1"/>
  <c r="A289" i="21" l="1"/>
  <c r="A290" i="21" l="1"/>
  <c r="A291" i="21" l="1"/>
  <c r="A292" i="21" l="1"/>
  <c r="A293" i="21" l="1"/>
  <c r="A294" i="21" l="1"/>
  <c r="A295" i="21" l="1"/>
  <c r="A296" i="21" l="1"/>
  <c r="A297" i="21" l="1"/>
  <c r="A298" i="21" l="1"/>
  <c r="A299" i="21" l="1"/>
  <c r="A300" i="21" l="1"/>
  <c r="A301" i="21" l="1"/>
  <c r="A302" i="21" l="1"/>
  <c r="A303" i="21" l="1"/>
  <c r="A304" i="21" l="1"/>
  <c r="A305" i="21" l="1"/>
  <c r="A306" i="21" l="1"/>
  <c r="A307" i="21" l="1"/>
  <c r="A308" i="21" l="1"/>
  <c r="A309" i="21" l="1"/>
  <c r="A310" i="21" l="1"/>
  <c r="A311" i="21" l="1"/>
  <c r="A312" i="21" l="1"/>
  <c r="A313" i="21" l="1"/>
  <c r="A314" i="21" l="1"/>
  <c r="A315" i="21" l="1"/>
  <c r="A316" i="21" l="1"/>
  <c r="A317" i="21" l="1"/>
  <c r="A318" i="21" l="1"/>
  <c r="A319" i="21" l="1"/>
  <c r="A320" i="21" l="1"/>
  <c r="A321" i="21" l="1"/>
  <c r="A322" i="21" l="1"/>
  <c r="A323" i="21" l="1"/>
  <c r="A324" i="21" l="1"/>
  <c r="A325" i="21" l="1"/>
  <c r="A326" i="21" l="1"/>
  <c r="A327" i="21" l="1"/>
  <c r="A328" i="21" l="1"/>
  <c r="A329" i="21" l="1"/>
  <c r="A330" i="21" l="1"/>
  <c r="A331" i="21" l="1"/>
  <c r="A332" i="21" l="1"/>
  <c r="A333" i="21" l="1"/>
  <c r="A334" i="21" l="1"/>
  <c r="A335" i="21" l="1"/>
  <c r="A336" i="21" l="1"/>
  <c r="A337" i="21" l="1"/>
  <c r="A338" i="21" l="1"/>
  <c r="A339" i="21" l="1"/>
  <c r="A340" i="21" l="1"/>
  <c r="A341" i="21" l="1"/>
  <c r="A342" i="21" l="1"/>
  <c r="A343" i="21" l="1"/>
  <c r="A344" i="21" l="1"/>
  <c r="A345" i="21" l="1"/>
  <c r="A346" i="21" l="1"/>
  <c r="A347" i="21" l="1"/>
  <c r="A348" i="21" l="1"/>
  <c r="A349" i="21" l="1"/>
  <c r="A350" i="21" l="1"/>
  <c r="A351" i="21" l="1"/>
  <c r="A352" i="21" l="1"/>
  <c r="A353" i="21" l="1"/>
  <c r="A354" i="21" l="1"/>
  <c r="A355" i="21" l="1"/>
  <c r="A128" i="2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3" i="36" l="1"/>
  <c r="A4" i="36" s="1"/>
  <c r="A5" i="36" s="1"/>
  <c r="A6" i="36" s="1"/>
  <c r="A7" i="36" s="1"/>
  <c r="A8" i="36" s="1"/>
  <c r="A9" i="36" s="1"/>
  <c r="A10" i="36" l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4" i="43"/>
  <c r="A5" i="43" s="1"/>
  <c r="A6" i="43" s="1"/>
  <c r="A4" i="42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15" i="42" l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A7" i="43"/>
  <c r="A8" i="43" s="1"/>
  <c r="A9" i="43" s="1"/>
  <c r="A10" i="43" s="1"/>
  <c r="A11" i="43" s="1"/>
  <c r="A12" i="43" s="1"/>
  <c r="A13" i="43" s="1"/>
  <c r="A3" i="46"/>
  <c r="A4" i="46" s="1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1" i="42" l="1"/>
  <c r="A32" i="42" s="1"/>
  <c r="A33" i="42" s="1"/>
  <c r="A34" i="42" s="1"/>
  <c r="A35" i="42" s="1"/>
  <c r="A36" i="42" s="1"/>
  <c r="A37" i="42" s="1"/>
  <c r="A38" i="42" s="1"/>
  <c r="A39" i="42" s="1"/>
  <c r="A40" i="42" s="1"/>
  <c r="A41" i="42" s="1"/>
  <c r="A42" i="42" s="1"/>
  <c r="A14" i="43"/>
  <c r="A15" i="43" s="1"/>
  <c r="A16" i="43" s="1"/>
  <c r="A17" i="43" s="1"/>
  <c r="A18" i="43" s="1"/>
  <c r="A19" i="43" s="1"/>
  <c r="A34" i="46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20" i="43" l="1"/>
  <c r="A21" i="43" s="1"/>
  <c r="A22" i="43" s="1"/>
  <c r="A23" i="43" s="1"/>
  <c r="A31" i="43" s="1"/>
  <c r="A32" i="43" s="1"/>
  <c r="A120" i="49"/>
  <c r="A190" i="46" l="1"/>
  <c r="A191" i="46" l="1"/>
  <c r="O2" i="4"/>
  <c r="P2" i="4" s="1"/>
  <c r="A192" i="46" l="1"/>
  <c r="A193" i="46" s="1"/>
  <c r="A194" i="46" s="1"/>
  <c r="A195" i="46" s="1"/>
  <c r="A196" i="46" s="1"/>
  <c r="A197" i="46" l="1"/>
  <c r="A198" i="46" s="1"/>
  <c r="A199" i="46" s="1"/>
  <c r="A200" i="46" s="1"/>
  <c r="A201" i="46" s="1"/>
  <c r="A202" i="46" s="1"/>
  <c r="A203" i="46" s="1"/>
  <c r="A204" i="46" s="1"/>
  <c r="A205" i="46" s="1"/>
  <c r="A206" i="46" s="1"/>
  <c r="A207" i="46" s="1"/>
  <c r="A208" i="46" s="1"/>
  <c r="A209" i="46" l="1"/>
  <c r="A210" i="46" s="1"/>
  <c r="A211" i="46" s="1"/>
  <c r="A212" i="46" s="1"/>
  <c r="A213" i="46" s="1"/>
  <c r="A214" i="46" s="1"/>
  <c r="A215" i="46" s="1"/>
  <c r="A216" i="46" s="1"/>
  <c r="A217" i="46" s="1"/>
  <c r="A218" i="46" s="1"/>
  <c r="A219" i="46" s="1"/>
  <c r="A220" i="46" s="1"/>
  <c r="A221" i="46" s="1"/>
  <c r="A222" i="46" s="1"/>
  <c r="A223" i="46" s="1"/>
  <c r="A224" i="46" s="1"/>
  <c r="A225" i="46" s="1"/>
  <c r="A226" i="46" s="1"/>
  <c r="A227" i="46" s="1"/>
  <c r="A228" i="46" s="1"/>
  <c r="A229" i="46" s="1"/>
  <c r="A230" i="46" s="1"/>
  <c r="A231" i="46" s="1"/>
  <c r="A232" i="46" s="1"/>
  <c r="A233" i="46" s="1"/>
  <c r="A234" i="46" s="1"/>
  <c r="A235" i="46" s="1"/>
  <c r="P2" i="45"/>
  <c r="A3" i="38"/>
  <c r="A4" i="38" l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296" i="38" s="1"/>
  <c r="A297" i="38" s="1"/>
  <c r="A298" i="38" s="1"/>
  <c r="A299" i="38" s="1"/>
  <c r="A300" i="38" s="1"/>
  <c r="A301" i="38" s="1"/>
  <c r="A302" i="38" s="1"/>
  <c r="A303" i="38" s="1"/>
  <c r="A304" i="38" s="1"/>
  <c r="A305" i="38" s="1"/>
  <c r="A306" i="38" s="1"/>
  <c r="A307" i="38" s="1"/>
  <c r="A308" i="38" s="1"/>
  <c r="A309" i="38" s="1"/>
  <c r="A310" i="38" s="1"/>
  <c r="A311" i="38" s="1"/>
  <c r="A312" i="38" s="1"/>
  <c r="A313" i="38" s="1"/>
  <c r="A29" i="25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s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  <c r="A112" i="25" s="1"/>
  <c r="A113" i="25" s="1"/>
</calcChain>
</file>

<file path=xl/comments1.xml><?xml version="1.0" encoding="utf-8"?>
<comments xmlns="http://schemas.openxmlformats.org/spreadsheetml/2006/main">
  <authors>
    <author>User</author>
  </authors>
  <commentList>
    <comment ref="E1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30 60.00
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S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2/27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1 BLISTER 3.00
OFERTA 2X5
CAJA Q21</t>
        </r>
      </text>
    </comment>
    <comment ref="S8" authorId="0" shapeId="0">
      <text>
        <r>
          <rPr>
            <b/>
            <sz val="9"/>
            <color indexed="81"/>
            <rFont val="Tahoma"/>
            <charset val="1"/>
          </rPr>
          <t>10 CAJAS VENCEN EN BOEGA 5/26</t>
        </r>
      </text>
    </comment>
    <comment ref="S9" authorId="0" shapeId="0">
      <text>
        <r>
          <rPr>
            <b/>
            <sz val="9"/>
            <color indexed="81"/>
            <rFont val="Tahoma"/>
            <charset val="1"/>
          </rPr>
          <t>2 FCOS EN BODEGA VENCEN 2/27</t>
        </r>
      </text>
    </comment>
    <comment ref="S10" authorId="0" shapeId="0">
      <text>
        <r>
          <rPr>
            <b/>
            <sz val="9"/>
            <color indexed="81"/>
            <rFont val="Tahoma"/>
            <charset val="1"/>
          </rPr>
          <t xml:space="preserve">2 FCOS VENCEN 8/26 EN BODEGA 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32</t>
        </r>
      </text>
    </comment>
    <comment ref="S20" authorId="0" shapeId="0">
      <text>
        <r>
          <rPr>
            <b/>
            <sz val="9"/>
            <color indexed="81"/>
            <rFont val="Tahoma"/>
            <charset val="1"/>
          </rPr>
          <t>2 FCOS EN BODEGA VENCEN 3/27</t>
        </r>
      </text>
    </comment>
    <comment ref="S21" authorId="0" shapeId="0">
      <text>
        <r>
          <rPr>
            <b/>
            <sz val="9"/>
            <color indexed="81"/>
            <rFont val="Tahoma"/>
            <charset val="1"/>
          </rPr>
          <t>3 FCOS VENCEN 4/27</t>
        </r>
      </text>
    </comment>
    <comment ref="S34" authorId="0" shapeId="0">
      <text>
        <r>
          <rPr>
            <b/>
            <sz val="9"/>
            <color indexed="81"/>
            <rFont val="Tahoma"/>
            <family val="2"/>
          </rPr>
          <t xml:space="preserve">
2 CAJAS EN BODEGA VENCEN 8/28</t>
        </r>
      </text>
    </comment>
    <comment ref="S36" authorId="0" shapeId="0">
      <text>
        <r>
          <rPr>
            <b/>
            <sz val="9"/>
            <color indexed="81"/>
            <rFont val="Tahoma"/>
            <charset val="1"/>
          </rPr>
          <t>2 CAJAS EN BODEGA VENCEN 10/27</t>
        </r>
      </text>
    </comment>
    <comment ref="S38" authorId="0" shapeId="0">
      <text>
        <r>
          <rPr>
            <b/>
            <sz val="9"/>
            <color indexed="81"/>
            <rFont val="Tahoma"/>
            <charset val="1"/>
          </rPr>
          <t>3 EN BODEGA VENCEN 6/26</t>
        </r>
      </text>
    </comment>
    <comment ref="Q50" authorId="0" shapeId="0">
      <text>
        <r>
          <rPr>
            <b/>
            <sz val="9"/>
            <color indexed="81"/>
            <rFont val="Tahoma"/>
            <family val="2"/>
          </rPr>
          <t>BLISTER 8.00
TAB 1.00</t>
        </r>
      </text>
    </comment>
    <comment ref="S50" authorId="0" shapeId="0">
      <text>
        <r>
          <rPr>
            <b/>
            <sz val="9"/>
            <color indexed="81"/>
            <rFont val="Tahoma"/>
            <charset val="1"/>
          </rPr>
          <t>1 CAJA EN BOEGA VENCE 3/27</t>
        </r>
      </text>
    </comment>
    <comment ref="Q5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Q. 40 Y TAB 4.50</t>
        </r>
      </text>
    </comment>
    <comment ref="Q60" authorId="0" shapeId="0">
      <text>
        <r>
          <rPr>
            <b/>
            <sz val="9"/>
            <color indexed="81"/>
            <rFont val="Tahoma"/>
            <family val="2"/>
          </rPr>
          <t>BLISTER X 10 45.00
TAB 5</t>
        </r>
      </text>
    </comment>
    <comment ref="S62" authorId="0" shapeId="0">
      <text>
        <r>
          <rPr>
            <b/>
            <sz val="9"/>
            <color indexed="81"/>
            <rFont val="Tahoma"/>
            <charset val="1"/>
          </rPr>
          <t>3 CAJAS EN BODEGA VENCEN 11/27</t>
        </r>
      </text>
    </comment>
    <comment ref="Q6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83
TAB 9</t>
        </r>
      </text>
    </comment>
    <comment ref="S7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74" authorId="0" shapeId="0">
      <text>
        <r>
          <rPr>
            <b/>
            <sz val="9"/>
            <color indexed="81"/>
            <rFont val="Tahoma"/>
            <family val="2"/>
          </rPr>
          <t>CAJA 45.00
BLISTER 17.00</t>
        </r>
      </text>
    </comment>
    <comment ref="Q75" authorId="0" shapeId="0">
      <text>
        <r>
          <rPr>
            <b/>
            <sz val="9"/>
            <color indexed="81"/>
            <rFont val="Tahoma"/>
            <family val="2"/>
          </rPr>
          <t>BLISTER X 10 A Q 30
TAB 3.50</t>
        </r>
      </text>
    </comment>
    <comment ref="S76" authorId="0" shapeId="0">
      <text>
        <r>
          <rPr>
            <b/>
            <sz val="9"/>
            <color indexed="81"/>
            <rFont val="Tahoma"/>
            <charset val="1"/>
          </rPr>
          <t>1 CAJA EN BODEGA VENCE 11/27</t>
        </r>
      </text>
    </comment>
    <comment ref="Q78" authorId="0" shapeId="0">
      <text>
        <r>
          <rPr>
            <b/>
            <sz val="9"/>
            <color indexed="81"/>
            <rFont val="Tahoma"/>
            <family val="2"/>
          </rPr>
          <t>CAJA 55</t>
        </r>
      </text>
    </comment>
    <comment ref="Q79" authorId="0" shapeId="0">
      <text>
        <r>
          <rPr>
            <b/>
            <sz val="9"/>
            <color indexed="81"/>
            <rFont val="Tahoma"/>
            <family val="2"/>
          </rPr>
          <t>BLISTER 20.00
TABLETA 2.50
CAJA 9598</t>
        </r>
      </text>
    </comment>
    <comment ref="S80" authorId="0" shapeId="0">
      <text>
        <r>
          <rPr>
            <b/>
            <sz val="9"/>
            <color indexed="81"/>
            <rFont val="Tahoma"/>
            <family val="2"/>
          </rPr>
          <t>1 VENCE 12/26 EN BODEGA</t>
        </r>
      </text>
    </comment>
    <comment ref="S84" authorId="0" shapeId="0">
      <text>
        <r>
          <rPr>
            <b/>
            <sz val="9"/>
            <color indexed="81"/>
            <rFont val="Tahoma"/>
            <charset val="1"/>
          </rPr>
          <t xml:space="preserve">10 FCOS VENCEN 8/28 EN BODEGA </t>
        </r>
      </text>
    </comment>
    <comment ref="Q89" authorId="0" shapeId="0">
      <text>
        <r>
          <rPr>
            <b/>
            <sz val="9"/>
            <color indexed="81"/>
            <rFont val="Tahoma"/>
            <family val="2"/>
          </rPr>
          <t>BLISTER 10.00
TAB 1.50</t>
        </r>
      </text>
    </comment>
    <comment ref="S89" authorId="0" shapeId="0">
      <text>
        <r>
          <rPr>
            <b/>
            <sz val="9"/>
            <color indexed="81"/>
            <rFont val="Tahoma"/>
            <charset val="1"/>
          </rPr>
          <t>1 CAJA EN BOEGA VENCE 5/27</t>
        </r>
      </text>
    </comment>
    <comment ref="Q90" authorId="0" shapeId="0">
      <text>
        <r>
          <rPr>
            <b/>
            <sz val="9"/>
            <color indexed="81"/>
            <rFont val="Tahoma"/>
            <family val="2"/>
          </rPr>
          <t>BLISTER 14.00
TABLETA 1.50</t>
        </r>
      </text>
    </comment>
    <comment ref="S91" authorId="0" shapeId="0">
      <text>
        <r>
          <rPr>
            <b/>
            <sz val="9"/>
            <color indexed="81"/>
            <rFont val="Tahoma"/>
            <family val="2"/>
          </rPr>
          <t>3 CAJAS EN BODEGA VENCE 4/27</t>
        </r>
      </text>
    </comment>
    <comment ref="S92" authorId="0" shapeId="0">
      <text>
        <r>
          <rPr>
            <b/>
            <sz val="9"/>
            <color indexed="81"/>
            <rFont val="Tahoma"/>
            <charset val="1"/>
          </rPr>
          <t>3 BLISTER VENCEN 1/27</t>
        </r>
      </text>
    </comment>
    <comment ref="Q93" authorId="0" shapeId="0">
      <text>
        <r>
          <rPr>
            <b/>
            <sz val="9"/>
            <color indexed="81"/>
            <rFont val="Tahoma"/>
            <family val="2"/>
          </rPr>
          <t>BLISTER 42 
CAJA 119</t>
        </r>
      </text>
    </comment>
    <comment ref="Q94" authorId="0" shapeId="0">
      <text>
        <r>
          <rPr>
            <b/>
            <sz val="9"/>
            <color indexed="81"/>
            <rFont val="Tahoma"/>
            <family val="2"/>
          </rPr>
          <t>Us
BLIST 42.00
CAJA X 30 126.00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BLISTER X 10 20.00Q 
TAB 2.50</t>
        </r>
      </text>
    </comment>
    <comment ref="Q10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1.50
BLISTESR 14</t>
        </r>
      </text>
    </comment>
    <comment ref="S105" authorId="0" shapeId="0">
      <text>
        <r>
          <rPr>
            <b/>
            <sz val="9"/>
            <color indexed="81"/>
            <rFont val="Tahoma"/>
            <charset val="1"/>
          </rPr>
          <t>1 kit EN BODEGA VENCE 7/27</t>
        </r>
      </text>
    </comment>
    <comment ref="Q10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A 1.50
BLISTER 10.00</t>
        </r>
      </text>
    </comment>
    <comment ref="Q1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65
BLISTER 13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CAJA 105.00</t>
        </r>
      </text>
    </comment>
    <comment ref="S121" authorId="0" shapeId="0">
      <text>
        <r>
          <rPr>
            <b/>
            <sz val="9"/>
            <color indexed="81"/>
            <rFont val="Tahoma"/>
            <charset val="1"/>
          </rPr>
          <t>1 CAJA VENCE 8/27</t>
        </r>
      </text>
    </comment>
    <comment ref="Q126" authorId="0" shapeId="0">
      <text>
        <r>
          <rPr>
            <b/>
            <sz val="9"/>
            <color indexed="81"/>
            <rFont val="Tahoma"/>
            <family val="2"/>
          </rPr>
          <t>TAB 2.00 
BLISTER 15.00</t>
        </r>
      </text>
    </comment>
    <comment ref="S126" authorId="0" shapeId="0">
      <text>
        <r>
          <rPr>
            <b/>
            <sz val="9"/>
            <color indexed="81"/>
            <rFont val="Tahoma"/>
            <charset val="1"/>
          </rPr>
          <t>1 CAJA VENCE 3/27</t>
        </r>
      </text>
    </comment>
    <comment ref="S130" authorId="0" shapeId="0">
      <text>
        <r>
          <rPr>
            <b/>
            <sz val="9"/>
            <color indexed="81"/>
            <rFont val="Tahoma"/>
            <charset val="1"/>
          </rPr>
          <t>3 FCOS EN BOEGA VENCEN 7/27</t>
        </r>
      </text>
    </comment>
    <comment ref="S131" authorId="0" shapeId="0">
      <text>
        <r>
          <rPr>
            <b/>
            <sz val="9"/>
            <color indexed="81"/>
            <rFont val="Tahoma"/>
            <charset val="1"/>
          </rPr>
          <t>6 CAJAS EN BODEGA VENCEN 8/26</t>
        </r>
      </text>
    </comment>
    <comment ref="Q13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4.50 
BLISTER 42</t>
        </r>
      </text>
    </comment>
    <comment ref="Q1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30 60.00
</t>
        </r>
      </text>
    </comment>
    <comment ref="S140" authorId="0" shapeId="0">
      <text>
        <r>
          <rPr>
            <b/>
            <sz val="9"/>
            <color indexed="81"/>
            <rFont val="Tahoma"/>
            <family val="2"/>
          </rPr>
          <t>UVA 11/27
FRESA 2/28 
CHOCOLATE 11/27</t>
        </r>
      </text>
    </comment>
    <comment ref="Q144" authorId="0" shapeId="0">
      <text>
        <r>
          <rPr>
            <b/>
            <sz val="9"/>
            <color indexed="81"/>
            <rFont val="Tahoma"/>
            <family val="2"/>
          </rPr>
          <t>BLISTER 15.00
TABLETA 2.00
CAJA 42</t>
        </r>
      </text>
    </comment>
    <comment ref="S144" authorId="0" shapeId="0">
      <text>
        <r>
          <rPr>
            <b/>
            <sz val="9"/>
            <color indexed="81"/>
            <rFont val="Tahoma"/>
            <charset val="1"/>
          </rPr>
          <t>3 CAJAS EN BODEGA VENCEN 10/27</t>
        </r>
      </text>
    </comment>
    <comment ref="Q151" authorId="0" shapeId="0">
      <text>
        <r>
          <rPr>
            <b/>
            <sz val="9"/>
            <color indexed="81"/>
            <rFont val="Tahoma"/>
            <family val="2"/>
          </rPr>
          <t>BLISTER 10.00
1.25 C/U
caja 27.00</t>
        </r>
      </text>
    </comment>
    <comment ref="S151" authorId="0" shapeId="0">
      <text>
        <r>
          <rPr>
            <b/>
            <sz val="9"/>
            <color indexed="81"/>
            <rFont val="Tahoma"/>
            <charset val="1"/>
          </rPr>
          <t>4 CAJAS EN BODEGA VENCEN 10/26</t>
        </r>
      </text>
    </comment>
    <comment ref="Q1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TABLAETA A 2.50
BLISTER 32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132</t>
        </r>
      </text>
    </comment>
    <comment ref="S158" authorId="0" shapeId="0">
      <text>
        <r>
          <rPr>
            <b/>
            <sz val="9"/>
            <color indexed="81"/>
            <rFont val="Tahoma"/>
            <charset val="1"/>
          </rPr>
          <t>3 CAJAS EN BODEGA VENCEN 6/27</t>
        </r>
      </text>
    </comment>
    <comment ref="S162" authorId="0" shapeId="0">
      <text>
        <r>
          <rPr>
            <b/>
            <sz val="9"/>
            <color indexed="81"/>
            <rFont val="Tahoma"/>
            <charset val="1"/>
          </rPr>
          <t>5 VENCEN EN BOEGA 11/27</t>
        </r>
      </text>
    </comment>
    <comment ref="Q172" authorId="0" shapeId="0">
      <text>
        <r>
          <rPr>
            <b/>
            <sz val="9"/>
            <color indexed="81"/>
            <rFont val="Tahoma"/>
            <family val="2"/>
          </rPr>
          <t>TABLETA 6.00
BLISTER 57.00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15.00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BLISTER X 4 Q 9.00
TAB Q2.50</t>
        </r>
      </text>
    </comment>
    <comment ref="E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A Q.30
TABLETA Q. 3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3.00
BLISTER 28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32
TABLETA 3.50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BLISTER X 4 Q4.50
TAB 1.50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BLISTER X 10 44.00
TAB 4.50</t>
        </r>
      </text>
    </comment>
    <comment ref="E74" authorId="0" shapeId="0">
      <text>
        <r>
          <rPr>
            <b/>
            <sz val="9"/>
            <color indexed="81"/>
            <rFont val="Tahoma"/>
            <family val="2"/>
          </rPr>
          <t>CAJA 56 
BLISTER 10</t>
        </r>
      </text>
    </comment>
    <comment ref="E99" authorId="0" shapeId="0">
      <text>
        <r>
          <rPr>
            <b/>
            <sz val="9"/>
            <color indexed="81"/>
            <rFont val="Tahoma"/>
            <family val="2"/>
          </rPr>
          <t>fraco 78.00
BOLSA 15</t>
        </r>
      </text>
    </comment>
    <comment ref="E102" authorId="0" shapeId="0">
      <text>
        <r>
          <rPr>
            <b/>
            <sz val="9"/>
            <color indexed="81"/>
            <rFont val="Tahoma"/>
            <family val="2"/>
          </rPr>
          <t>BLISTER 47 
TAB 5.00</t>
        </r>
      </text>
    </comment>
    <comment ref="E10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BLISTSER 9.00
TABÑETA 1.00</t>
        </r>
      </text>
    </comment>
    <comment ref="E10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TAB 1.50
BLISTER X 4 5.00</t>
        </r>
      </text>
    </comment>
    <comment ref="E1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TAB 3.50
1 TAB 2</t>
        </r>
      </text>
    </comment>
    <comment ref="E116" authorId="0" shapeId="0">
      <text>
        <r>
          <rPr>
            <b/>
            <sz val="9"/>
            <color indexed="81"/>
            <rFont val="Tahoma"/>
            <family val="2"/>
          </rPr>
          <t>CAJA X 90 215</t>
        </r>
      </text>
    </comment>
    <comment ref="E1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3.5
blister x 10 Q 33</t>
        </r>
      </text>
    </comment>
    <comment ref="E14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PRECIO ORIGINAL 20.00
</t>
        </r>
      </text>
    </comment>
    <comment ref="E168" authorId="0" shapeId="0">
      <text>
        <r>
          <rPr>
            <b/>
            <sz val="9"/>
            <color indexed="81"/>
            <rFont val="Tahoma"/>
            <family val="2"/>
          </rPr>
          <t>CAJA 23.00</t>
        </r>
      </text>
    </comment>
    <comment ref="E19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FRASCO 120.00</t>
        </r>
      </text>
    </comment>
    <comment ref="E196" authorId="0" shapeId="0">
      <text>
        <r>
          <rPr>
            <b/>
            <sz val="9"/>
            <color indexed="81"/>
            <rFont val="Tahoma"/>
            <family val="2"/>
          </rPr>
          <t xml:space="preserve">Use
BLISTER 9.00
CAPSULA 1.50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Q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15.00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BLISTER X 4 Q 9.00
TAB Q2.50</t>
        </r>
      </text>
    </comment>
    <comment ref="Q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A Q.30
TABLETA Q. 3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</rPr>
          <t xml:space="preserve">15 CAJAS VENCEN 1/27
</t>
        </r>
      </text>
    </comment>
    <comment ref="Q2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3.00
BLISTER 28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32
TABLETA 3.50</t>
        </r>
      </text>
    </comment>
    <comment ref="T3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tabletas</t>
        </r>
      </text>
    </comment>
    <comment ref="Q35" authorId="0" shapeId="0">
      <text>
        <r>
          <rPr>
            <b/>
            <sz val="9"/>
            <color indexed="81"/>
            <rFont val="Tahoma"/>
            <family val="2"/>
          </rPr>
          <t>BLISTER X 4 Q4.50
TAB 1.50</t>
        </r>
      </text>
    </comment>
    <comment ref="Q47" authorId="0" shapeId="0">
      <text>
        <r>
          <rPr>
            <b/>
            <sz val="9"/>
            <color indexed="81"/>
            <rFont val="Tahoma"/>
            <family val="2"/>
          </rPr>
          <t>BLISTER X 10 44.00
TAB 4.50</t>
        </r>
      </text>
    </comment>
    <comment ref="S47" authorId="0" shapeId="0">
      <text>
        <r>
          <rPr>
            <b/>
            <sz val="9"/>
            <color indexed="81"/>
            <rFont val="Tahoma"/>
            <family val="2"/>
          </rPr>
          <t>5 blister en bodega vencen 4/26</t>
        </r>
      </text>
    </comment>
    <comment ref="T47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12/27</t>
        </r>
      </text>
    </comment>
    <comment ref="S53" authorId="0" shapeId="0">
      <text>
        <r>
          <rPr>
            <b/>
            <sz val="9"/>
            <color indexed="81"/>
            <rFont val="Tahoma"/>
            <family val="2"/>
          </rPr>
          <t xml:space="preserve">1 CAJA VENCE 8/26 EN BODEGA </t>
        </r>
      </text>
    </comment>
    <comment ref="T5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
</t>
        </r>
      </text>
    </comment>
    <comment ref="S58" authorId="0" shapeId="0">
      <text>
        <r>
          <rPr>
            <b/>
            <sz val="9"/>
            <color indexed="81"/>
            <rFont val="Tahoma"/>
            <family val="2"/>
          </rPr>
          <t>1 CAJA VENCE 9/26</t>
        </r>
      </text>
    </comment>
    <comment ref="Q62" authorId="0" shapeId="0">
      <text>
        <r>
          <rPr>
            <b/>
            <sz val="9"/>
            <color indexed="81"/>
            <rFont val="Tahoma"/>
            <charset val="1"/>
          </rPr>
          <t xml:space="preserve">TABLETA 15.00 
BLISTER 120.00
</t>
        </r>
      </text>
    </comment>
    <comment ref="S71" authorId="0" shapeId="0">
      <text>
        <r>
          <rPr>
            <b/>
            <sz val="9"/>
            <color indexed="81"/>
            <rFont val="Tahoma"/>
            <charset val="1"/>
          </rPr>
          <t>6 FCOS VENCEN 10/26 EN BODEGA</t>
        </r>
      </text>
    </comment>
    <comment ref="Q74" authorId="0" shapeId="0">
      <text>
        <r>
          <rPr>
            <b/>
            <sz val="9"/>
            <color indexed="81"/>
            <rFont val="Tahoma"/>
            <family val="2"/>
          </rPr>
          <t>CAJA 56 
BLISTER 10</t>
        </r>
      </text>
    </comment>
    <comment ref="S76" authorId="0" shapeId="0">
      <text>
        <r>
          <rPr>
            <b/>
            <sz val="9"/>
            <color indexed="81"/>
            <rFont val="Tahoma"/>
            <family val="2"/>
          </rPr>
          <t>3 VENCEN 8/27</t>
        </r>
      </text>
    </comment>
    <comment ref="S79" authorId="0" shapeId="0">
      <text>
        <r>
          <rPr>
            <b/>
            <sz val="9"/>
            <color indexed="81"/>
            <rFont val="Tahoma"/>
            <family val="2"/>
          </rPr>
          <t>10 FCOS EN BODEGA VENCEN 10/30</t>
        </r>
      </text>
    </comment>
    <comment ref="S95" authorId="0" shapeId="0">
      <text>
        <r>
          <rPr>
            <b/>
            <sz val="9"/>
            <color indexed="81"/>
            <rFont val="Tahoma"/>
            <family val="2"/>
          </rPr>
          <t>1 CAJA EN BODEGA VENCE 8/26</t>
        </r>
      </text>
    </comment>
    <comment ref="Q99" authorId="0" shapeId="0">
      <text>
        <r>
          <rPr>
            <b/>
            <sz val="9"/>
            <color indexed="81"/>
            <rFont val="Tahoma"/>
            <family val="2"/>
          </rPr>
          <t>fraco 78.00
BOLSA 15</t>
        </r>
      </text>
    </comment>
    <comment ref="Q102" authorId="0" shapeId="0">
      <text>
        <r>
          <rPr>
            <b/>
            <sz val="9"/>
            <color indexed="81"/>
            <rFont val="Tahoma"/>
            <family val="2"/>
          </rPr>
          <t>BLISTER 47 
TAB 5.00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BLISTSER 9.00
TABÑETA 1.00</t>
        </r>
      </text>
    </comment>
    <comment ref="T10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</t>
        </r>
      </text>
    </comment>
    <comment ref="S105" authorId="0" shapeId="0">
      <text>
        <r>
          <rPr>
            <b/>
            <sz val="9"/>
            <color indexed="81"/>
            <rFont val="Tahoma"/>
            <family val="2"/>
          </rPr>
          <t>4 VENCEN EN BODEGA 8/26</t>
        </r>
      </text>
    </comment>
    <comment ref="Q10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TAB 1.50
BLISTER X 4 5.00</t>
        </r>
      </text>
    </comment>
    <comment ref="Q1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TAB 3.50
1 TAB 2</t>
        </r>
      </text>
    </comment>
    <comment ref="Q116" authorId="0" shapeId="0">
      <text>
        <r>
          <rPr>
            <b/>
            <sz val="9"/>
            <color indexed="81"/>
            <rFont val="Tahoma"/>
            <family val="2"/>
          </rPr>
          <t>CAJA X 90 215
BLISTER 27
TABLETA 3.00</t>
        </r>
      </text>
    </comment>
    <comment ref="S125" authorId="0" shapeId="0">
      <text>
        <r>
          <rPr>
            <b/>
            <sz val="9"/>
            <color indexed="81"/>
            <rFont val="Tahoma"/>
            <family val="2"/>
          </rPr>
          <t>1 CAJA EN BODEGA VENCE 12/28</t>
        </r>
      </text>
    </comment>
    <comment ref="Q1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3.5
blister x 10 Q 33</t>
        </r>
      </text>
    </comment>
    <comment ref="T148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Q14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PRECIO ORIGINAL 20.00
</t>
        </r>
      </text>
    </comment>
    <comment ref="Q168" authorId="0" shapeId="0">
      <text>
        <r>
          <rPr>
            <b/>
            <sz val="9"/>
            <color indexed="81"/>
            <rFont val="Tahoma"/>
            <family val="2"/>
          </rPr>
          <t>CAJA 23.00</t>
        </r>
      </text>
    </comment>
    <comment ref="Q19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FRASCO 120.00</t>
        </r>
      </text>
    </comment>
    <comment ref="S193" authorId="0" shapeId="0">
      <text>
        <r>
          <rPr>
            <b/>
            <sz val="9"/>
            <color indexed="81"/>
            <rFont val="Tahoma"/>
            <family val="2"/>
          </rPr>
          <t>1 CAJA VENCE EN BODEGA 3/28</t>
        </r>
      </text>
    </comment>
    <comment ref="Q196" authorId="0" shapeId="0">
      <text>
        <r>
          <rPr>
            <b/>
            <sz val="9"/>
            <color indexed="81"/>
            <rFont val="Tahoma"/>
            <family val="2"/>
          </rPr>
          <t xml:space="preserve">Use
BLISTER 9.00
CAPSULA 1.50
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S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3/28</t>
        </r>
      </text>
    </comment>
    <comment ref="S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10 EL 10/27</t>
        </r>
      </text>
    </comment>
    <comment ref="S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7/27</t>
        </r>
      </text>
    </comment>
    <comment ref="S1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10 EL 1/27
</t>
        </r>
      </text>
    </comment>
    <comment ref="S1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10 EL 10/26</t>
        </r>
      </text>
    </comment>
    <comment ref="Q1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45
BLISTER 25</t>
        </r>
      </text>
    </comment>
    <comment ref="S2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6 EL 11/26</t>
        </r>
      </text>
    </comment>
    <comment ref="Q3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15 57.00
TABLETA 4.00</t>
        </r>
      </text>
    </comment>
    <comment ref="S3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5/27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1 VENCE 8/26
1 VENCE 4/27</t>
        </r>
      </text>
    </comment>
    <comment ref="S4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4/27</t>
        </r>
      </text>
    </comment>
    <comment ref="S4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6/27</t>
        </r>
      </text>
    </comment>
    <comment ref="S4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7/27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VENCEN 5/26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11/30
</t>
        </r>
      </text>
    </comment>
    <comment ref="S7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17 EL 4/27</t>
        </r>
      </text>
    </comment>
    <comment ref="S9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EL 7/27</t>
        </r>
      </text>
    </comment>
    <comment ref="S10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9/28</t>
        </r>
      </text>
    </comment>
    <comment ref="Q1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30 84.00
BLISTER 30.00</t>
        </r>
      </text>
    </comment>
    <comment ref="Q11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115
BLLISTER 40.00</t>
        </r>
      </text>
    </comment>
    <comment ref="S11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8 EL 5/27</t>
        </r>
      </text>
    </comment>
    <comment ref="T117" authorId="0" shapeId="0">
      <text>
        <r>
          <rPr>
            <b/>
            <sz val="9"/>
            <color indexed="81"/>
            <rFont val="Tahoma"/>
            <charset val="1"/>
          </rPr>
          <t>BLISTER</t>
        </r>
      </text>
    </comment>
    <comment ref="Q131" authorId="0" shapeId="0">
      <text>
        <r>
          <rPr>
            <b/>
            <sz val="9"/>
            <color indexed="81"/>
            <rFont val="Tahoma"/>
            <family val="2"/>
          </rPr>
          <t>BLISTER 9.00
CAJA 25.00</t>
        </r>
      </text>
    </comment>
    <comment ref="S13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EL 10/28</t>
        </r>
      </text>
    </comment>
    <comment ref="S15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9/25</t>
        </r>
      </text>
    </comment>
    <comment ref="S17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1/27</t>
        </r>
      </text>
    </comment>
    <comment ref="S18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11/27</t>
        </r>
      </text>
    </comment>
    <comment ref="Q19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105
BLISTER 37.00</t>
        </r>
      </text>
    </comment>
    <comment ref="S19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3 VENCEN 4/28</t>
        </r>
      </text>
    </comment>
    <comment ref="S19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10/27</t>
        </r>
      </text>
    </comment>
  </commentList>
</comments>
</file>

<file path=xl/comments6.xml><?xml version="1.0" encoding="utf-8"?>
<comments xmlns="http://schemas.openxmlformats.org/spreadsheetml/2006/main">
  <authors>
    <author>User</author>
    <author>ESTUARDO</author>
    <author>Farmacia Deseret</author>
  </authors>
  <commentList>
    <comment ref="S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5/29</t>
        </r>
      </text>
    </comment>
    <comment ref="S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5/26</t>
        </r>
      </text>
    </comment>
    <comment ref="S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4 VENCEN 4/29</t>
        </r>
      </text>
    </comment>
    <comment ref="S2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5/29</t>
        </r>
      </text>
    </comment>
    <comment ref="S2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9/26</t>
        </r>
      </text>
    </comment>
    <comment ref="S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VENCEN 4/28</t>
        </r>
      </text>
    </comment>
    <comment ref="Q42" authorId="0" shapeId="0">
      <text>
        <r>
          <rPr>
            <b/>
            <sz val="9"/>
            <color indexed="81"/>
            <rFont val="Tahoma"/>
            <family val="2"/>
          </rPr>
          <t>BLISTER 9.00 
TAB1.00</t>
        </r>
      </text>
    </comment>
    <comment ref="S4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2 VENCEN 6/28</t>
        </r>
      </text>
    </comment>
    <comment ref="S55" authorId="0" shapeId="0">
      <text>
        <r>
          <rPr>
            <b/>
            <sz val="9"/>
            <color indexed="81"/>
            <rFont val="Tahoma"/>
            <family val="2"/>
          </rPr>
          <t>2 CAJA VENCE EN BODEGA 5/26</t>
        </r>
      </text>
    </comment>
    <comment ref="Q56" authorId="1" shapeId="0">
      <text>
        <r>
          <rPr>
            <sz val="9"/>
            <color indexed="81"/>
            <rFont val="Tahoma"/>
            <family val="2"/>
          </rPr>
          <t xml:space="preserve">  
    AMPOLLA 9.00
CAJA 85.00</t>
        </r>
      </text>
    </comment>
    <comment ref="Q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28
TAB 3</t>
        </r>
      </text>
    </comment>
    <comment ref="S59" authorId="0" shapeId="0">
      <text>
        <r>
          <rPr>
            <b/>
            <sz val="9"/>
            <color indexed="81"/>
            <rFont val="Tahoma"/>
            <charset val="1"/>
          </rPr>
          <t xml:space="preserve">16 SOBRES VENCEN 1/27
16 BOLSITAS VENCEN
2/27
</t>
        </r>
      </text>
    </comment>
    <comment ref="T5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BOLSITAS</t>
        </r>
      </text>
    </comment>
    <comment ref="Q6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2
BLISTER 18</t>
        </r>
      </text>
    </comment>
    <comment ref="Q6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30.00
tab  3.50</t>
        </r>
      </text>
    </comment>
    <comment ref="Q7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18.00
TABLETA 2.00</t>
        </r>
      </text>
    </comment>
    <comment ref="Q8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15.00
CAJA X 30 42.00</t>
        </r>
      </text>
    </comment>
    <comment ref="S8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6/26</t>
        </r>
      </text>
    </comment>
    <comment ref="Q9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3.75
BLISTER 17.50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1 Q3.00
2X5</t>
        </r>
      </text>
    </comment>
    <comment ref="S11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VENCEN 2 EL 11/27</t>
        </r>
      </text>
    </comment>
    <comment ref="Q1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5
BLISTER 44</t>
        </r>
      </text>
    </comment>
    <comment ref="S11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11/26</t>
        </r>
      </text>
    </comment>
    <comment ref="Q1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POR Q. 3.50
TABLETA 2 </t>
        </r>
      </text>
    </comment>
    <comment ref="Q1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A 7
BLISTER 60
</t>
        </r>
      </text>
    </comment>
    <comment ref="S12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5/29</t>
        </r>
      </text>
    </comment>
    <comment ref="S1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9/26</t>
        </r>
      </text>
    </comment>
    <comment ref="Q12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27
TABLETA 3</t>
        </r>
      </text>
    </comment>
    <comment ref="S12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5/27</t>
        </r>
      </text>
    </comment>
    <comment ref="T12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CAJAS</t>
        </r>
      </text>
    </comment>
    <comment ref="S132" authorId="0" shapeId="0">
      <text>
        <r>
          <rPr>
            <b/>
            <sz val="9"/>
            <color indexed="81"/>
            <rFont val="Tahoma"/>
            <charset val="1"/>
          </rPr>
          <t>1 EN BODEGA VENCE 11/26</t>
        </r>
      </text>
    </comment>
    <comment ref="Q13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75.00
UNIDAD 8.00</t>
        </r>
      </text>
    </comment>
    <comment ref="S148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6/26</t>
        </r>
      </text>
    </comment>
    <comment ref="S1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11/25
2 el 4/26</t>
        </r>
      </text>
    </comment>
    <comment ref="S15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5/26</t>
        </r>
      </text>
    </comment>
    <comment ref="S15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9/27</t>
        </r>
      </text>
    </comment>
    <comment ref="S155" authorId="0" shapeId="0">
      <text>
        <r>
          <rPr>
            <sz val="9"/>
            <color indexed="81"/>
            <rFont val="Tahoma"/>
            <family val="2"/>
          </rPr>
          <t xml:space="preserve">
1 VENCEN 4/26</t>
        </r>
      </text>
    </comment>
    <comment ref="Q156" authorId="2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TABLETA 4.50
BLISTER X 20 86.00</t>
        </r>
      </text>
    </comment>
    <comment ref="S15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 EL 7/28</t>
        </r>
      </text>
    </comment>
    <comment ref="S16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7/26</t>
        </r>
      </text>
    </comment>
    <comment ref="Q17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X 1.50
1 X  2</t>
        </r>
      </text>
    </comment>
  </commentList>
</comments>
</file>

<file path=xl/comments7.xml><?xml version="1.0" encoding="utf-8"?>
<comments xmlns="http://schemas.openxmlformats.org/spreadsheetml/2006/main">
  <authors>
    <author>User</author>
    <author>ESTUARDO</author>
    <author>Farmacia Deseret</author>
  </authors>
  <commentList>
    <comment ref="S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10/29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55.00
TABLETA 6.00
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6.00
BLISTER X 6 30.00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</rPr>
          <t>2 blister vencen 12/28</t>
        </r>
      </text>
    </comment>
    <comment ref="S18" authorId="0" shapeId="0">
      <text>
        <r>
          <rPr>
            <b/>
            <sz val="9"/>
            <color indexed="81"/>
            <rFont val="Tahoma"/>
            <charset val="1"/>
          </rPr>
          <t>3 fcos en bodga vencen 10/29</t>
        </r>
      </text>
    </comment>
    <comment ref="S19" authorId="0" shapeId="0">
      <text>
        <r>
          <rPr>
            <b/>
            <sz val="9"/>
            <color indexed="81"/>
            <rFont val="Tahoma"/>
            <charset val="1"/>
          </rPr>
          <t>2 en bodega vence 1/27</t>
        </r>
      </text>
    </comment>
    <comment ref="Q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15
TAB 2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115
PAR 3.00</t>
        </r>
      </text>
    </comment>
    <comment ref="Q3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PARA 3.00
CAJA 115.00</t>
        </r>
      </text>
    </comment>
    <comment ref="Q3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 3.00
CAJA 115.00</t>
        </r>
      </text>
    </comment>
    <comment ref="Q40" authorId="1" shapeId="0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BLISTER X 5   30.00
TABLETA A 6.50
</t>
        </r>
      </text>
    </comment>
    <comment ref="S40" authorId="0" shapeId="0">
      <text>
        <r>
          <rPr>
            <b/>
            <sz val="9"/>
            <color indexed="81"/>
            <rFont val="Tahoma"/>
            <family val="2"/>
          </rPr>
          <t>1 CAJA EN BODEGA VENCE 5/26</t>
        </r>
      </text>
    </comment>
    <comment ref="Q41" authorId="1" shapeId="0">
      <text>
        <r>
          <rPr>
            <sz val="9"/>
            <color indexed="81"/>
            <rFont val="Tahoma"/>
            <family val="2"/>
          </rPr>
          <t xml:space="preserve">
BLISTER X5  20,00
TABLETA A 4.50
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CAJA 45.00</t>
        </r>
      </text>
    </comment>
    <comment ref="Q45" authorId="0" shapeId="0">
      <text>
        <r>
          <rPr>
            <b/>
            <sz val="9"/>
            <color indexed="81"/>
            <rFont val="Tahoma"/>
            <family val="2"/>
          </rPr>
          <t>CAJA 95.00</t>
        </r>
      </text>
    </comment>
    <comment ref="S4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6/27</t>
        </r>
      </text>
    </comment>
    <comment ref="Q47" authorId="0" shapeId="0">
      <text>
        <r>
          <rPr>
            <b/>
            <sz val="9"/>
            <color indexed="81"/>
            <rFont val="Tahoma"/>
            <family val="2"/>
          </rPr>
          <t>caja 30.00</t>
        </r>
      </text>
    </comment>
    <comment ref="Q48" authorId="0" shapeId="0">
      <text>
        <r>
          <rPr>
            <b/>
            <sz val="9"/>
            <color indexed="81"/>
            <rFont val="Tahoma"/>
            <family val="2"/>
          </rPr>
          <t>CAJA 35</t>
        </r>
      </text>
    </comment>
    <comment ref="S50" authorId="0" shapeId="0">
      <text>
        <r>
          <rPr>
            <b/>
            <sz val="9"/>
            <color indexed="81"/>
            <rFont val="Tahoma"/>
            <family val="2"/>
          </rPr>
          <t>2 VENCEN EN BODEGA 2/26</t>
        </r>
      </text>
    </comment>
    <comment ref="Q53" authorId="0" shapeId="0">
      <text>
        <r>
          <rPr>
            <b/>
            <sz val="9"/>
            <color indexed="81"/>
            <rFont val="Tahoma"/>
            <family val="2"/>
          </rPr>
          <t>CAJA 78.00</t>
        </r>
      </text>
    </comment>
    <comment ref="R53" authorId="0" shapeId="0">
      <text>
        <r>
          <rPr>
            <b/>
            <sz val="9"/>
            <color indexed="81"/>
            <rFont val="Tahoma"/>
            <family val="2"/>
          </rPr>
          <t xml:space="preserve">3.60 SALE CADA BLISTER
</t>
        </r>
      </text>
    </comment>
    <comment ref="Q58" authorId="0" shapeId="0">
      <text>
        <r>
          <rPr>
            <b/>
            <sz val="9"/>
            <color indexed="81"/>
            <rFont val="Tahoma"/>
            <family val="2"/>
          </rPr>
          <t>FARMACIA DESERET 
TAB 1.50
BLISTER X 10 14.00</t>
        </r>
      </text>
    </comment>
    <comment ref="R58" authorId="0" shapeId="0">
      <text>
        <r>
          <rPr>
            <b/>
            <sz val="9"/>
            <color indexed="81"/>
            <rFont val="Tahoma"/>
            <family val="2"/>
          </rPr>
          <t xml:space="preserve">SALE A 0.75 TAB </t>
        </r>
      </text>
    </comment>
    <comment ref="S5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10 blister vencen 2/28</t>
        </r>
      </text>
    </comment>
    <comment ref="Q61" authorId="2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blister 40.00
4.50 TABLETA</t>
        </r>
      </text>
    </comment>
    <comment ref="T61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S6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3 VENCEN 1/28</t>
        </r>
      </text>
    </comment>
    <comment ref="Q6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33
TABLETA 3.50</t>
        </r>
      </text>
    </comment>
    <comment ref="S63" authorId="0" shapeId="0">
      <text>
        <r>
          <rPr>
            <b/>
            <sz val="9"/>
            <color indexed="81"/>
            <rFont val="Tahoma"/>
            <family val="2"/>
          </rPr>
          <t>1 CAJA EN BODEGA VENCE 4/27</t>
        </r>
      </text>
    </comment>
    <comment ref="Q7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68
TABLETA 7</t>
        </r>
      </text>
    </comment>
    <comment ref="S71" authorId="0" shapeId="0">
      <text>
        <r>
          <rPr>
            <b/>
            <sz val="9"/>
            <color indexed="81"/>
            <rFont val="Tahoma"/>
            <charset val="1"/>
          </rPr>
          <t>2 BLISTER VENCEN 3/27</t>
        </r>
      </text>
    </comment>
  </commentList>
</comments>
</file>

<file path=xl/comments8.xml><?xml version="1.0" encoding="utf-8"?>
<comments xmlns="http://schemas.openxmlformats.org/spreadsheetml/2006/main">
  <authors>
    <author>User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 EL 8/26</t>
        </r>
      </text>
    </comment>
    <comment ref="Q11" authorId="0" shapeId="0">
      <text>
        <r>
          <rPr>
            <b/>
            <sz val="9"/>
            <color indexed="81"/>
            <rFont val="Tahoma"/>
            <family val="2"/>
          </rPr>
          <t xml:space="preserve">caja 60.00
BLISTER 35
</t>
        </r>
      </text>
    </comment>
    <comment ref="Q2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60  110</t>
        </r>
      </text>
    </comment>
    <comment ref="Q2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35.00
TABLETA  7.50</t>
        </r>
      </text>
    </comment>
    <comment ref="S29" authorId="0" shapeId="0">
      <text>
        <r>
          <rPr>
            <b/>
            <sz val="9"/>
            <color indexed="81"/>
            <rFont val="Tahoma"/>
            <family val="2"/>
          </rPr>
          <t>6 FCOS VENCEN 8/26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2</t>
        </r>
      </text>
    </comment>
    <comment ref="S4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8 EL 10/26</t>
        </r>
      </text>
    </comment>
    <comment ref="Q46" authorId="0" shapeId="0">
      <text>
        <r>
          <rPr>
            <b/>
            <sz val="9"/>
            <color indexed="81"/>
            <rFont val="Tahoma"/>
            <family val="2"/>
          </rPr>
          <t>TAB 1.50
BLIST 12.00</t>
        </r>
      </text>
    </comment>
    <comment ref="Q5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A 20.00
CAPSULA A 2.50 
caja 170</t>
        </r>
      </text>
    </comment>
    <comment ref="S59" authorId="0" shapeId="0">
      <text>
        <r>
          <rPr>
            <b/>
            <sz val="9"/>
            <color indexed="81"/>
            <rFont val="Tahoma"/>
            <family val="2"/>
          </rPr>
          <t>2 FCOS VENCEN EN BODEGA VENCE 6/27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4 FCOS VENCEN 10/27</t>
        </r>
      </text>
    </comment>
  </commentList>
</comments>
</file>

<file path=xl/comments9.xml><?xml version="1.0" encoding="utf-8"?>
<comments xmlns="http://schemas.openxmlformats.org/spreadsheetml/2006/main">
  <authors>
    <author>User</author>
    <author>Farmacia Deseret</author>
  </authors>
  <commentList>
    <comment ref="Q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5.00
blister 48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5
BLISTER X 10 48</t>
        </r>
      </text>
    </comment>
    <comment ref="Q4" authorId="0" shapeId="0">
      <text>
        <r>
          <rPr>
            <b/>
            <sz val="9"/>
            <color indexed="81"/>
            <rFont val="Tahoma"/>
            <family val="2"/>
          </rPr>
          <t>FARMACIA DESERET 
BLISTER X 10 48.00
TAB 5.00</t>
        </r>
      </text>
    </comment>
    <comment ref="Q5" authorId="1" shapeId="0">
      <text>
        <r>
          <rPr>
            <b/>
            <sz val="9"/>
            <color indexed="81"/>
            <rFont val="Tahoma"/>
            <family val="2"/>
          </rPr>
          <t>Farmacia Deseret:
BLISTSER X 10 50.00
TABLETA 5.50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CAJA 150</t>
        </r>
      </text>
    </comment>
    <comment ref="Q7" authorId="0" shapeId="0">
      <text>
        <r>
          <rPr>
            <b/>
            <sz val="9"/>
            <color indexed="81"/>
            <rFont val="Tahoma"/>
            <family val="2"/>
          </rPr>
          <t>User:
BLIST X 10 58.00</t>
        </r>
        <r>
          <rPr>
            <sz val="9"/>
            <color indexed="81"/>
            <rFont val="Tahoma"/>
            <family val="2"/>
          </rPr>
          <t xml:space="preserve">
TAB 6.00
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28 
TABLETA 3</t>
        </r>
      </text>
    </comment>
    <comment ref="Q9" authorId="1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BLISTER.  X 10 48.00
TABLETA 5</t>
        </r>
      </text>
    </comment>
    <comment ref="Q10" authorId="1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blister 40.00</t>
        </r>
      </text>
    </comment>
  </commentList>
</comments>
</file>

<file path=xl/comments10.xml><?xml version="1.0" encoding="utf-8"?>
<comments xmlns="http://schemas.openxmlformats.org/spreadsheetml/2006/main">
  <authors>
    <author>User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 105.00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45 BLISTER
5 TABLETA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52 BLISTER
5.50 TAB</t>
        </r>
      </text>
    </comment>
    <comment ref="E38" authorId="0" shapeId="0">
      <text>
        <r>
          <rPr>
            <b/>
            <sz val="9"/>
            <color indexed="81"/>
            <rFont val="Tahoma"/>
            <family val="2"/>
          </rPr>
          <t>CAJA 80.00 
1.00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55</t>
        </r>
      </text>
    </comment>
    <comment ref="E105" authorId="0" shapeId="0">
      <text>
        <r>
          <rPr>
            <b/>
            <sz val="9"/>
            <color indexed="81"/>
            <rFont val="Tahoma"/>
            <family val="2"/>
          </rPr>
          <t>BLISTER 3.50 
TAB 1.00</t>
        </r>
      </text>
    </comment>
  </commentList>
</comments>
</file>

<file path=xl/comments11.xml><?xml version="1.0" encoding="utf-8"?>
<comments xmlns="http://schemas.openxmlformats.org/spreadsheetml/2006/main">
  <authors>
    <author>User</author>
  </authors>
  <commentList>
    <comment ref="S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4 VENCEN 4/29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 105.00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45 BLISTER
5 TABLETA</t>
        </r>
      </text>
    </comment>
    <comment ref="S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8/28</t>
        </r>
      </text>
    </comment>
    <comment ref="T23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Q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52 BLISTER
5.50 TAB</t>
        </r>
      </text>
    </comment>
    <comment ref="S3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38" authorId="0" shapeId="0">
      <text>
        <r>
          <rPr>
            <b/>
            <sz val="9"/>
            <color indexed="81"/>
            <rFont val="Tahoma"/>
            <family val="2"/>
          </rPr>
          <t>CAJA 80.00 
1.00</t>
        </r>
      </text>
    </comment>
    <comment ref="S3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1/29</t>
        </r>
      </text>
    </comment>
    <comment ref="Q3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55</t>
        </r>
      </text>
    </comment>
    <comment ref="S4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 EL 5/26</t>
        </r>
      </text>
    </comment>
    <comment ref="Q7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X 60 240.00</t>
        </r>
      </text>
    </comment>
    <comment ref="S7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9/26</t>
        </r>
      </text>
    </comment>
    <comment ref="S7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9/28</t>
        </r>
      </text>
    </comment>
    <comment ref="T81" authorId="0" shapeId="0">
      <text>
        <r>
          <rPr>
            <b/>
            <sz val="9"/>
            <color indexed="81"/>
            <rFont val="Tahoma"/>
            <family val="2"/>
          </rPr>
          <t>tab</t>
        </r>
      </text>
    </comment>
    <comment ref="Q10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5 28.00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BLISTER 3.50 
TAB 1.00</t>
        </r>
      </text>
    </comment>
    <comment ref="S10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 EL 7/27</t>
        </r>
      </text>
    </comment>
  </commentList>
</comments>
</file>

<file path=xl/comments12.xml><?xml version="1.0" encoding="utf-8"?>
<comments xmlns="http://schemas.openxmlformats.org/spreadsheetml/2006/main">
  <authors>
    <author>User</author>
  </authors>
  <commentList>
    <comment ref="Q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10 65.00
CAPSULA A 7.00</t>
        </r>
      </text>
    </comment>
    <comment ref="Q2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50 A Q.225
1 TIRA Q.6</t>
        </r>
      </text>
    </comment>
  </commentList>
</comments>
</file>

<file path=xl/comments13.xml><?xml version="1.0" encoding="utf-8"?>
<comments xmlns="http://schemas.openxmlformats.org/spreadsheetml/2006/main">
  <authors>
    <author>User</author>
  </authors>
  <commentList>
    <comment ref="Q3" authorId="0" shapeId="0">
      <text>
        <r>
          <rPr>
            <b/>
            <sz val="9"/>
            <color indexed="81"/>
            <rFont val="Tahoma"/>
            <family val="2"/>
          </rPr>
          <t>CAJA 155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A 90.00
TABLETA 10.00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7/26</t>
        </r>
      </text>
    </comment>
    <comment ref="Q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CAPSULA A 6 TUKIS
BLISTER 51.00</t>
        </r>
      </text>
    </comment>
    <comment ref="S1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 12/27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4.00
BLISTER 37.50</t>
        </r>
      </text>
    </comment>
    <comment ref="Q2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5 11.00
CAPSULA 2.50</t>
        </r>
      </text>
    </comment>
    <comment ref="Q25" authorId="0" shapeId="0">
      <text>
        <r>
          <rPr>
            <b/>
            <sz val="9"/>
            <color indexed="81"/>
            <rFont val="Tahoma"/>
            <family val="2"/>
          </rPr>
          <t xml:space="preserve">OFERTA 2X 20 
</t>
        </r>
      </text>
    </comment>
  </commentList>
</comments>
</file>

<file path=xl/comments14.xml><?xml version="1.0" encoding="utf-8"?>
<comments xmlns="http://schemas.openxmlformats.org/spreadsheetml/2006/main">
  <authors>
    <author>User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2/27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SNICKER
1 NESTLE
2 NUGETS</t>
        </r>
      </text>
    </comment>
    <comment ref="S2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VENCEN 2 EL 1/27</t>
        </r>
      </text>
    </comment>
    <comment ref="S3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12 EL 9/27</t>
        </r>
      </text>
    </comment>
    <comment ref="T40" authorId="0" shapeId="0">
      <text>
        <r>
          <rPr>
            <b/>
            <sz val="9"/>
            <color indexed="81"/>
            <rFont val="Tahoma"/>
            <charset val="1"/>
          </rPr>
          <t>1 caja de 2 blister</t>
        </r>
      </text>
    </comment>
  </commentList>
</comments>
</file>

<file path=xl/comments15.xml><?xml version="1.0" encoding="utf-8"?>
<comments xmlns="http://schemas.openxmlformats.org/spreadsheetml/2006/main">
  <authors>
    <author>User</author>
  </authors>
  <commentList>
    <comment ref="S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6/27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48 VENCEN 9/25
24 VEMCEN 1/26
</t>
        </r>
      </text>
    </comment>
    <comment ref="S2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24 EL 2/27</t>
        </r>
      </text>
    </comment>
    <comment ref="S23" authorId="0" shapeId="0">
      <text>
        <r>
          <rPr>
            <b/>
            <sz val="9"/>
            <color indexed="81"/>
            <rFont val="Tahoma"/>
            <family val="2"/>
          </rPr>
          <t>4 VENCEN EN BODEGA  10/26</t>
        </r>
      </text>
    </comment>
    <comment ref="S4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6 EL 2/27</t>
        </r>
      </text>
    </comment>
    <comment ref="S4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1/27</t>
        </r>
      </text>
    </comment>
    <comment ref="T4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 DE KILO
</t>
        </r>
      </text>
    </comment>
    <comment ref="S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2 VENCEN 5/26</t>
        </r>
      </text>
    </comment>
    <comment ref="S5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8/26</t>
        </r>
      </text>
    </comment>
  </commentList>
</comments>
</file>

<file path=xl/comments16.xml><?xml version="1.0" encoding="utf-8"?>
<comments xmlns="http://schemas.openxmlformats.org/spreadsheetml/2006/main">
  <authors>
    <author>User</author>
  </authors>
  <commentList>
    <comment ref="T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BOLSAS
</t>
        </r>
      </text>
    </comment>
    <comment ref="T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
 BOLSA
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 12.00
6 A 33.00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 12.00
6 A 33.00</t>
        </r>
      </text>
    </comment>
    <comment ref="T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BOLSAS
</t>
        </r>
      </text>
    </comment>
    <comment ref="T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
</t>
        </r>
      </text>
    </comment>
    <comment ref="T5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
</t>
        </r>
      </text>
    </comment>
    <comment ref="T5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5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5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BOLSAS</t>
        </r>
      </text>
    </comment>
    <comment ref="T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1 BOLSAS</t>
        </r>
      </text>
    </comment>
    <comment ref="T6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6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6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BOTE BODEGA</t>
        </r>
      </text>
    </comment>
    <comment ref="T7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8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BOLSA</t>
        </r>
      </text>
    </comment>
    <comment ref="T9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BOTES
</t>
        </r>
      </text>
    </comment>
  </commentList>
</comments>
</file>

<file path=xl/comments17.xml><?xml version="1.0" encoding="utf-8"?>
<comments xmlns="http://schemas.openxmlformats.org/spreadsheetml/2006/main">
  <authors>
    <author>User</author>
  </authors>
  <commentList>
    <comment ref="S2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15 EL 1/27</t>
        </r>
      </text>
    </comment>
  </commentList>
</comments>
</file>

<file path=xl/comments18.xml><?xml version="1.0" encoding="utf-8"?>
<comments xmlns="http://schemas.openxmlformats.org/spreadsheetml/2006/main">
  <authors>
    <author>User</author>
  </authors>
  <commentList>
    <comment ref="P4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35.00
TABLETA 4.00</t>
        </r>
      </text>
    </comment>
  </commentList>
</comments>
</file>

<file path=xl/comments19.xml><?xml version="1.0" encoding="utf-8"?>
<comments xmlns="http://schemas.openxmlformats.org/spreadsheetml/2006/main">
  <authors>
    <author>User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 VENCEN 3/26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4 VENCEN 1/26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1 FCO VENCE 1/27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</rPr>
          <t>2VENCEN 7
/28
2 CAJAS EN BODEGA VENCEN 8/28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2 EN BODEGA VENCEN 1/27</t>
        </r>
      </text>
    </comment>
    <comment ref="G35" authorId="0" shapeId="0">
      <text>
        <r>
          <rPr>
            <sz val="11"/>
            <color theme="1"/>
            <rFont val="Calibri"/>
            <family val="2"/>
            <scheme val="minor"/>
          </rPr>
          <t>3 CAJAS VENCEN 12/26</t>
        </r>
      </text>
    </comment>
    <comment ref="G4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8/26</t>
        </r>
      </text>
    </comment>
    <comment ref="G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 EL 9/26</t>
        </r>
      </text>
    </comment>
    <comment ref="G68" authorId="0" shapeId="0">
      <text>
        <r>
          <rPr>
            <b/>
            <sz val="9"/>
            <color indexed="81"/>
            <rFont val="Tahoma"/>
            <family val="2"/>
          </rPr>
          <t xml:space="preserve">2 FCOS VENCEN 8/27 </t>
        </r>
      </text>
    </comment>
    <comment ref="G7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9/27</t>
        </r>
      </text>
    </comment>
    <comment ref="G78" authorId="0" shapeId="0">
      <text>
        <r>
          <rPr>
            <b/>
            <sz val="9"/>
            <color indexed="81"/>
            <rFont val="Tahoma"/>
            <family val="2"/>
          </rPr>
          <t>1 VENCE 12/26 EN BODEGA</t>
        </r>
      </text>
    </comment>
    <comment ref="G91" authorId="0" shapeId="0">
      <text>
        <r>
          <rPr>
            <b/>
            <sz val="9"/>
            <color indexed="81"/>
            <rFont val="Tahoma"/>
            <family val="2"/>
          </rPr>
          <t>2 CAJAS VENCEN 4/26</t>
        </r>
      </text>
    </comment>
    <comment ref="G99" authorId="0" shapeId="0">
      <text>
        <r>
          <rPr>
            <b/>
            <sz val="9"/>
            <color indexed="81"/>
            <rFont val="Tahoma"/>
            <family val="2"/>
          </rPr>
          <t>1 CAJA EN BODEGA VENCE 9/29</t>
        </r>
      </text>
    </comment>
    <comment ref="G100" authorId="0" shapeId="0">
      <text>
        <r>
          <rPr>
            <b/>
            <sz val="9"/>
            <color indexed="81"/>
            <rFont val="Tahoma"/>
            <family val="2"/>
          </rPr>
          <t>2 EN BODEGA VENCE 5/27</t>
        </r>
      </text>
    </comment>
    <comment ref="G1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5/26</t>
        </r>
      </text>
    </comment>
    <comment ref="F1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30 60.00
</t>
        </r>
      </text>
    </comment>
    <comment ref="G140" authorId="0" shapeId="0">
      <text>
        <r>
          <rPr>
            <b/>
            <sz val="9"/>
            <color indexed="81"/>
            <rFont val="Tahoma"/>
            <family val="2"/>
          </rPr>
          <t>UVA 11/27
FRESA 2/28 
CHOCOLATE 11/27</t>
        </r>
      </text>
    </comment>
    <comment ref="G154" authorId="0" shapeId="0">
      <text>
        <r>
          <rPr>
            <b/>
            <sz val="9"/>
            <color indexed="81"/>
            <rFont val="Tahoma"/>
            <family val="2"/>
          </rPr>
          <t>4 EN BODEGA VENCEN 1/27</t>
        </r>
      </text>
    </comment>
    <comment ref="G1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6/27</t>
        </r>
      </text>
    </comment>
    <comment ref="G1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 EL 2/27</t>
        </r>
      </text>
    </comment>
  </commentList>
</comments>
</file>

<file path=xl/sharedStrings.xml><?xml version="1.0" encoding="utf-8"?>
<sst xmlns="http://schemas.openxmlformats.org/spreadsheetml/2006/main" count="3944" uniqueCount="1489">
  <si>
    <t>No</t>
  </si>
  <si>
    <t>ARTICULO</t>
  </si>
  <si>
    <t>EXIST</t>
  </si>
  <si>
    <t>SABADO</t>
  </si>
  <si>
    <t>NVA EXIST</t>
  </si>
  <si>
    <t>PP</t>
  </si>
  <si>
    <t>TOTAL PP</t>
  </si>
  <si>
    <t>TOTAL COSTO</t>
  </si>
  <si>
    <t>%</t>
  </si>
  <si>
    <t>COSTO</t>
  </si>
  <si>
    <t>EXISTENCIA</t>
  </si>
  <si>
    <t>SULFATO FERROSO 350 MG BLIST X 10 SELEC</t>
  </si>
  <si>
    <t>SALBUTAMOL INHALADOR CAPLIN</t>
  </si>
  <si>
    <t>SECNIDAZOL 500 MG X 4 TAB CAPLIN</t>
  </si>
  <si>
    <t>NAUSEOL 1 ML X 1 AMPOLLA</t>
  </si>
  <si>
    <t>IRS GOTAS DE 20 ML</t>
  </si>
  <si>
    <t>CALAMINA LOCION 100ML CAPLIN</t>
  </si>
  <si>
    <t>METRONIDAZOL+ NIST CAJA 5 OV CAPLIN</t>
  </si>
  <si>
    <t>UNAL (ANTICOCEP MENS) INYEC PIERSAN</t>
  </si>
  <si>
    <t>ARCO PULMIN INY ADULTO PIERSAN</t>
  </si>
  <si>
    <t xml:space="preserve">VITANERVO 25,000 KIT AMP PIERSAN </t>
  </si>
  <si>
    <t>LEVUSOL 500 ML CEREZA</t>
  </si>
  <si>
    <t>LEVUSOL 500 ML MANZANA</t>
  </si>
  <si>
    <t>EX-FLU KIT AMPOLLA SELEC</t>
  </si>
  <si>
    <t>EX -FLU ANTIGRIPAL GOTAS 30ML SELEC</t>
  </si>
  <si>
    <t>EX -FLU TOS 120 ML SELEC</t>
  </si>
  <si>
    <t>IBUPROFEN 100MG/5ML SUSP SELEC</t>
  </si>
  <si>
    <t>SALBUTAMOL 2MG 120 ML SELEC</t>
  </si>
  <si>
    <t>SULFACETAMIDA 10% 15 ML GOT SLECT</t>
  </si>
  <si>
    <t>VITAMINA K AMPOLLA SELEC</t>
  </si>
  <si>
    <t>NASOLIN GOTAS 15 ML  MEDIPROD</t>
  </si>
  <si>
    <t>YES NOT (PRUEBA DE EMB) CASSETT</t>
  </si>
  <si>
    <t>MIGRADOLOSINA PIERSAN BLIST X 10</t>
  </si>
  <si>
    <t>DOLO TETRAVIT BLIST X 10</t>
  </si>
  <si>
    <t>ALEVE LQUID GELS X 24</t>
  </si>
  <si>
    <t>PEDIALYTE CEREZA 500 ML</t>
  </si>
  <si>
    <t>VITAL FUERTE 10 AMP BEB 10 ML</t>
  </si>
  <si>
    <t>SCUDO ORO ESTRIADO CAJA X 3</t>
  </si>
  <si>
    <t>SCUDO ORO RETARDANTE CAJA X 3</t>
  </si>
  <si>
    <t xml:space="preserve">SCUDO NATURAL CAJA X 3 </t>
  </si>
  <si>
    <t>NEUMONIL AMPOLLA 1 ML</t>
  </si>
  <si>
    <t>ALFER NICOL UNGÜENTO TUBO 5 GRS</t>
  </si>
  <si>
    <t>VIVE ORIGINAL 16 CAJAS X 3 UND</t>
  </si>
  <si>
    <t>VIVE AMOR 16 CAJAS X 3 UND</t>
  </si>
  <si>
    <t>POMADA GMS 12 GRS</t>
  </si>
  <si>
    <t>NEUMONIL G X 60 TABS</t>
  </si>
  <si>
    <t>S.S.N. GOTAS</t>
  </si>
  <si>
    <t>DORIXINA RELAX BLIST X 10 TABS</t>
  </si>
  <si>
    <t>MANTECA DE CACAO</t>
  </si>
  <si>
    <t>PENETRACINA 3 CREMA 15 GR MEDIPROD</t>
  </si>
  <si>
    <t>OTIK GOTAS</t>
  </si>
  <si>
    <t>UNICIL L-A 2.4 MEGA (PENI BENA) VIAL UNIPHARM</t>
  </si>
  <si>
    <t>VICK TARRO 50 GRS</t>
  </si>
  <si>
    <t>BABY OR NOT PRUEBA DE EMBARAZO DISMEV</t>
  </si>
  <si>
    <t>MENTOL DAVIS MUESTRA</t>
  </si>
  <si>
    <t xml:space="preserve">SINSUEÑO BLIST X 10 </t>
  </si>
  <si>
    <t>MEPROGESICO II  BLISTER X 10</t>
  </si>
  <si>
    <t>TERMOMETRO DE CINTA MEDITEM FRONT</t>
  </si>
  <si>
    <t>ALKA SELTZER DISP X 60</t>
  </si>
  <si>
    <t>TE DE ALCACHOFA GN+V X 30 SOBRES</t>
  </si>
  <si>
    <t>DEXAMICINA GOTASX 5 ML QUALIPHARM</t>
  </si>
  <si>
    <t>BRONCODIL GOTAS DE 30 ML</t>
  </si>
  <si>
    <t>VITAMINAS PRENATALES X 100 BLIST X 10</t>
  </si>
  <si>
    <t>POMADA DE LA CAMPANA 19 GRS</t>
  </si>
  <si>
    <t>CHOCOLATES GRANDES</t>
  </si>
  <si>
    <t>CANESTEN 100 MG X 18 OVULOS VAG</t>
  </si>
  <si>
    <t>CANESTEN ORAL 150 MG X 1 CAP</t>
  </si>
  <si>
    <t>NERVISEL 25,000 KIT SELEC</t>
  </si>
  <si>
    <t>CURADERMA LATITA</t>
  </si>
  <si>
    <t>TOMA DE PRESION</t>
  </si>
  <si>
    <t>PRUEBA DE GLUCOSA</t>
  </si>
  <si>
    <t>CLORANF+DEXAMETASONA COLIRIO 15 ML SELEC</t>
  </si>
  <si>
    <t>DICLOFENACO ACIDO LIBRE 9MG FCO 120 ML SELE</t>
  </si>
  <si>
    <t>DEXTROVITA AL 10% 1/2 LITRO</t>
  </si>
  <si>
    <t>SERTAL COMPUESTO X 3 DOSIS</t>
  </si>
  <si>
    <t>DIYODO 650  BLIST X 10TAB</t>
  </si>
  <si>
    <t>CIKRASEL 40G SPRAY</t>
  </si>
  <si>
    <t>B Y F</t>
  </si>
  <si>
    <t>NERVESSA PASTILLAS DISP  50</t>
  </si>
  <si>
    <t>GINGIVEX PINCELADAS FCO. 27 ML</t>
  </si>
  <si>
    <t xml:space="preserve">DOLO-NERVISEL  KIT </t>
  </si>
  <si>
    <t>SOLER</t>
  </si>
  <si>
    <t>AGUJA 23G X 1-1/2" AZUL (NIPRO)</t>
  </si>
  <si>
    <t>BRONCODIL JBE. 120ML</t>
  </si>
  <si>
    <t>ARCO CORT 40MG KIT</t>
  </si>
  <si>
    <t>GASA ENFERMERITA  1/2 X 1 YD.</t>
  </si>
  <si>
    <t>NUTRISON JBE NIÑOS 240 ML</t>
  </si>
  <si>
    <t>COIDE</t>
  </si>
  <si>
    <t>PARCHE LEON</t>
  </si>
  <si>
    <t>AGUJA 23G X 1"   AZUL (NIPRO) PED</t>
  </si>
  <si>
    <t>SECNIDAZOL 500 MG X 4 TAB ARGUS</t>
  </si>
  <si>
    <t xml:space="preserve">MILORIX CREMA HEMORROIDAL 20MG </t>
  </si>
  <si>
    <t>CHOCOLATE HERSHEYS BLANCO PEQ</t>
  </si>
  <si>
    <t>ESPARADRAPO 1/2</t>
  </si>
  <si>
    <t>FERULA TIPO RANITA TALLA M</t>
  </si>
  <si>
    <t>VIRO GRIP GRIPE Y TOS JBE 120 ML</t>
  </si>
  <si>
    <t>OJO DE AGUILA GOTAS</t>
  </si>
  <si>
    <t>CURITA REDONDA  CUREBAND CAJA X 100</t>
  </si>
  <si>
    <t>TINTURA DE YODO NEGRO 1 ONZ</t>
  </si>
  <si>
    <t>ANARA SOLUCION GOTAS 20ML</t>
  </si>
  <si>
    <t>FERRIDOCE JBE 240ML</t>
  </si>
  <si>
    <t>KURA KURA LATA 13 GRS</t>
  </si>
  <si>
    <t>ABREXIL SUSP 120ML</t>
  </si>
  <si>
    <t>CEFTRIAXONA 1GR+LIDOC KIT PROMEGAL</t>
  </si>
  <si>
    <t>CLORFENIRAMINA MALEATO 2MG JBE. SELECT</t>
  </si>
  <si>
    <t>LEVADURA SANTE FRASCO X100TAB</t>
  </si>
  <si>
    <t>NEOMELUBRINA CAJA X 5 SUPOSITORIOS</t>
  </si>
  <si>
    <t>FECHA DE VENCIMIENTO</t>
  </si>
  <si>
    <t>FECHA DE COMPRA</t>
  </si>
  <si>
    <t>SIMETICONA 100MG/ML GTS. FCO 30ML SELECT</t>
  </si>
  <si>
    <t>PEDIDO</t>
  </si>
  <si>
    <t>OBSERVACIONES</t>
  </si>
  <si>
    <t>IRS JARABE DE 120 ML</t>
  </si>
  <si>
    <t>INFASA</t>
  </si>
  <si>
    <t>AZUFRE SUBLIMADO POLVO 1 ONZ</t>
  </si>
  <si>
    <t>BORAX 1 ONZ</t>
  </si>
  <si>
    <t>CREOLINA COMERCIAL 120 ML</t>
  </si>
  <si>
    <t>2 MESES</t>
  </si>
  <si>
    <t>1 MES</t>
  </si>
  <si>
    <t>TOTAL</t>
  </si>
  <si>
    <t>PROMEDIO</t>
  </si>
  <si>
    <t>ALKA GASTRIC DISP. X 36 TAB</t>
  </si>
  <si>
    <t>ESENCIA MARAVILLOSA SIERRA FCO</t>
  </si>
  <si>
    <t xml:space="preserve">CLOTRIPLEX TUBO 15 GMS </t>
  </si>
  <si>
    <t>LASSAR CREMA LAFCO 120 GRS</t>
  </si>
  <si>
    <t>TRILOX 360 ML</t>
  </si>
  <si>
    <t>ZORRITONE CARAMELO X 500</t>
  </si>
  <si>
    <t>METRONIDAZOL 125 MG SUSP 120 ML SELEC</t>
  </si>
  <si>
    <t>DROPA GEL (KETOPROFENO 2.5%) 50G</t>
  </si>
  <si>
    <t>FLUDISIN (AMBROXOL) JBE 100 ML LEGSA</t>
  </si>
  <si>
    <t>FLUDISIN COM (AMBR+CLEB) 100 ML LEGSA</t>
  </si>
  <si>
    <t>CLEVIUM DEXKETOPROFENO 50 MG AMPOLLA</t>
  </si>
  <si>
    <t>FLUDISIN L (AMB + LORATAD) 100 ML LEGSA</t>
  </si>
  <si>
    <t>CETAMIN CC BLISTER X 10 LAPRIN</t>
  </si>
  <si>
    <t>NAUSEOL INFANTIL SUPOSITORIOS X 6 BONIN</t>
  </si>
  <si>
    <t>VIROGRIP NF LIMON POLVO PM X 24 SOBRES</t>
  </si>
  <si>
    <t>NEOBOL CREMA 30 GRS</t>
  </si>
  <si>
    <t>NEOBOL SPRAY 30 ML</t>
  </si>
  <si>
    <t>PEPTO BISMOL 118 ML (4 ONZ)</t>
  </si>
  <si>
    <t>CLEVIUM DEXKETOPROFENO 25 MG X 10 TAB</t>
  </si>
  <si>
    <t>VIROGRIP 3 DOBLE TERAPIA INYECTADO</t>
  </si>
  <si>
    <t>ALEVE EXTRA FUERTE X 36 TAB</t>
  </si>
  <si>
    <t xml:space="preserve">ANGIOCAT # 20 </t>
  </si>
  <si>
    <t>ANGIOCAT # 24</t>
  </si>
  <si>
    <t>ACETAMINOFEN JBE 120 ML SELEC</t>
  </si>
  <si>
    <t>TRESBIOT 20 GRS CAPLIN</t>
  </si>
  <si>
    <t>CUERPO AMARILLO AMPOLLA KIT PIERSAN</t>
  </si>
  <si>
    <t>CLOPRIM</t>
  </si>
  <si>
    <t>GASA SUPERIOR  4 X 10</t>
  </si>
  <si>
    <t>ALGODÓN ZUUM 25 GRS</t>
  </si>
  <si>
    <t>CLORANFENICOL 0.5% GOTAS 15 ML SELEC</t>
  </si>
  <si>
    <t>PERILLA DE HULE (SACA MOCOS) No 1</t>
  </si>
  <si>
    <t>UNIACT KIT (medroxiprogesterona 150m) CA</t>
  </si>
  <si>
    <t>ESCABIN JABON DE AZUFRE 80 GRS SANTE</t>
  </si>
  <si>
    <t>NERVISEL 10,000 AMPOLLA SELEC PANAL</t>
  </si>
  <si>
    <t>VICK INHALADOR</t>
  </si>
  <si>
    <t>MANA SOBRE (LAXANTE) 1 ONZ</t>
  </si>
  <si>
    <t>DELRECT (CREMA RECTAL P/HEM 30 GRS CAPLIN)</t>
  </si>
  <si>
    <t>ANESTENCA TUBO X 5 ML</t>
  </si>
  <si>
    <t>CLO-PRIM 0.1MG/GOTAS 15 ML</t>
  </si>
  <si>
    <t>LECHE DE MAGNESIA PHILIPS 60 ML</t>
  </si>
  <si>
    <t>CLINDAMICINA 300 MG BLISTER X 10 MED PHARMA</t>
  </si>
  <si>
    <t>RELAFLEX KIT AMPOLLA VIJOSA</t>
  </si>
  <si>
    <t>CIKRASEL CREMA TUBO 30GMS</t>
  </si>
  <si>
    <t>HARTMANN (1000) 1 LITRO</t>
  </si>
  <si>
    <t>TABCIN EXTRA FUERTE X 60 EFERV (ROJO)</t>
  </si>
  <si>
    <t>CALLOFIN POMADA 12 GRS</t>
  </si>
  <si>
    <t>SOLUCION SALINA PARA NEBULIZAR 250 ML</t>
  </si>
  <si>
    <t xml:space="preserve">KOLICON 15 ML </t>
  </si>
  <si>
    <t>YODOCLORINA DISP X 100 CAPS</t>
  </si>
  <si>
    <t>ARNIDOL POMADA ARNICA 12 GRS</t>
  </si>
  <si>
    <t>CHINOS</t>
  </si>
  <si>
    <t>FLUFIN AM SOBRE 2 GEL CAPS CAPLIN</t>
  </si>
  <si>
    <t>CLOTRIMAZOL 1 % CREMA 20 GRS SELEC</t>
  </si>
  <si>
    <t>SANTEMICINA 7.5 GRS SOBRE CAJA X 50</t>
  </si>
  <si>
    <t>METOCARBAMOL AMP SELECT</t>
  </si>
  <si>
    <t>PENICILINA POMADA</t>
  </si>
  <si>
    <t>DOLO KALORUB LINIM SPRAY 180 ML</t>
  </si>
  <si>
    <t>DICLOFENACO GOTAS DE 15 ML</t>
  </si>
  <si>
    <t>REUMETAN S 25 MG BLIST X 10 CAJA X 100</t>
  </si>
  <si>
    <t>VIRO GRIP AM SOBRE X 2 GEL CAP CAJA X 24</t>
  </si>
  <si>
    <t>VIRO GRIP PM SOBRE X 2 GEL CAP CAJA X 24</t>
  </si>
  <si>
    <t>DICLO+NEURO SHEKINAH BLIS X 10 GEL CAPS CAJA X 100</t>
  </si>
  <si>
    <t>DOLOFIN DISP X 100</t>
  </si>
  <si>
    <t>UROFIN DISPENS X 100</t>
  </si>
  <si>
    <t>MELOXICAM 15 MG/1.5 ML AMP SELEC</t>
  </si>
  <si>
    <t>PEINE FINO</t>
  </si>
  <si>
    <t>ENZIMAS DIGES BLIST X 10 CAJA X 30 CONAMEP</t>
  </si>
  <si>
    <t>KETOROLACO 60MG/2ML AMPOLLA VIJOSA</t>
  </si>
  <si>
    <t>NERVISEL 10,000 KIT</t>
  </si>
  <si>
    <t>HISTAPRIN CAJA X20 TAB BLIS X10</t>
  </si>
  <si>
    <t>VITAPYRENA DISP X50</t>
  </si>
  <si>
    <t>BETAMETASONA .05%+ACIDO SALICI 3% SELEC TUBO</t>
  </si>
  <si>
    <t>AZITROMICINA 500 MG B X 5 CAJA X 30</t>
  </si>
  <si>
    <t>CEFADROXILO 250MG/60ML SUS SELEC</t>
  </si>
  <si>
    <t>AGUA OXIGENADA 3% SOL LORALVA 120 ML</t>
  </si>
  <si>
    <t>COLECTOR ORINA PEDIATRICO BOLSA OPERSON</t>
  </si>
  <si>
    <t>CLOTRIMAZOL OV VAG 100 MG CAJA X 6 CAPLIN</t>
  </si>
  <si>
    <t>COLECTOR DE HECES C/PALETA 60ML</t>
  </si>
  <si>
    <t>COLECTOR DE ORINA 120ML</t>
  </si>
  <si>
    <t>SAL ANDREWS DISP X 50 SOBRES</t>
  </si>
  <si>
    <t>ENZIFLAT (ENZIMAS) BLIST X 10 CAJA X 120 TABS</t>
  </si>
  <si>
    <t>COLAGENO CAJA X 100 CAP GEL BLISTER X 10</t>
  </si>
  <si>
    <t>ENANTYUM 25 MG SOLUCION ORAL 10 ML</t>
  </si>
  <si>
    <t>GUAYACOLATO CON JBE.TOLU 120ML MENTOL HIPERFARM</t>
  </si>
  <si>
    <t>BICARBONATO DE SODIO LIBRA</t>
  </si>
  <si>
    <t>LAGRIMAS OCULARES GRS 15 ML GOTAS SELEC</t>
  </si>
  <si>
    <t>BALSAMICO GMS 12 GRS</t>
  </si>
  <si>
    <t>PEDIALYTE MANZANA 500 ML 60</t>
  </si>
  <si>
    <t>ALGODÓN ZUUM 50 GRS</t>
  </si>
  <si>
    <t>PANADOL NIÑOS DISP X 100 TAB MASTIC</t>
  </si>
  <si>
    <t>LECHE DE MAGNESIA PHILIPS 120 ML</t>
  </si>
  <si>
    <t>X-ACTO PRUEBA DE EMBARAZO</t>
  </si>
  <si>
    <t>TABCIN AD FM EF DISPEN X 72 SOBRES(CELESTE)</t>
  </si>
  <si>
    <t>SIMETICONA 40MG MAST BLIST X 10 SELEC CAJA X 30</t>
  </si>
  <si>
    <t>TABCIN NIÑOS DISP X 48 BLIST X 12 MASTIC</t>
  </si>
  <si>
    <t>RUIBARBO TINTURA 30 ML</t>
  </si>
  <si>
    <t>VIOLETA DE GENCIANA SOLUCION 2% 30 ML</t>
  </si>
  <si>
    <t>CITOCOL AZUL No 43</t>
  </si>
  <si>
    <t>DICLOFENACO POT 50 MGS BLIST X 10 CAJA X 100 SELEC</t>
  </si>
  <si>
    <t>ACEITE DE NERVINO 30 ML</t>
  </si>
  <si>
    <t>FERULA TIPO BASBALL TALLA M</t>
  </si>
  <si>
    <t>OPTICLUDE REG CAJA X 20 UNID NEXCARE</t>
  </si>
  <si>
    <t>PULMO GRIP JBE 120 ML</t>
  </si>
  <si>
    <t>PEDIAFLORA GRANU DISP X 50 SOBRES PAHIL</t>
  </si>
  <si>
    <t xml:space="preserve">ACEITE DE AJENJO 30 ML 1 ONZ </t>
  </si>
  <si>
    <t>ESQUINITA</t>
  </si>
  <si>
    <t>MICROPORE NEXCARE BLANCO 1/2 X 10 YD</t>
  </si>
  <si>
    <t>ACHICORIA JBE 30 ML</t>
  </si>
  <si>
    <t>CIPROFLOXACINA 500 MG CAJA X 60 BL X 10</t>
  </si>
  <si>
    <t>MENTOL DAVIS GRANDE 12 GRS</t>
  </si>
  <si>
    <t>ALERMINE CORT JBE 60 ML</t>
  </si>
  <si>
    <t>ALERMINE CORT CAJA X 10 TABS</t>
  </si>
  <si>
    <t>PASIFLORA COMP CAJA X 30 BLISTER X 10</t>
  </si>
  <si>
    <t>FLUFIN ALERGIAS CAJA X 50 BLIS X 10 GEL BLANDA</t>
  </si>
  <si>
    <t>BICARBONATO  X 25 SOBRES DE 10 GRS VESA</t>
  </si>
  <si>
    <t>CROSPOVIDONA 20%  SUSP 60 ML SELEC</t>
  </si>
  <si>
    <t>DEXA+NEOMICINA 1 % OFTALMICA SELEC</t>
  </si>
  <si>
    <t>SODA CAUSTICA EN ESCAMAS LIBRA</t>
  </si>
  <si>
    <t>ACEITE MINERAL 60 ML</t>
  </si>
  <si>
    <t>SAL DE UVAS PICOT CAJA X 50</t>
  </si>
  <si>
    <t>DULCES   MENTA</t>
  </si>
  <si>
    <t>GLUCOSORAL 450 ML MELOCOTON</t>
  </si>
  <si>
    <t>GLUCOSORAL 450 ML COCO</t>
  </si>
  <si>
    <t>GLUCOSORAL 450 ML CEREZA</t>
  </si>
  <si>
    <t>GLUCOSORAL 450 ML MANZANA</t>
  </si>
  <si>
    <t>CLORA+DEXA+NAFA GOTAS SELEC</t>
  </si>
  <si>
    <t>ACETAMINOFEN GOTAS 100 MG FCO 30 ML SELEC</t>
  </si>
  <si>
    <t>VENOTROPA X 30CAPS FARMALIN</t>
  </si>
  <si>
    <t xml:space="preserve"> h</t>
  </si>
  <si>
    <t>ROWATINEX PERLAS AMARILLAS BLI X 10</t>
  </si>
  <si>
    <t>FUROSEMIDA 20 MG AMPOLLA 2 ML CAPLIN</t>
  </si>
  <si>
    <t>PRENATALES PLUS 6 BLIS X 5 CAJA X 30 CAP CONAMEP</t>
  </si>
  <si>
    <t>VIROGRIP NF LIMON POLVO AM X 24 SOBRES</t>
  </si>
  <si>
    <t>RECOVER 500ML MANZANA</t>
  </si>
  <si>
    <t>RECOVER 500ML CEREZA</t>
  </si>
  <si>
    <t>JABON AZUFRE 100 GRS</t>
  </si>
  <si>
    <t>TRIMETOPRIM 120 ML SELEC (SULFABAC)</t>
  </si>
  <si>
    <t>AGUJA 25G X 1-1/2 NARANJA X 100 NIPRO</t>
  </si>
  <si>
    <t>AGUJA 25G X 1 NARANJA X 100 NIPRO</t>
  </si>
  <si>
    <t>ACICLOVIR 400 MG BLIST X 10 CAJA X 50 SELEC</t>
  </si>
  <si>
    <t>LA MERCED</t>
  </si>
  <si>
    <t>GASA ENFERMERITA 3 X 1</t>
  </si>
  <si>
    <t>MICROPORE NEXCARE PIEL 1 X 10 YDS</t>
  </si>
  <si>
    <t>MICROPORE NEXCARE PIEL 1/2 X 10 YD</t>
  </si>
  <si>
    <t>TIRA LECHE DE VIDRIO</t>
  </si>
  <si>
    <t>TOALLITAS DE ALCOHOL X 200</t>
  </si>
  <si>
    <t>GLICITOS C (AMBROXOL+CLEMBUTEROL) 120 ML SELEC</t>
  </si>
  <si>
    <t>GLICITOS S (AMBROXOL+SALBUTAMOL) 120ML SELEC</t>
  </si>
  <si>
    <t>MELOXICAN 15MG CAJA X 30 TABS BLIST X 10 SELEC</t>
  </si>
  <si>
    <t>GLICITOS L (AMBROXOL+LORATADINA)120 ML SELEC</t>
  </si>
  <si>
    <t>FLUCONAZOL 200MG SELECT X2 TAB CAJA</t>
  </si>
  <si>
    <t>MAMON SILICON UNIDAD</t>
  </si>
  <si>
    <t xml:space="preserve">AZUCAR DE LECHE 1 ONZ </t>
  </si>
  <si>
    <t>CYCLONOR NORDIC ANTICONCEP. MENSUAL VIJOSA</t>
  </si>
  <si>
    <t xml:space="preserve">ANTIGRIP SOBRE X 4 TAB DISP X 100 </t>
  </si>
  <si>
    <t>ANTIGRIPITO SOBRE X 4 TAB DISP X 100</t>
  </si>
  <si>
    <t>BETA 2 PAN KIT AMPOLLA</t>
  </si>
  <si>
    <t>DOLOVITANERVO KIT AMPOLLA</t>
  </si>
  <si>
    <t>SANIRENAL CAJA X 100 BLIST X 10</t>
  </si>
  <si>
    <t>DEXAVITANERVO KIT AMPOLLA</t>
  </si>
  <si>
    <t xml:space="preserve">REUMETAN CREMA 30 GRS. TUBO </t>
  </si>
  <si>
    <t>DICLOFENACO 1% GEL TUBO 20 GR SELECT</t>
  </si>
  <si>
    <t>GASA SUPERIOR 6 X 10 YDS</t>
  </si>
  <si>
    <t>GLUCOSAMINA+CONDROITINA3 BLIST X 10 CONAMEP</t>
  </si>
  <si>
    <t>LADI</t>
  </si>
  <si>
    <t>RING POP</t>
  </si>
  <si>
    <t>AZUCAR DE ANIZ 1 ONZA</t>
  </si>
  <si>
    <t>NAUSEOL SUSP JBE FCO 60 ML</t>
  </si>
  <si>
    <t>CLORURO DE MAGNESIO 100 GRAMOS QUIMICA U</t>
  </si>
  <si>
    <t>PROPANOLOL 40 MG CAJA X 100 BLIST X 10 CAPLIN</t>
  </si>
  <si>
    <t xml:space="preserve">NEOMELUBRINA JBE 100 ML </t>
  </si>
  <si>
    <t>UNI-PULMIN ANTIGRIPAL CAJA X 25 SOBRES</t>
  </si>
  <si>
    <t>SUPOSITORIOS ACETAMINF 300MG CAPLIN</t>
  </si>
  <si>
    <t>HOSPIGEN</t>
  </si>
  <si>
    <t>GOTERO PLASTICO</t>
  </si>
  <si>
    <t>ACEITE DE RECINO 1 ONZ LASANA</t>
  </si>
  <si>
    <t>TAPE-C B X 2 CAPLIN</t>
  </si>
  <si>
    <t>KETOCONAZOL CREMA 15 GM ARGUS CAPLIN</t>
  </si>
  <si>
    <t>COMPLEJO B  VIAL 10 ML BONIN</t>
  </si>
  <si>
    <t>MAMON LATEX UNIDAD</t>
  </si>
  <si>
    <t>RECOVER 500ML MELOCOTON</t>
  </si>
  <si>
    <t>PEDIALYTE CLASICO COCO 500 ML</t>
  </si>
  <si>
    <t>JABÒN HIPOALERGÈNICO  100G (NEUTRO)</t>
  </si>
  <si>
    <t>FUROSEMIDA 40MG BLISTER X 10 SELEC</t>
  </si>
  <si>
    <t>AMOXI+ACIDO CLAV 250MG SUSP 60 ML SELEC LEVECILIN</t>
  </si>
  <si>
    <t>CLORFENIRAMINA 10 MG AMP SELEC</t>
  </si>
  <si>
    <t>PEZONERA DE VIDRIO EDIGAR</t>
  </si>
  <si>
    <t>HIDROCORTIZONA 1% CREMA 30 GRS SELEC</t>
  </si>
  <si>
    <t xml:space="preserve">ANGIOCAT # 22 </t>
  </si>
  <si>
    <t>IRBERSARTAN 300 MG CAJA X 30 BLIST X 10  SELEC</t>
  </si>
  <si>
    <t>SULFATO DE SODA X 16 SOBRES DISFAVIL</t>
  </si>
  <si>
    <t>LIDOCAINA 1% 3,5 ML PROMEGAL</t>
  </si>
  <si>
    <t>TRILOX 180 ML</t>
  </si>
  <si>
    <t>ASPIRADOR NASAL GERBER</t>
  </si>
  <si>
    <t>PACHA MUM LOVE 3 ONZ</t>
  </si>
  <si>
    <t>MEBENDAZOL 100MGX BLIST X 6 TAB</t>
  </si>
  <si>
    <t>ANTIGRIPITO INFANIL JBE 60 ML</t>
  </si>
  <si>
    <t>XICONEURAL CAJA X 30 INDUCTOR DEL SUEÑO</t>
  </si>
  <si>
    <t>METRONIDAZOL 500 MGS X 10 OVULOS VAG CAPLIN</t>
  </si>
  <si>
    <t>BROMHEXINA 120 ML JBE SELEC (EXIFLEM)</t>
  </si>
  <si>
    <t>S.S.N. SPRAY NASAL 50 ML</t>
  </si>
  <si>
    <t>ALBENDAZOL 200MG/5ML SUSP SELECPHARMA</t>
  </si>
  <si>
    <t>FLUCONAZOL 150 MGS CAJA X 2 CAPS SELEC</t>
  </si>
  <si>
    <t>CUAJO CAJA X 100 BLISTER X 10</t>
  </si>
  <si>
    <t>SELLO DE HEPARINA ESTERIL OPERSON</t>
  </si>
  <si>
    <t xml:space="preserve">HOSPIGEN  </t>
  </si>
  <si>
    <t xml:space="preserve">HOSPIGEN </t>
  </si>
  <si>
    <t>TOSIFLEM JARABE 240 ML</t>
  </si>
  <si>
    <t>HIPOPRESS GOTAS 20 ML</t>
  </si>
  <si>
    <t>ARGININA FORTE 10 AMP BEBIBLES</t>
  </si>
  <si>
    <t>BIFONEX  CREMA 1% 15G SELEC TUBO</t>
  </si>
  <si>
    <t>FUROSEMIDA 40 MG CAJA X 100 BLIST X 10 CAPLIN</t>
  </si>
  <si>
    <t>RECOVER 500ML COCO</t>
  </si>
  <si>
    <t>BALLENA AZUL 200 ml</t>
  </si>
  <si>
    <t>KLORPROSIN KIT INY X UNIDAD</t>
  </si>
  <si>
    <t>PODOFILINA 25% X 5 ML F QUIMICA</t>
  </si>
  <si>
    <t>AGUA DESTILADA PARA INYE 10 ML PROMEGAL</t>
  </si>
  <si>
    <t>AZITROMICINA 500 MGS CAJA X 3 UMEDICA</t>
  </si>
  <si>
    <t>LEVOFLOXACINA 500 MG BLIST X 10 SELEC UMEDICA</t>
  </si>
  <si>
    <t>MENOESTROGEN CAJA X 30 CAPS  BLIST X 10 FARMALINE</t>
  </si>
  <si>
    <t>NAFASOLINA .025% DE 15 ML</t>
  </si>
  <si>
    <t>VITAL FUERTE H3 X 30</t>
  </si>
  <si>
    <t>ANGIOCAT # 18</t>
  </si>
  <si>
    <t>ANGIOCAT # 16</t>
  </si>
  <si>
    <t>AGUJA 30G X 1/2  AMARILLA (NIPRO)</t>
  </si>
  <si>
    <t>AGUJA 27G X 1/2</t>
  </si>
  <si>
    <t>JERINGA 5 CC 23 X 1 1/4</t>
  </si>
  <si>
    <t xml:space="preserve">JERINGA 5 CC 21  1 1/2 </t>
  </si>
  <si>
    <t>JERINGA 5 CC 23 X 1 1/2</t>
  </si>
  <si>
    <t>ANARA CAJA X 50 SOBRES BLIST X 4</t>
  </si>
  <si>
    <t>JERINGA 20 CC X 21 X 1 1/2</t>
  </si>
  <si>
    <t>ESPARADRAPO DE 1</t>
  </si>
  <si>
    <t>HOJA DE BISTURI No 24</t>
  </si>
  <si>
    <t>LIGADURA PARA TORNIQUETE</t>
  </si>
  <si>
    <t>REDECILLA NEGRA</t>
  </si>
  <si>
    <t>WILLY</t>
  </si>
  <si>
    <t>SPORT GEL FORTE 30 GRS</t>
  </si>
  <si>
    <t>NUTRISON H3 PLUS CAJA X 30</t>
  </si>
  <si>
    <t xml:space="preserve">SALBUTAMOL 100MCG X DOSIS SPRAY PROMEGAL </t>
  </si>
  <si>
    <t>NOE</t>
  </si>
  <si>
    <t>ACETONA 100 ML DAROSA</t>
  </si>
  <si>
    <t>ACETONA 60 ML DAROSA</t>
  </si>
  <si>
    <t>ALMENDRA ENTERA BOLSITA</t>
  </si>
  <si>
    <t>PRICES</t>
  </si>
  <si>
    <t>ALMENDRA RAYADA BOLSITA</t>
  </si>
  <si>
    <t>ARANDANOS BOLSA</t>
  </si>
  <si>
    <t>CEPILLO COLGATE PLUS 2 X 1</t>
  </si>
  <si>
    <t>CEPILLO DENTAL DENTITO</t>
  </si>
  <si>
    <t>CEPILLO ORAL SUAVE SUAVE 35</t>
  </si>
  <si>
    <t xml:space="preserve">CHISPITAS DE CHOCOLATES </t>
  </si>
  <si>
    <t>CREMA LUBRIDERM 400 ML AZUL</t>
  </si>
  <si>
    <t>CREMA LUBRIDERM 400 ML DORADA</t>
  </si>
  <si>
    <t>CREMA LUBRIDERM 400 ML MORADA</t>
  </si>
  <si>
    <t>CREMA LUBRIDERM 400 ML ROSADA</t>
  </si>
  <si>
    <t>CREMA NIVEA LITRO AZUL</t>
  </si>
  <si>
    <t>CREMA NIVEA TARRO 400 ML</t>
  </si>
  <si>
    <t>DESODORANTE DEGREE H 76 GRS</t>
  </si>
  <si>
    <t>DESODORANTE DEGREE M 74 GRS</t>
  </si>
  <si>
    <t>DESODORANTE DOVE BARRA M 50 GRS</t>
  </si>
  <si>
    <t>DESODORANTE SECRET 73 GRS MUJER</t>
  </si>
  <si>
    <t>JABON DOVE 135 GRS</t>
  </si>
  <si>
    <t>NUEZ DE NOGAL</t>
  </si>
  <si>
    <t>PROTECTORES KOTEX X 20</t>
  </si>
  <si>
    <t>PROTECTORES KOTEX X 20 EXTRA LARGO</t>
  </si>
  <si>
    <t>PROTECTORES PANTI KOTEX X 44</t>
  </si>
  <si>
    <t>REPELENTE OFF SPRAY 170 GRS</t>
  </si>
  <si>
    <t>SHAMPOO JOHNSON 200 ML</t>
  </si>
  <si>
    <t>SHAMPOO MEDICASP 130.ML</t>
  </si>
  <si>
    <t>SPLENDA BOLSA DE 100</t>
  </si>
  <si>
    <t>SPLENDA BOLSA DE 50</t>
  </si>
  <si>
    <t>STEVIA BOLSA X 100</t>
  </si>
  <si>
    <t>STEVIA BOLSA X 50</t>
  </si>
  <si>
    <t>SWEETENER BOLSA X 100</t>
  </si>
  <si>
    <t>SWEETENER BOLSA X 50</t>
  </si>
  <si>
    <t>DESODORANTE GILLET GEL 107 GRS</t>
  </si>
  <si>
    <t>TOALLA ALWAYS DIA X 8</t>
  </si>
  <si>
    <t>TOALLA HUMEDA FAMILY CHOICE</t>
  </si>
  <si>
    <t>TOALLA HUMEDA POM POM X 80</t>
  </si>
  <si>
    <t>GEORGINA</t>
  </si>
  <si>
    <t>VITAMINA E 1000 UI BLIST X 10 CAJA X 60 GELC KURANTIS</t>
  </si>
  <si>
    <t>FLUCONAZOL 200 MG X 4 CAPS HIPERFARMA</t>
  </si>
  <si>
    <t>LORATADINA 10 MG BLIST X 10 CAJA X 100</t>
  </si>
  <si>
    <t>DEZZZCANSAR 50 MG BISTER X 10 CAJA 100</t>
  </si>
  <si>
    <t>SILKA MEDIK 15 GRS</t>
  </si>
  <si>
    <t>NISSI</t>
  </si>
  <si>
    <t>SEXTRON (SILDENAFIL) 100 MG X 1TAB</t>
  </si>
  <si>
    <t>PASTA DENTAL SENSODYNE 113 GR</t>
  </si>
  <si>
    <t>DEXTROVITA AL 5% 1/2 LITRO</t>
  </si>
  <si>
    <t>ACICLOVIR 400 MG/5ML  FCO 100 ML CAPLIN</t>
  </si>
  <si>
    <t>SOLUTO VITAL 15 ML</t>
  </si>
  <si>
    <t>PIOJINA SHAMPOO 60 ML SNTE</t>
  </si>
  <si>
    <t>ESTUARDO</t>
  </si>
  <si>
    <t>SILDENALFIN 100 MG X4 TBS UMEDICA</t>
  </si>
  <si>
    <t>LANCETAS NIPRO CAJA X 100</t>
  </si>
  <si>
    <t>VITAMINA D 2000 BLIST X 15 CAJA X 30 H&amp;V</t>
  </si>
  <si>
    <t>IRBESARTAN 150/12.5MG HIDROCLO X 30 TABS CAPLIN</t>
  </si>
  <si>
    <t>LIDOCAINA 2% CAPLIN 3ML</t>
  </si>
  <si>
    <t>TINTE GALLO AMARILLO 15 grs</t>
  </si>
  <si>
    <t>TINTE GALLO ANARANJADO 15 grs</t>
  </si>
  <si>
    <t>TINTE GALLO AZUL MARINO 15 grs</t>
  </si>
  <si>
    <t>TINTE GALLO CAFÉ 15 grs</t>
  </si>
  <si>
    <t>TINTE GALLO CELESTE  15 grs</t>
  </si>
  <si>
    <t>TINTE GALLO CASTAÑO  15 grs</t>
  </si>
  <si>
    <t>TINTE GALLO GRIS 15 grs</t>
  </si>
  <si>
    <t>TINTE GALLO NEGRO 15 grs</t>
  </si>
  <si>
    <t>TINTE GALLO ROJO 15 grs</t>
  </si>
  <si>
    <t>TINTE GALLO ROSADO 15 grs</t>
  </si>
  <si>
    <t>TINTE GALLO VERDE 15 grs</t>
  </si>
  <si>
    <t>TINTE GALLO AZUL MEZCLILLA 15 grs</t>
  </si>
  <si>
    <t>LIMA PARA UÑAS</t>
  </si>
  <si>
    <t>AMOXICILINA 500 MG BLISTER X 10 CAJA X50</t>
  </si>
  <si>
    <t>BISALEX LAXANTE BLISTER X 10</t>
  </si>
  <si>
    <t>AÑILINA 1 GR CARTON X 9 0 UNID</t>
  </si>
  <si>
    <t>DESERET</t>
  </si>
  <si>
    <t>NEXT BLIST X 10 CAJA X 20</t>
  </si>
  <si>
    <t>EFFCEE + ZINC  CAJA X 12 TAB. SOBRE X 4</t>
  </si>
  <si>
    <t>ROCEFORT (CEFTRIAXONA) 1 GRAMO</t>
  </si>
  <si>
    <t>FERROCITON B CAJA X 10 AMP BEBIBLES</t>
  </si>
  <si>
    <t xml:space="preserve">CEREBREX GINKO AMP BEBIBLES X 10 </t>
  </si>
  <si>
    <t>NERVIFEN BLIST X 10 CAJA X 30 PHENIEL</t>
  </si>
  <si>
    <t>AMOXIPLUS 625 MGS (AMOX+CLAV) BALAXI CAJA X 14</t>
  </si>
  <si>
    <t>ZINC 15 MG GEL BLISTER X 10  CAJA X 50</t>
  </si>
  <si>
    <t>PANTOPRAZOL 40 MG BLIST X 10 CAJA X 100 CAPLIN</t>
  </si>
  <si>
    <t>ALCOHOL ETILICO VESA 70% SPRAY 120 ML</t>
  </si>
  <si>
    <t>EL CISNE</t>
  </si>
  <si>
    <t xml:space="preserve">UNIPEC 120 ML </t>
  </si>
  <si>
    <t>FLUCONAZOL 200 MG  X 2 CAP. CAPLIN</t>
  </si>
  <si>
    <t>GLIMEPIRIDA 4 MG BLISTER X 10 WASHINGTON</t>
  </si>
  <si>
    <t>VALERIANA+MELATONINA B X 15 CAJA X 30 (SUEÑO FLORAL )</t>
  </si>
  <si>
    <t>CEPILLO DURA CLEAN ECONOMICO</t>
  </si>
  <si>
    <t>PRUEBA DE OXIGENO</t>
  </si>
  <si>
    <t>ACEITE DE ALMENDRAS 30 ML</t>
  </si>
  <si>
    <t>SERAFON GUAYACOL+EUCALI) X 1000</t>
  </si>
  <si>
    <t>HIERRO +ACIDO FOLICO X 30 TAB. SELEC</t>
  </si>
  <si>
    <t>BENDICION</t>
  </si>
  <si>
    <t>PILDORA DE WITT BLIST X 20 CAJA X 100</t>
  </si>
  <si>
    <t xml:space="preserve">EQUIPO  PARA SUERO NIPRO  </t>
  </si>
  <si>
    <t>HIGAVYT 5 10 ML EXTRTACTO DE HIGADO</t>
  </si>
  <si>
    <t>AZITROMICINA 500 MGS CAJA X 5 SELECT</t>
  </si>
  <si>
    <t>MESI 3 ( ANTICONCEPTIVO 3 MESES) PIERSAN</t>
  </si>
  <si>
    <t>VENDA ELASTICA 3 X 5</t>
  </si>
  <si>
    <t xml:space="preserve">VENDA ELASTICA 6 X 5 </t>
  </si>
  <si>
    <t xml:space="preserve">VENDA ELASTICA 4" X 5 </t>
  </si>
  <si>
    <t xml:space="preserve">VENDA ELASTICA 2" X 5 </t>
  </si>
  <si>
    <t>CREMA NIVEA 400 ML SOFT MILK</t>
  </si>
  <si>
    <t>SOLUCION SALINA ISOTONICA LITRO</t>
  </si>
  <si>
    <t>THIORELAX (TIOCOLCHICÓSICO) 8 MG X 10 TABS</t>
  </si>
  <si>
    <t>ALGODÓN BOLSA X 25</t>
  </si>
  <si>
    <t>DULCES JOLLY RANCHER</t>
  </si>
  <si>
    <t xml:space="preserve">ZORRITONE JARABE 120 ML </t>
  </si>
  <si>
    <t>VICK PASTI MENTOL 5 X 24 SOBRES</t>
  </si>
  <si>
    <t>ZORRITONE CARAMELO BARRA CAJA X 16 CEREZA</t>
  </si>
  <si>
    <t>ZORRITONE CARAMELO BARRA CAJA X 16 MIEL LIMON</t>
  </si>
  <si>
    <t>ZORRITONE CARAMELO BARRA CAJA X 16 TRADICIONAL</t>
  </si>
  <si>
    <t>ACEITE DE COCO  SAN LUCAS 450 ML</t>
  </si>
  <si>
    <t>BOFASA</t>
  </si>
  <si>
    <t>NEO GRIPINA 500 MG INYECTADO</t>
  </si>
  <si>
    <t>CABESTRILLO  L</t>
  </si>
  <si>
    <t>ARTICULO TIENDA</t>
  </si>
  <si>
    <t>CIRUELA SEN CAJA X 15 H &amp; V</t>
  </si>
  <si>
    <t>COLCHICINA 0.5MG BLISTER X 10 CAPLIN</t>
  </si>
  <si>
    <t>KOACT 1 GR AMOX+CLAV CAJA X 15 TAB BLISTER X 5</t>
  </si>
  <si>
    <t>KOACT 62.5 AMOXI 500 ACIDOCLAV X 15 TAB BLISTER X 5</t>
  </si>
  <si>
    <t>ACETONA 120 ML PURA</t>
  </si>
  <si>
    <t>ACETONA 60 ML PURA</t>
  </si>
  <si>
    <t xml:space="preserve">CREMA NIVEA LATITA 20 ML </t>
  </si>
  <si>
    <t>CHICLES BUBA BUBA METRO</t>
  </si>
  <si>
    <t>NEOMELUBRINA AMPOLLA 2 ML</t>
  </si>
  <si>
    <t>ARTICULO BENDICION Y FE</t>
  </si>
  <si>
    <t>LUBRICANTE VIVE SASHET</t>
  </si>
  <si>
    <t>IRS TABELTA BLIST X 10 CAJA X 20</t>
  </si>
  <si>
    <t xml:space="preserve">CENTRUM KIDS </t>
  </si>
  <si>
    <t>TABCIN GRIPE Y TOS X 60 TABS EFERV (MORADO)</t>
  </si>
  <si>
    <t>NEOFEBRINA SUPOSITORIO NIÑOS 300 MGS CAJA X 5</t>
  </si>
  <si>
    <t>AMOXI+CLAV 875/125 CAJA X 14 TABS LEVECILIN AC BID</t>
  </si>
  <si>
    <t>SUKROL VIGOR MUJER X 30 TABS</t>
  </si>
  <si>
    <t>TABCIN NIÑOS X 60 EFERV</t>
  </si>
  <si>
    <t xml:space="preserve">DEXANERVISEL KIT </t>
  </si>
  <si>
    <t xml:space="preserve">GENTAMICINA 80 MG/2ML AMPOLLA CAPLIN </t>
  </si>
  <si>
    <t xml:space="preserve">EXFLU AMPOLLA PANAL SELEC </t>
  </si>
  <si>
    <t>FIBRA GEL OSO 12 GRS CAJA X 30 SASHETS</t>
  </si>
  <si>
    <t>JABON CONSENTIDO 100 GRS</t>
  </si>
  <si>
    <t>JABON PTT 100 GRS</t>
  </si>
  <si>
    <t>SHAMPOO JOHNSON 400 ML</t>
  </si>
  <si>
    <t>SHAMPOO JOHNSON 400 ML MANZANILLA</t>
  </si>
  <si>
    <t>LASAR MIMO TUBO 120 GRS</t>
  </si>
  <si>
    <t>TRIMETOSE VIJOSA 120ML JARABE</t>
  </si>
  <si>
    <t xml:space="preserve">NEOFEBRINA JARABE 100 ML </t>
  </si>
  <si>
    <t>TINTES</t>
  </si>
  <si>
    <t>AGUJA 18G X 1-1/4 ROSADA</t>
  </si>
  <si>
    <t>AGUJA 20G X 1 -1/2  AMARILLA</t>
  </si>
  <si>
    <t>MEBENDAZOL 100MG SUSP 30 ML SELEC</t>
  </si>
  <si>
    <t>SECNIDAZOL 125 MG SUSP FCO X 30 ML</t>
  </si>
  <si>
    <t>AGUJA 22 G X 1 1/2 CAPLIN (NEGRA)</t>
  </si>
  <si>
    <t>GOTAS PAPILLON BOLSA X 11</t>
  </si>
  <si>
    <t>HOJA DE BISTURI No 21</t>
  </si>
  <si>
    <t>HOJA DE BISTURI No 22</t>
  </si>
  <si>
    <t>CANESTEN TRIPLE ACCION 15 GRS</t>
  </si>
  <si>
    <t>EXPECTORANTE COMPUESTO LANCASCO 120 ML</t>
  </si>
  <si>
    <t>KOLIT BLISTER X 5 TAB</t>
  </si>
  <si>
    <t>KLORPROSIN  (CLONIS+PRO)  BLIST X 10 CAJA X 100</t>
  </si>
  <si>
    <t>HALLS CAJA X 18 SABORES</t>
  </si>
  <si>
    <t>TALCO SUDORIN 110 GRS</t>
  </si>
  <si>
    <t>ARTRIBION FORTE FCO X 100 TABS</t>
  </si>
  <si>
    <t>LIMPIA COLON FCO X 100 TABS</t>
  </si>
  <si>
    <t>DIBETES FCO X 100 TABS</t>
  </si>
  <si>
    <t>COLAGENO FCO X 100 TABS</t>
  </si>
  <si>
    <t>HIERRO KIDS 240 ML</t>
  </si>
  <si>
    <t>RIÑODREM FCO 100 TABS</t>
  </si>
  <si>
    <t>S.C.I.40 MG  BLISTER X 5 CAJA X 20</t>
  </si>
  <si>
    <t>ROWACHOL BLISTER X 10 CAJA X 50 GEL CPAS</t>
  </si>
  <si>
    <t>ZINC 20 MG KIPP B X 10 TAB CAJA X 30</t>
  </si>
  <si>
    <t>COFAL FORTE TARRO 60 GRS ROJO</t>
  </si>
  <si>
    <t>SUTURA NYLON NEGRA No 3-0</t>
  </si>
  <si>
    <t xml:space="preserve">ACETAMINOFEN MK JBE NIÑOS 120 MG X 60 ML </t>
  </si>
  <si>
    <t xml:space="preserve">BOFASA </t>
  </si>
  <si>
    <t>PANCLASA PAGUE 30 LLEVE 40 BLISTER X 10</t>
  </si>
  <si>
    <t>REPELENTE OFF LIQUIDO 177 ML</t>
  </si>
  <si>
    <t>BODEGA</t>
  </si>
  <si>
    <t>COMPRAS</t>
  </si>
  <si>
    <t xml:space="preserve">PARACETAMOL 500 MGS BLIST X 10 CAJA X 100 </t>
  </si>
  <si>
    <t>DEXTROMETORFANO  JBE 120 ML SELEC</t>
  </si>
  <si>
    <t>CREMA NIVEA 400 ML EXPRESS HYDRATATION</t>
  </si>
  <si>
    <t>ZORRIFLEM JB 180 ML</t>
  </si>
  <si>
    <t>CEFIXIMA 400 MG CAJA X 5 CAPS SELEC</t>
  </si>
  <si>
    <t>PACHA 2,5 ONZAS BABY FEEDING BOTTLE y FARLIN</t>
  </si>
  <si>
    <t>PACHA EVENFLO  Y BABY FARLIN 2 ONZ</t>
  </si>
  <si>
    <t>PACHA FIRTS ESSENTIAL 4 ONZ</t>
  </si>
  <si>
    <t>HILO DENTAL ORAL B</t>
  </si>
  <si>
    <t>CREMA NIVEA 400 ML  MILK</t>
  </si>
  <si>
    <t>NORFLOXACINA 400 MGS BLISTER X 10 BACTERIOTAL CAJA X 20</t>
  </si>
  <si>
    <t>VIVE SENSITIVO 8 CAJAS X 3 UND</t>
  </si>
  <si>
    <t>VIVE RETARDANTE TEXT 8 CAJAS X 3 UND</t>
  </si>
  <si>
    <t>LUNES AM</t>
  </si>
  <si>
    <t>LUNES PM</t>
  </si>
  <si>
    <t>MARTES AM</t>
  </si>
  <si>
    <t>MARTES PM</t>
  </si>
  <si>
    <t>MIERCO AM</t>
  </si>
  <si>
    <t>MIERCO PM</t>
  </si>
  <si>
    <t>JUEVES AM</t>
  </si>
  <si>
    <t>VIERNES AM</t>
  </si>
  <si>
    <t>VIERNES PM</t>
  </si>
  <si>
    <t>JUEVES PM</t>
  </si>
  <si>
    <t>NEUROBION 25,000 1 DOSIS CAMARA</t>
  </si>
  <si>
    <t>NEUROBION 25,000 KIT INYECTADO  1 AMP</t>
  </si>
  <si>
    <t>MARIGUANOL BOTE</t>
  </si>
  <si>
    <t>TIAZIL HIDRO/AMILORIDA 50/5 BLIST X 10 INFASA</t>
  </si>
  <si>
    <t>SENOSIAIN ADULTO SUPOSITORIO CAJA X 20</t>
  </si>
  <si>
    <t>SENOSIAIN NIÑO SUPOSITORIO CAJA X 20</t>
  </si>
  <si>
    <t>SUCRALFATO QADIRA  200 ML  SUSP</t>
  </si>
  <si>
    <t>VICK TARRO 100 GRS</t>
  </si>
  <si>
    <t>BRONCOMAT 15 ML SOL/PARA RAESPIRAR</t>
  </si>
  <si>
    <t>CHICLE TRIDENT</t>
  </si>
  <si>
    <t>BLOQUEADOR INSIGNIS SOLAR 70 GRS</t>
  </si>
  <si>
    <t>SALON IN KERATINA SASHET</t>
  </si>
  <si>
    <t>BATERIA RAYOVAC DOBLE A X 6</t>
  </si>
  <si>
    <t>ANDREA</t>
  </si>
  <si>
    <t>LA TORRE</t>
  </si>
  <si>
    <t>UNIPULMIN GRIPE Y TOS INYECTABLE</t>
  </si>
  <si>
    <t>UNIPULMIN ANTGRIPAL INYECTABLE</t>
  </si>
  <si>
    <t>COMPLEBEN INYECTADO CAJA X 7</t>
  </si>
  <si>
    <t>IBUPROFENO FORTE 800 MGS CAJA X 100 BLIST X 10</t>
  </si>
  <si>
    <t>DIPIRONA+DEXAMETASONA X 3 DOSIS</t>
  </si>
  <si>
    <t>GASA SIMPLE ESTERIL CAJA X 100 SOBRES</t>
  </si>
  <si>
    <t>TE PARA LA NOCHE CAJA X 20 SOBRES</t>
  </si>
  <si>
    <t>TE LAXANTE NATURAL CAJA X 20 SOBRES</t>
  </si>
  <si>
    <t>TE ANTIGRIPAL CAJA X 20 SOBRES</t>
  </si>
  <si>
    <t>TIAMINA 100 MG FCO X 10  ML PIERSAN</t>
  </si>
  <si>
    <t>VASELINA BLANCA 1 ONZA</t>
  </si>
  <si>
    <t>CODERPINA JBE 60 ML</t>
  </si>
  <si>
    <t>AMPICILINA+SULBACTAM 1.5 G POLVO P/SOL INYEC</t>
  </si>
  <si>
    <t>DICLOFENACO 1% GEL TUBO 25 GR BALAXI</t>
  </si>
  <si>
    <t xml:space="preserve">RECOVER 1 LT CEREZA </t>
  </si>
  <si>
    <t xml:space="preserve">RECOVER 1 LT COCO </t>
  </si>
  <si>
    <t xml:space="preserve">RECOVER 1 LT MANZANA </t>
  </si>
  <si>
    <t xml:space="preserve">RECOVER 1 LT MELOCOTON </t>
  </si>
  <si>
    <t>GENESIS</t>
  </si>
  <si>
    <t>SUEROX FRESA/KIGUI DIABETICO 630 ML</t>
  </si>
  <si>
    <t>CALLOSOL LIQUIDO (CALLOS, VERRUGAS Y MEZQUIINOS)</t>
  </si>
  <si>
    <t>SOLUCION SALINA 500 ML</t>
  </si>
  <si>
    <t>SUEROX MORA AZUL/ HIERBABUENA 630 ML</t>
  </si>
  <si>
    <t>SUEROX NARANAJA/ MANDARINA 630 ML</t>
  </si>
  <si>
    <t>JABON PARA BEBE JOHNSON ORIGINAL CREMOSO 75 GRS</t>
  </si>
  <si>
    <t>JABON PARA BEBE JOHNSON ANTES DE DORMIR 75 GRS</t>
  </si>
  <si>
    <t>LOFENAK (DICLO SOD 100 MGS) CAJA X 50 B BLIST X 10</t>
  </si>
  <si>
    <t>AMOXICILINA 250 MG/ 120 ML SELECT</t>
  </si>
  <si>
    <t>MIGRAPTAN (CLONIXATO + ERGOTAMINA) BLISTER  X 10</t>
  </si>
  <si>
    <t>LENON</t>
  </si>
  <si>
    <t>CLARITROMICINA 500 MGS BLIST X 10 BALAXI</t>
  </si>
  <si>
    <t>SUEROX UVA 630 ML</t>
  </si>
  <si>
    <t>SUEROX MANZANA 630 ML</t>
  </si>
  <si>
    <t>SUEROX COCO 630 ML</t>
  </si>
  <si>
    <t>SUEROX ALOE VERA/LYCHE 630 ML</t>
  </si>
  <si>
    <t>CARDIO MARIANO FCO X 60 (PROTECTOR HIGADO)</t>
  </si>
  <si>
    <t>CREMA LUBRIDERM MORADA LT</t>
  </si>
  <si>
    <t>CALCIO VITAMINADO AMPOLLA</t>
  </si>
  <si>
    <t xml:space="preserve">PROPOLDERMA SPRAY BUCAL 30 ML </t>
  </si>
  <si>
    <t>TRIPLE FORTE DX CAJA X 3 INYEC</t>
  </si>
  <si>
    <t>OLAM</t>
  </si>
  <si>
    <t>ARNICA GEL 120 ML</t>
  </si>
  <si>
    <t xml:space="preserve">ARNICA + MANZANILLA GEL 120 ML </t>
  </si>
  <si>
    <t xml:space="preserve">ACEITE COCO 120 ML </t>
  </si>
  <si>
    <t xml:space="preserve">POSTAVIT 25 MG CJ X 25 TAB </t>
  </si>
  <si>
    <t>ARTROSIL (GLUCOSAMINA + CONDROITINA )</t>
  </si>
  <si>
    <t xml:space="preserve">BACTID SPRAY TOPICO 30 ML </t>
  </si>
  <si>
    <t xml:space="preserve">TRINOGEL FRAMBUESA SUSP 360 ML </t>
  </si>
  <si>
    <t>AVAMIGRAN BLISTER X 10</t>
  </si>
  <si>
    <t>PACHA FIRTS ESSENTIAL 5 ONZ</t>
  </si>
  <si>
    <t>GASA SUPERIOR  3 X 10 YD</t>
  </si>
  <si>
    <t>PANADOL MUJER DISP. X 48 TAB (24 SOBRES)</t>
  </si>
  <si>
    <t>PASTA DENTAL COLGATE  SENSITIVE 100 GR ORIG</t>
  </si>
  <si>
    <t>JERINGA 60 ML SIN AGUJA  ALFA</t>
  </si>
  <si>
    <t xml:space="preserve">DEXTROVITA AL 5% 1 LITRO </t>
  </si>
  <si>
    <t xml:space="preserve">CHOCOLATES KISSES </t>
  </si>
  <si>
    <t>ALEVE MAX CAJA X 10 TAB</t>
  </si>
  <si>
    <t>COFAL TARRO 60 GRS AZUL</t>
  </si>
  <si>
    <t>GASA SUPERIOR 2 X 10 YD</t>
  </si>
  <si>
    <t>VARIFIN  FCO 100 TABS</t>
  </si>
  <si>
    <t xml:space="preserve">SECNIDAZOL SUSP 125 MG 5ML CAPLIN </t>
  </si>
  <si>
    <t xml:space="preserve">FAMOTIDINA 40 MG CAJA X 100 TAB CAPLIN </t>
  </si>
  <si>
    <t>DAYAMINERAL FCO 240 ML</t>
  </si>
  <si>
    <t>VITALFUERTE X 100 TAB</t>
  </si>
  <si>
    <t>PANADOL ULTRA X 52 SOBRES</t>
  </si>
  <si>
    <t>PANADOL EXTRAFUERTE X 50 SOBRE</t>
  </si>
  <si>
    <t>PANADOL SINUS X 26 SOBRES</t>
  </si>
  <si>
    <t xml:space="preserve">DEKA C INFANTIL  CAJA X3 AMPOLLAS </t>
  </si>
  <si>
    <t xml:space="preserve">DEKA C ADULTO CAJA X 3 AMPOLLAS </t>
  </si>
  <si>
    <t>PANADOL MULTISINTOMAS X 24 SOBRES</t>
  </si>
  <si>
    <t>APROVEL (IRBERSARTAN 150 MGS) BLIST X 14</t>
  </si>
  <si>
    <t>LEVOTIROXINA MERCK BLISTER X 25 CAJA X 100</t>
  </si>
  <si>
    <t>ESOMEPRAZOL 40 MG IV AMPOLLA LOTUS BALAXI</t>
  </si>
  <si>
    <t xml:space="preserve">ARTICULO NO SISTEMA </t>
  </si>
  <si>
    <t>TABCIN LIQUID GEL DIA X 30</t>
  </si>
  <si>
    <t>TABCIN LIQUID GEL NOCHE X 30</t>
  </si>
  <si>
    <t>TABCIN FLEMA Y CONGESTION CAJA X 30</t>
  </si>
  <si>
    <t>TABCIN GRIPE Y TOS LIQUID GEL X 30</t>
  </si>
  <si>
    <t xml:space="preserve">DOLO NEUROBION FORTE DC </t>
  </si>
  <si>
    <t xml:space="preserve">BABY STAR SHAMPOO BURBUJA </t>
  </si>
  <si>
    <t>METFORMINA 1000 MG C SEVEN CAJA X 100</t>
  </si>
  <si>
    <t xml:space="preserve">DOLGENAL 20 MG </t>
  </si>
  <si>
    <t>CURITAS HANSAPLAST TRANSPARENTE</t>
  </si>
  <si>
    <t xml:space="preserve">HIDRAVIDA MORA -AZUL </t>
  </si>
  <si>
    <t>HIDRAVIDA COCO</t>
  </si>
  <si>
    <t>DIMESUR</t>
  </si>
  <si>
    <t>HIDRAVIDA FRESA</t>
  </si>
  <si>
    <t>HIDRAVIDA NARANJA-MANDARINA</t>
  </si>
  <si>
    <t>VISINA ESTERI J&amp;J GOTAS 15 ML (TETRIZOLIN)</t>
  </si>
  <si>
    <t xml:space="preserve">EQUILIV GOTAS 10 ML </t>
  </si>
  <si>
    <t xml:space="preserve">DOLO MENALGIL KIT AMPOLLA MENARINI </t>
  </si>
  <si>
    <t>AGUA OXIGENADA 480 ML LA ENFERMERITA</t>
  </si>
  <si>
    <t>HIDRAVIDA UVA</t>
  </si>
  <si>
    <t>HIDRAVIDA LIMA LIMON</t>
  </si>
  <si>
    <t>GELPROFEN 600 MG CJ X50 CAPS</t>
  </si>
  <si>
    <t>UNICIL 1.2 MEGAS (UNIPHARM)</t>
  </si>
  <si>
    <t xml:space="preserve">FLAMYDOL AMPOLLA </t>
  </si>
  <si>
    <t>SUDAGRIP CAJA X 12 CAPSULAS</t>
  </si>
  <si>
    <t>NISTATINA CREMA SELEC</t>
  </si>
  <si>
    <t xml:space="preserve">VICK -44 EXPECT NIÑOS 120 ML </t>
  </si>
  <si>
    <t>LEVUSOL 500 ML PIÑA</t>
  </si>
  <si>
    <t>LEVUSOL 500 ML COCO</t>
  </si>
  <si>
    <t>BICARBONATO DE SODIO MEDIA LIBRA DISFAVIL</t>
  </si>
  <si>
    <t xml:space="preserve">ZORRIPULMIN 240 ML </t>
  </si>
  <si>
    <t xml:space="preserve">DEAREXIN SUSPENSIÓN 120 ML </t>
  </si>
  <si>
    <t xml:space="preserve">PRENATALES (MULTIVI+MINERA) GEL CAPS KURANTIS </t>
  </si>
  <si>
    <t>CROMATONBIC FERRO CAJA X 10 AMP BEBIBLES</t>
  </si>
  <si>
    <t>OMEGA 3 1000 MG caja x 30 BLIST. X 10 FORALSALUD</t>
  </si>
  <si>
    <t>OMEPRAZOL 40 MG VIAL IV (VITALIS)</t>
  </si>
  <si>
    <t>GABRIEL</t>
  </si>
  <si>
    <t>GARGADIN FRAMBUESA CAJA X 56 PASTI</t>
  </si>
  <si>
    <t xml:space="preserve">GARGADIN MIEL LIMON CAJA X 56 PASTI </t>
  </si>
  <si>
    <t>FAMOXIDE 40 MG CAJA DE 10 COMPRIMIDOS</t>
  </si>
  <si>
    <t>BOLSA DE ALGODÓN 160 BOLITAS SUPERIOR</t>
  </si>
  <si>
    <t>CHOCOLATES PEQUEÑOS</t>
  </si>
  <si>
    <t>METFORMINA 1G BLIST X10 TAB CAJA X 100 INFASA</t>
  </si>
  <si>
    <t>BISMUTO X 100 U</t>
  </si>
  <si>
    <t>METFORMINA 850 MG BLIST X 10 TAB INFASA</t>
  </si>
  <si>
    <t>TYLENOL ROJO EXTRA F CJ X 20 TAB 10 SOB</t>
  </si>
  <si>
    <t>CEREBREX CAPSULA BLIST X 10 CAJA X 60</t>
  </si>
  <si>
    <t>DONOVAN</t>
  </si>
  <si>
    <t>IRBERSARTAN 150 MGS CAJA X 30 BLIST X 10 SELEC</t>
  </si>
  <si>
    <t>GRIPETIN DIA CAJA X 120 CARTERITA X 4 GEL CAPS</t>
  </si>
  <si>
    <t>GRIPETIN NOCHE CAJA X 120 CARTERITA X 4 GEL CAPS</t>
  </si>
  <si>
    <t>VALSARTAN 80 MG CAJA X 30 TAB CAPLIN</t>
  </si>
  <si>
    <t>TOALLAS FACIAL SWISSPERS X 100</t>
  </si>
  <si>
    <t>ARTICULO  ESTUARDO</t>
  </si>
  <si>
    <t>ARTICULO   BENDICION</t>
  </si>
  <si>
    <t>ARTICULO   TIAENDA</t>
  </si>
  <si>
    <t>UNICIL 4 MEGAS (UNHIPHARM)</t>
  </si>
  <si>
    <t xml:space="preserve">HALLS CAJA X 12 SABORES NEGRO </t>
  </si>
  <si>
    <t>LUCAS</t>
  </si>
  <si>
    <t>MICONAZOL 2% CREMA 15 GRS CAPLIN</t>
  </si>
  <si>
    <t>UNIACT-V  JABON INTIMO FEMENINO 200 ML CAPLIN</t>
  </si>
  <si>
    <t>POMADA GMS TARRO 50 GRS</t>
  </si>
  <si>
    <t>SOLUTINA GOTAS OFTALMICAS</t>
  </si>
  <si>
    <t>ZORRITONE CARAMELO JENGIBRE POWER X 100</t>
  </si>
  <si>
    <t>PANADOL MULTISINTOMAS CAJA X 8 SOBRES</t>
  </si>
  <si>
    <t xml:space="preserve">BIFONAZOL GOTAS TOPICAS 15 ML </t>
  </si>
  <si>
    <t xml:space="preserve">FARLABORIN PHARLAND </t>
  </si>
  <si>
    <t xml:space="preserve">CON-KA ELIXIR 240 ML GLUCONATO DE POTASIO </t>
  </si>
  <si>
    <t>FENOFIBRATO 250 MGS BLIST X 10</t>
  </si>
  <si>
    <t>CEFRADOXILO 500 MG CAP CAJA X 30 BLIS X 10</t>
  </si>
  <si>
    <t>FUROSEMIDA 10 MG ML AMP BALAXI</t>
  </si>
  <si>
    <t>WINASORB JBE 60 ML</t>
  </si>
  <si>
    <t>BUTAZOLIDINA BLIS X 10 CAJA X 100 SANDOZ</t>
  </si>
  <si>
    <t>NEURO NERVIOL CAJA X 10 AMPOLLAS</t>
  </si>
  <si>
    <t>ZANAHORIA CON VIT A 40 ML</t>
  </si>
  <si>
    <t>OJO DE AGUILA CON VITA A 40 ML</t>
  </si>
  <si>
    <t>TE PARA LA PRESION CAJA X 20 SOB VIDA</t>
  </si>
  <si>
    <t>TE PARA LOS NERVIOS CAJA X 20 SOB VIDA</t>
  </si>
  <si>
    <t>TE PARA LA DIABETES CAJA X 20 SOB VIDA</t>
  </si>
  <si>
    <t>TOSSADIOS FCO CON  100 CARAMELOS</t>
  </si>
  <si>
    <t>UNESIA 20 GRS</t>
  </si>
  <si>
    <t>TRIAXOBIL S 1.5 FCO I.M /I.V.</t>
  </si>
  <si>
    <t>GINSENG ESENCIAL FCO 75 ML</t>
  </si>
  <si>
    <t>CREMA ALOE VERA 150 ML</t>
  </si>
  <si>
    <t>DULSITOS JBE 120 ML</t>
  </si>
  <si>
    <t>HIDRAVIDA JAMAICA</t>
  </si>
  <si>
    <t>COID/OLAM</t>
  </si>
  <si>
    <t>SUTURA SEDA NEGRA No 3-0</t>
  </si>
  <si>
    <t xml:space="preserve">NERVISEL 25,000  AMPOLLA PANAL SELECT </t>
  </si>
  <si>
    <t>DESENFRIOL-ITO PLUS CAJA X 24 TABLETAS MASTICABLES</t>
  </si>
  <si>
    <t>BISMUTO BEBIBLE CAJA X 10 UNIDOSIS HIPER</t>
  </si>
  <si>
    <t>BAYER</t>
  </si>
  <si>
    <t>LUBRICANTE VIVE 120 ML S. FRESA</t>
  </si>
  <si>
    <t>LUBRICANTE VIVE 120 ML NATURAL</t>
  </si>
  <si>
    <t xml:space="preserve">LOMBRINIÑOS CAJA X 40 SOBRES </t>
  </si>
  <si>
    <t>WINASORB GOTAS 15 ML</t>
  </si>
  <si>
    <t>EX-FLU NIÑOS SINUS 120 ML</t>
  </si>
  <si>
    <t xml:space="preserve">BRONCO-GRIP TOS </t>
  </si>
  <si>
    <t>MEDIDOR DE GLUCOSA PREMIER KIT</t>
  </si>
  <si>
    <t>RESTALER (LORATAD + BETA) CAJA X 10 TAB</t>
  </si>
  <si>
    <t>ALCOHOL GEL 60 GRS (FQUIMICA)</t>
  </si>
  <si>
    <t>CERENERVOL CJ X 10 AMP BEBIBLES</t>
  </si>
  <si>
    <t xml:space="preserve">ZINKVANZ (ZINC)10MG/5ML JBE 120ML SEVEN </t>
  </si>
  <si>
    <t>PIOFIN FCO 60 ML</t>
  </si>
  <si>
    <t>COLECTOR DE HECES GRANDE</t>
  </si>
  <si>
    <t>FEXADRIL(DEXCLO+BETAM) JBE 120 ML WINZER</t>
  </si>
  <si>
    <t>NEXT DIA CAJA X 40 BLIST X  10</t>
  </si>
  <si>
    <t>NEXT NOCHE CAJA X 40 BLISTER X 10</t>
  </si>
  <si>
    <t>CURITAS CAJA X 100 CUREFAST</t>
  </si>
  <si>
    <t>SERTAL GOTAS 20 ML</t>
  </si>
  <si>
    <t>TERRAMICINA UNGÜENTO 5 GRS</t>
  </si>
  <si>
    <t>VITABALANCE FEM CAJA X 40 GOMITAS</t>
  </si>
  <si>
    <t>VITABALANCE KIDS CAJA X 60 GOMITAS</t>
  </si>
  <si>
    <t>BUSCAPINA COMPUESTA BLISTER X 12 CAJA X 24</t>
  </si>
  <si>
    <t>DESODORANTE NIVEA SPRAY HOMBRE150 ML</t>
  </si>
  <si>
    <t>HIDRAVIDA MARACUYA</t>
  </si>
  <si>
    <t>CREMA TEATRICAL ACLARADORA 100 GRS</t>
  </si>
  <si>
    <t>CREMA TEATRICAL ANTI ARRUGAS 100 GRS</t>
  </si>
  <si>
    <t>CREMA BABY HERER 8 ONZ</t>
  </si>
  <si>
    <t>PULMOGRIP JBE 240 ML</t>
  </si>
  <si>
    <t>ACETAMINOFEN MK GOTAS FCO 30 ML</t>
  </si>
  <si>
    <t>ZARZAPARRILLA FCO 240 ML (HIGSA)</t>
  </si>
  <si>
    <t>ARTRI KING CAJA X 100 TABS</t>
  </si>
  <si>
    <t>ARTRI AJO KING  X 100 TAB</t>
  </si>
  <si>
    <t>DOMINAL CAJA X 100 SOBRES</t>
  </si>
  <si>
    <t>ESPASMOFIN NF (COLICOS) CAJA X 110 SOBRES</t>
  </si>
  <si>
    <t>SUKROL BEBIBLE CAJA X 10 VIAL</t>
  </si>
  <si>
    <t>AMOXI+CLAVU SUSP 312.5MG/5ML 60 ML BALAXI</t>
  </si>
  <si>
    <t>DEXASEL 0.5 MG BLISTR X 20 SELEC (DEXAMETASONA)</t>
  </si>
  <si>
    <t>SECNIDAZOL 500 MG 12 BLIST X 4 CAJA X 48</t>
  </si>
  <si>
    <t>CYCLOFEM AMPOLLA PANAL 1 ML</t>
  </si>
  <si>
    <t>ESENCIA DE CLAVO  30 ML</t>
  </si>
  <si>
    <t>CLOROMILAN CAJA X 102</t>
  </si>
  <si>
    <t xml:space="preserve">ACEITE DE BEBE BABY CHIC MEDIANO 115 ML </t>
  </si>
  <si>
    <t>ALCANFOR PURO POLVO LATA 3 GRS DISFAVIL</t>
  </si>
  <si>
    <t>ANESTEVIL GOTAS 5 ML (ANESTESICO LOCAL)</t>
  </si>
  <si>
    <t xml:space="preserve">ESENCIA DE CLAVO 15 ML DISFAVIL </t>
  </si>
  <si>
    <t xml:space="preserve">MANTECA DE CACAO MENTOLADA LATA </t>
  </si>
  <si>
    <t xml:space="preserve">CEFIXIMA 400 MG CAJA X 10 TAB </t>
  </si>
  <si>
    <t xml:space="preserve">KURAX (LEVAMISOL HCI) </t>
  </si>
  <si>
    <t>DEXA NEUROBION JER  PRELL</t>
  </si>
  <si>
    <t>SUKROL TAB  CAJA X 100</t>
  </si>
  <si>
    <t xml:space="preserve">CANESTEN EXTRA </t>
  </si>
  <si>
    <t>BUDENA 0,5 MG AMPOLLA CAJA X 5</t>
  </si>
  <si>
    <t>CABESTRILLO S Y M</t>
  </si>
  <si>
    <t xml:space="preserve">TOALLA SABA INVISIBLE BUENOS DIAS </t>
  </si>
  <si>
    <t>B PRECIO</t>
  </si>
  <si>
    <t>METHYCOBAL KIT INYEC</t>
  </si>
  <si>
    <t>BLOQUADOR SOLAR RADICAL F60 120 GRS</t>
  </si>
  <si>
    <t>LISTERINE 250 ML</t>
  </si>
  <si>
    <t>BOLSA HORINA P/PIERNA</t>
  </si>
  <si>
    <t>LANSOPRAZOL 30 MG BLIST X 10 CAJA X 50   INFASA</t>
  </si>
  <si>
    <t>MINISEC 1GM SOBRE BEBIBLE 5ML(SUCRALFATO)</t>
  </si>
  <si>
    <t>DOLO NEUROBION KIT INYECTADO 2 AMP</t>
  </si>
  <si>
    <t>DOLO NEUROBION XR BLIS X 5 TAB CAJA X 60</t>
  </si>
  <si>
    <t>RABI</t>
  </si>
  <si>
    <t>SALUPRIM TAB CAJA X 50 BLIST X 5 (TRIMETROPRIM)</t>
  </si>
  <si>
    <t xml:space="preserve">CLORURO DE MAGNESIO CAJA X 100 TAB </t>
  </si>
  <si>
    <t>BACAOLINA JARABE 480 ML</t>
  </si>
  <si>
    <t>SOLER/RABI</t>
  </si>
  <si>
    <t>MIXAGRIP  GOTAS PEDIATRICAS 15 ML</t>
  </si>
  <si>
    <t xml:space="preserve">GOMITAS OSITOS </t>
  </si>
  <si>
    <t xml:space="preserve">GOMITAS  MANGITOS </t>
  </si>
  <si>
    <t xml:space="preserve">GOMITAS  HUEVITOS </t>
  </si>
  <si>
    <t xml:space="preserve">GOMITAS  FRESITAS </t>
  </si>
  <si>
    <t>GOMITAS MORITAS</t>
  </si>
  <si>
    <t xml:space="preserve">GOMITAS CULEBRITAS </t>
  </si>
  <si>
    <t xml:space="preserve">GOMITAS DONITAS </t>
  </si>
  <si>
    <t>GOMITAS  BOLITAS AZUCAR</t>
  </si>
  <si>
    <t>BRONCUROL JBE 120 ML</t>
  </si>
  <si>
    <t>BARMICIL  TUBO 40 GRS</t>
  </si>
  <si>
    <t>KETOROLACO 20 MG BLIST X 10 CAJA X 50</t>
  </si>
  <si>
    <t>ZORRITONE CARAMELO BARRA CAJA X 12 JENGIBRE</t>
  </si>
  <si>
    <t>DEKA C JBE  ADULTO 240 ML</t>
  </si>
  <si>
    <t>DEKA C JBE NIÑO  240 ML</t>
  </si>
  <si>
    <t>PEDIALYTE FRESA 500 ML  60</t>
  </si>
  <si>
    <t>PEDIALYTE UVA 500 ML  60</t>
  </si>
  <si>
    <t>COLITRAN BLIST X 10 CAJA X 100</t>
  </si>
  <si>
    <t>MASCARILLA NEBULIZAR (ADULTO) OPERSON</t>
  </si>
  <si>
    <t>MASCARILLA NEBULIZAR  (NEONATO) OPERSON</t>
  </si>
  <si>
    <t>MASCARILLA NEBULIZAR  (NIÑO) OPERSON</t>
  </si>
  <si>
    <t>AMICELCO</t>
  </si>
  <si>
    <t>DIPRONOVA 1 ML AMP</t>
  </si>
  <si>
    <t>BENDI</t>
  </si>
  <si>
    <t>BLOQUEADOR SUN CREAM SOLAR 130 ML</t>
  </si>
  <si>
    <t>OVARICION JARABE 240 ML</t>
  </si>
  <si>
    <t>SKITTLES</t>
  </si>
  <si>
    <t>M &amp; M</t>
  </si>
  <si>
    <t>CREOLINA COMERCIAL 240 ML</t>
  </si>
  <si>
    <t>MERCURIO CROMO 2% SPRAY 120 ML</t>
  </si>
  <si>
    <t xml:space="preserve">ENVASES DE PLASTICO 120ML </t>
  </si>
  <si>
    <t>SAL INGLESA SOBRE X 25 VESA</t>
  </si>
  <si>
    <t>BEPHANTHENE POMADA 5% 30G PROTECTORA</t>
  </si>
  <si>
    <t>BEPHANTHENE CREMA 5% 30G QUEMADURAS</t>
  </si>
  <si>
    <t>AZITROMICINA POLVO SUSP 200 MG/5ML 15ML</t>
  </si>
  <si>
    <t>TERMINAL</t>
  </si>
  <si>
    <t>BIFONEX  SPRAY 1% 40 G SELEC</t>
  </si>
  <si>
    <t xml:space="preserve">WARFARINA 5 MG BLIST X 10 </t>
  </si>
  <si>
    <t>GOMITAS TENYS</t>
  </si>
  <si>
    <t>VIGORLAX MULTIVITAMINICO CAJA X 30 TABLETAS</t>
  </si>
  <si>
    <t>SILOE</t>
  </si>
  <si>
    <t>BOSMAN  CAJA X 16 SOBRE X 3 CONDONES</t>
  </si>
  <si>
    <t>FE Y GRACIA</t>
  </si>
  <si>
    <t>PIOJIN BURBUJAS CARTON X 12 BURBUJAS</t>
  </si>
  <si>
    <t>SUKROL NIÑO JARABE 240 ML</t>
  </si>
  <si>
    <t xml:space="preserve">LIMONCHO 120 GRAMOS CAJA X 10 </t>
  </si>
  <si>
    <t>GATITO (TAMARINDO TAJIN) CAJA X 50</t>
  </si>
  <si>
    <t>ALKA  AD CAJA X 72</t>
  </si>
  <si>
    <t>GOMITAS UNICORNIO</t>
  </si>
  <si>
    <t>FLAMYDOL RETARD CAJA X 48 BLIST X 4</t>
  </si>
  <si>
    <t>ALGODÓN ROLLO LIBRA</t>
  </si>
  <si>
    <t>BICARBONATO X 16 SOBRES DE 28 GRS DISFAVIL</t>
  </si>
  <si>
    <t>PROTECTORES  SENSATION  X 12</t>
  </si>
  <si>
    <t>SHAMPOO TIO NACHO 415 ML ACLARANTE</t>
  </si>
  <si>
    <t>SHAMPOO TIO NACHO 415 ML ENGROSADOR</t>
  </si>
  <si>
    <t>SHAMPOO TIO NACHO 415 ML ANTI EDAD</t>
  </si>
  <si>
    <t>PROMETEST PRUEBA DE EMBARAZO</t>
  </si>
  <si>
    <t>GLUCOSORAL 450 ML FRAMBUESA</t>
  </si>
  <si>
    <t>GLUCOSORAL 450 ML UVA</t>
  </si>
  <si>
    <t>TERMOMETRO DIGITAL MICROLIFE</t>
  </si>
  <si>
    <t>NISTATINA 30ML GOTAS SELEC</t>
  </si>
  <si>
    <t xml:space="preserve">ERMAVIGOR PLUS X 10 AMP BEBIBLE PHENIEL </t>
  </si>
  <si>
    <t>SUERO EN POLVO CEREZA  1LT CAPLIN X 50</t>
  </si>
  <si>
    <t>SUERO EN POLVO NARANJA 1 LT PROMEGAL X 25</t>
  </si>
  <si>
    <t>DOLOFOR 500 MGS (DIPIRONA MAGNESICA) BLIST X 10</t>
  </si>
  <si>
    <t>VITAPYRENA FORTE DISP X50</t>
  </si>
  <si>
    <t>CLOPRIM CAJA X 3 AMPOLLAS</t>
  </si>
  <si>
    <t>MOMMEX SPRAY NASAL 18G/18ML 140 DOSIS</t>
  </si>
  <si>
    <t>PICAFRESAS BOLSA X 100</t>
  </si>
  <si>
    <t>H Y D</t>
  </si>
  <si>
    <t>REUMETAMEX FORTE (NAPROXENO 86 MG)</t>
  </si>
  <si>
    <t>ROSADEL</t>
  </si>
  <si>
    <t>VITAMINA E 400 IU BLIS X 10 GEL CAPS CAJA X 60  KURANTIS</t>
  </si>
  <si>
    <t>TINTES OFERTA</t>
  </si>
  <si>
    <t>PAVERIN COMPUESTO CAJA X 20 TAB BLIST X 5</t>
  </si>
  <si>
    <t>BROMURO DE OTILONIO CAJA X 30 BLIST X 15</t>
  </si>
  <si>
    <t>URIN BLIST X 5 TAB CAJA X 100</t>
  </si>
  <si>
    <t>DESODORANTE OLD SPICE 85 GRS</t>
  </si>
  <si>
    <t>TOALLA SABA BUENAS NOCHES 8</t>
  </si>
  <si>
    <t>ENALAPRIL 20MG BLIST X 20 SELECT CAJA X 100</t>
  </si>
  <si>
    <t>LORATADINA 10MG  BLISTX 10 TABS CAPLIN CAJA X 100</t>
  </si>
  <si>
    <t>AZITROMICINA 500 MG CAJA X 3 TAB</t>
  </si>
  <si>
    <t>CETIRIZINA 10 MG CAJA X 10 TAB CAPLIN</t>
  </si>
  <si>
    <t>DICLOXACILINA 500 MG BLISTER X 10 CAPLIN CAJA X 100</t>
  </si>
  <si>
    <t>ETORICOXIB 60 MG CAJA X 10 TAB CAPLIN</t>
  </si>
  <si>
    <t>ETORICOXIB 90 MG CAJA X 10 TAB CAPLIN</t>
  </si>
  <si>
    <t>GABAPENTINA 400 MG BLIST X 10  CAJA X 100 ARGUS</t>
  </si>
  <si>
    <t>JERINGA 3 ML 21 X1 1/2 DIFASA CAJA X 100</t>
  </si>
  <si>
    <t>JERINGA 3 ML 23 X 1 1/4 THERFAM CAJA X 100</t>
  </si>
  <si>
    <t>JERINGA 3ML 23X1 1/12 DIFASA CAJA X 100</t>
  </si>
  <si>
    <t xml:space="preserve">LANSOPRAZOL 30MG BLIS X 10 CAJA X 100 ARGUS </t>
  </si>
  <si>
    <t>LOPERAMIDA 2MG CAJA X 100 BLIST X 20 SELECT</t>
  </si>
  <si>
    <t>METFORMINA 1 GM BLIST X 10 CAJA X 100 CAPLIN</t>
  </si>
  <si>
    <t>METFORMINA 850 MG BLIST X 10 CAJA X 100 CAPLIN</t>
  </si>
  <si>
    <t>METICOBALAMINA 500MG/ML CAJA X 5 AMP LOKET</t>
  </si>
  <si>
    <t>METOCARBAMOL BLIST X 10 CAJA X 100 CAPLIN</t>
  </si>
  <si>
    <t>METOCARBAMOL BLIST X 10 CAJA X 100 SELECT</t>
  </si>
  <si>
    <t>NAPROXENO 550 MG BLIST X 10 CAJA X 100 CAPLIN/ARGUS</t>
  </si>
  <si>
    <t>NAPROLIV  (NAPROXENO  550 MG) CAJA X 50 BLIST X 10</t>
  </si>
  <si>
    <t xml:space="preserve">SEGURA PLUS </t>
  </si>
  <si>
    <t>TELMISARTAN 80 MG CAJA X 30 BLIST X 10</t>
  </si>
  <si>
    <t>TETRACICLINA 500 MG BLISTER X 10 CAJA X 100</t>
  </si>
  <si>
    <t>DENGUINITA NIÑOS CAJA X 100 BLIST X 10</t>
  </si>
  <si>
    <t>ENTEROGERMINA AMP 2 BILLONES BEB 5 ML CJ X 20</t>
  </si>
  <si>
    <t xml:space="preserve">HIDROCORTISONA 0.25 SELEC </t>
  </si>
  <si>
    <t>LORATADINA 10MG GEL CAPS CAJA X 100 BLIST X 10</t>
  </si>
  <si>
    <t>MAGNESIA SANTE  120 ML FCO</t>
  </si>
  <si>
    <t>MENOESTROGEN FRASCO X 30 TAB</t>
  </si>
  <si>
    <t>NAUSEOL BLISTER X 10 TAB BONIN CAJA X 500</t>
  </si>
  <si>
    <t>SERTAL COMPUESTO BLIS X 10 CAJA X 200</t>
  </si>
  <si>
    <t xml:space="preserve">TE GINKO BILOBA CAJA X 20 SOBRES </t>
  </si>
  <si>
    <t xml:space="preserve">TE LIMON + JENGIBRE CAJA X 20 SOBRES </t>
  </si>
  <si>
    <t xml:space="preserve">TE MANZANILLA + TILO  CAJA X 20 SOBRES </t>
  </si>
  <si>
    <t>TE RENAL CAJA X 20 SOBRES</t>
  </si>
  <si>
    <t xml:space="preserve">TE VERDE PIÑA CAJA X 20 SOBRES </t>
  </si>
  <si>
    <t>TIAMINA 300 ANCALMO CAJA X 100</t>
  </si>
  <si>
    <t>TRAMADOL CAPSULA  CAJA X 100 BLIST X 10 MILAN</t>
  </si>
  <si>
    <t>OXIDO ZINC SOBRE 28 GRS BOLSA X  16</t>
  </si>
  <si>
    <t>PEPTOBISMOL TIRA  X 24 TAB</t>
  </si>
  <si>
    <t>NEOMELUBRINA CAJA X 100 BLIST X 4</t>
  </si>
  <si>
    <t>NIKSON CAJA X 90 BLIST X 10</t>
  </si>
  <si>
    <t>TENSIL 25 MG CAJA X 40 BLIST X 20</t>
  </si>
  <si>
    <t>CREOLINA COMERCIAL 500 ML</t>
  </si>
  <si>
    <t>NEFTALINA  BOLSA X 5 UNIDADES</t>
  </si>
  <si>
    <t>SARPIOL FCO 30 ML</t>
  </si>
  <si>
    <t>FEMITAB (KETO +CLINDA) OVULOS CAJA X 7</t>
  </si>
  <si>
    <t xml:space="preserve">ARTICULO   </t>
  </si>
  <si>
    <t>MAVIFEM CREMA VAGINAL CAJA X 6 (CLINDA+KETO)</t>
  </si>
  <si>
    <t>ALCOHOL  ELITICO LORALVA 70% 960 ML</t>
  </si>
  <si>
    <t>CANDERSARTAN 32  BLS X 10 CAJA X 30 TABS CAPLIN</t>
  </si>
  <si>
    <t xml:space="preserve">METAFE SPRAY 60 ML VESA </t>
  </si>
  <si>
    <t>ZETAWIN FORTE 1G CAJA X 20 TAB BLIST X 10</t>
  </si>
  <si>
    <t>LOSARTAN 50 MG BLIS X 10 CAJA X 100 CAPLIN</t>
  </si>
  <si>
    <t xml:space="preserve">PRELONE 20 MGS CAJA X 10 </t>
  </si>
  <si>
    <t>OMEGA 3 6 9 1200 MG VESA FCO X 100 GELCAPS</t>
  </si>
  <si>
    <t>CALCIO + MAGNESIO VESA FCO X 100 GELCAPS</t>
  </si>
  <si>
    <t>COLAGENO+ACIDO HIALURONICO VESA FCO X 100 GELCAPS</t>
  </si>
  <si>
    <t xml:space="preserve">FIBRA GUMMY 3MG VESA FCO X 40 GOMITAS </t>
  </si>
  <si>
    <t>DIAZEPAN 10 MGS MK BLIS X 10 CAJA X 100</t>
  </si>
  <si>
    <t>SUERO MIXTO 5% FCO 500 ML</t>
  </si>
  <si>
    <t>AGUJA 18G X 1-1/2 ROSADA</t>
  </si>
  <si>
    <t>AGUJA 21G X 1 X 1/2 VERDE</t>
  </si>
  <si>
    <t>CURITAS CUREBAND CAJA X 100 + 10</t>
  </si>
  <si>
    <t>PRUDENCE CAJA X 3   MENTA, FRESA,CHOCOLATE,UVA</t>
  </si>
  <si>
    <t>PRUDENCE CLASICO SOBRE X 3 PERSERVATIVO</t>
  </si>
  <si>
    <t xml:space="preserve">PRUDENCE RETARDANTE SOBRE X 3 PERSERVATIVOS </t>
  </si>
  <si>
    <t xml:space="preserve">PRUDENCE SENSITIVE SOBRE X 3 PERSERVATIVOS </t>
  </si>
  <si>
    <t>PRUDENCE ANILLOS Y PUNTOS CAJA X 3 PERSERVATIVOS</t>
  </si>
  <si>
    <t>NERVOTIAMIN D SOBRE X 4 TAB CAJA X 100  ANCALMO</t>
  </si>
  <si>
    <t>VICK VAPORUB 12G  CAJA X 12 LATITAS</t>
  </si>
  <si>
    <t>CONMEL (DIPIRONA) CAJA X 100 BLISTER X 4</t>
  </si>
  <si>
    <t>SANA SANA POMADA LATITA DE PLASTICO</t>
  </si>
  <si>
    <t xml:space="preserve">POMADA DE SULFATIAZOL 1 ONZA </t>
  </si>
  <si>
    <t>BROMHEXINA CAPLIN JARABE 120 ML</t>
  </si>
  <si>
    <t>PRINCIPAL FORTE BLIST X 5 CAJA X 60</t>
  </si>
  <si>
    <t>BROMUTIL (BROMURO DE OTILONIO)  BLIST X 10</t>
  </si>
  <si>
    <t>CIRUELAX 75 MG BLISTER X 10  GARDEN</t>
  </si>
  <si>
    <t xml:space="preserve">NITASEL NITAXOZANIDA 100MG/5ML SUS SELEC </t>
  </si>
  <si>
    <t>NITASEL NITAZOXANIDA 500MG X6TAB SELECT</t>
  </si>
  <si>
    <t xml:space="preserve">LORATADINA 5 MG JBE SELEC </t>
  </si>
  <si>
    <t>PASTA DENTAL COLGATE  SENSITIVE 100 GR PRO</t>
  </si>
  <si>
    <t>TOALLA SABA BUENAS NOCHES X 11</t>
  </si>
  <si>
    <t>DESODORANTE DOVE SPRAY 169 ML GRANADA</t>
  </si>
  <si>
    <t>DESODORANTE DOVE SPRAY 169 ML ORIGINAL</t>
  </si>
  <si>
    <t>DESODORANTE DOVE SPRAY 169 ML TONO UNIFOR</t>
  </si>
  <si>
    <t>CLOPRIM 5MG/5ML JARABE 120 ML</t>
  </si>
  <si>
    <t>SHAMPOO TIO NACHO 415 ML HERBOLARIA</t>
  </si>
  <si>
    <t>PASTA COLGATE TOTAL 12   150 ML</t>
  </si>
  <si>
    <t>AFLAC GOTAS PEDIATRICAS 15 ML  (DICLOFENACO)</t>
  </si>
  <si>
    <t xml:space="preserve">AMOXICILINA + ACIDO CLAVULANICO IV 1.2 VIAL 20ML </t>
  </si>
  <si>
    <t xml:space="preserve">MAGNESIO LIVE VIT C CAJA X 18 SOBRES </t>
  </si>
  <si>
    <t>TRIPLE C FLUID CAJA X 30 SOBRES (ACETIL,PIRIDOXINA, VIT C)</t>
  </si>
  <si>
    <t>BYF</t>
  </si>
  <si>
    <t>HIERRO SACAROSA 100/MG AMP 5ML IV CAPLIN CJ X 10</t>
  </si>
  <si>
    <t xml:space="preserve">GARGADIN SABOR NARANJA BLISTSER X 8 PASTILLAS </t>
  </si>
  <si>
    <t>DOLODIROL (ACETA+ TRAMA) CJ X 100 BLIST X 5</t>
  </si>
  <si>
    <t>COLOR VEGETAL NEGRO</t>
  </si>
  <si>
    <t>COLOR VEGETAL MORADO</t>
  </si>
  <si>
    <t>COLOR VEGETAL VERDE</t>
  </si>
  <si>
    <t>COLOR VEGETAL CELESTE</t>
  </si>
  <si>
    <t>COLOR VEGETAL TURQUESA</t>
  </si>
  <si>
    <t>COLOR VEGETAL ROSADO</t>
  </si>
  <si>
    <t>COLOR VEGETAL ANARANJADO</t>
  </si>
  <si>
    <t>COLOR VEGETAL CORINTO</t>
  </si>
  <si>
    <t>COLOR VEGETAL CAFÉ</t>
  </si>
  <si>
    <t xml:space="preserve">RAID CASA JARDIN </t>
  </si>
  <si>
    <t>BATERIA RAYOVAC TRIPLE A X 6</t>
  </si>
  <si>
    <t>COLOR VEGETAL ROJO</t>
  </si>
  <si>
    <t>COLOR VEGETAL AZUL</t>
  </si>
  <si>
    <t>TOALLA FIORE NOCTURNA</t>
  </si>
  <si>
    <t>NERVISEL TABS BLIST X 10 CAJA X 30</t>
  </si>
  <si>
    <t>SPASMOCLOR (CLORDIA+BROM DE CLID) BLISX 20 CJA X 100</t>
  </si>
  <si>
    <t>COLOR VEGETAL AMARILLO CARTON X 24</t>
  </si>
  <si>
    <t>AGUA DE ROSAS 120 ML</t>
  </si>
  <si>
    <t>SOLUCION DE IBITANE AL 5% FCO  120 ML</t>
  </si>
  <si>
    <t>CIRUELAX FORTE CAJA X 24 BLIST X 12</t>
  </si>
  <si>
    <t>REPELENTE OFF CREMA FAMILIAR 200 ML</t>
  </si>
  <si>
    <t>GLORANTA JENGIBRE- MENTA CAJA X 25 SOB X 4</t>
  </si>
  <si>
    <t xml:space="preserve">GUANTES LATEX MEDIANO X 100 </t>
  </si>
  <si>
    <t>GUANTES LATEX PEQUEÑO X 100</t>
  </si>
  <si>
    <t>GUANTES LATEX GRANDE X 100</t>
  </si>
  <si>
    <t>MELATONINA 5MGS FCO X 100 BOLSA X 10 VESA</t>
  </si>
  <si>
    <t>VITAMINA E 1000 X 100 VESA</t>
  </si>
  <si>
    <t>BROMINTER(BROMAZEPAN 3 MGS) BLIST X 20 TABS</t>
  </si>
  <si>
    <t>CLONOFAX (CLONAZEPAN 2 MG BLIST X 20 TAB</t>
  </si>
  <si>
    <t>EQUILIV 2 MG  BLIST X 10 TABS (CLONAZEPAM)</t>
  </si>
  <si>
    <t>FENOBARBITAL CAJA X 100 BLIST X 10</t>
  </si>
  <si>
    <t>LORAZEPAN 2 MG MK BLIST X 10</t>
  </si>
  <si>
    <t>SUBLIMEX (ALPRAZOLAM 0.5) BLIST X 20</t>
  </si>
  <si>
    <t>ALPRAZOLAM (LYVERIUM)  0.5 MG BLIST X 10 TABS</t>
  </si>
  <si>
    <t>CODERPINA 10 MG BLIST X 10 TAB FRYSIA CAJA X 20</t>
  </si>
  <si>
    <t>PARACETAMOL 750 MG  ECOMED CAJA X 60 TAB  BLIST X5</t>
  </si>
  <si>
    <t>SUEROX FRESA MENTA 630 ML</t>
  </si>
  <si>
    <t>SUEROX FRUTOS ROJOS 630 ML</t>
  </si>
  <si>
    <t>SUEROX LIMA LIMON 630 ML</t>
  </si>
  <si>
    <t>ARTRIBION VITAMINADO BLIST X 4 CAJA X 20 SOBRES</t>
  </si>
  <si>
    <t>CENTRUM SILVER CAJA X 60 CAPS</t>
  </si>
  <si>
    <t>CENTRUM HOMBRE CAJA X 60</t>
  </si>
  <si>
    <t>CENTRUM MUJER  CAJA X 60</t>
  </si>
  <si>
    <t xml:space="preserve">COBALEX 10 ML  VIAL VIJOSA (CIANOCOBALAMINA) </t>
  </si>
  <si>
    <t xml:space="preserve">DEXKETOPROFENO+NEUROTROPA KIT </t>
  </si>
  <si>
    <t>DOLOVITANERVO PIERSAN  BLIST X 10  CAJA X  150</t>
  </si>
  <si>
    <t>DORIVAL CAJA X 60 GRAGEAS BLIST X 12 TAB</t>
  </si>
  <si>
    <t>GASA POR UNIDAD BOLSA X 100</t>
  </si>
  <si>
    <t>GENOGASTRIL  CAJA X 2 FCOS  60 CAPS</t>
  </si>
  <si>
    <t>HEMOBEX 10 ML HIGADO CRUDO + COMPLEJO B</t>
  </si>
  <si>
    <t>NEUROBION  CAJA X 120 TAB BLIST X 5</t>
  </si>
  <si>
    <t xml:space="preserve">QG5 DUO CAJA X 2 FCOS </t>
  </si>
  <si>
    <t>TE MANZANILLA CAJA X 20 SOBRES</t>
  </si>
  <si>
    <t>SUCRADEL CAJA X 30 SOBRES</t>
  </si>
  <si>
    <t>SUCRASSYL CAJA X 30 PAHIL</t>
  </si>
  <si>
    <t>TE CHUPA GRASA CAJA X 30</t>
  </si>
  <si>
    <t>TE CHUPA PANZA CAJA X 30</t>
  </si>
  <si>
    <t>TERABIOL LANCASCO AMPIC+SULBACTAN) FCO X 70 ML</t>
  </si>
  <si>
    <t>TRES TOROS  CAJA X 10 AMPOLLAS VIAL BEBIBLE</t>
  </si>
  <si>
    <t>TUSILEXIL FCO X 120 ML</t>
  </si>
  <si>
    <t>AGUAPURA 500 ML MEMBERS</t>
  </si>
  <si>
    <t>ENERGIWOMAN BLISTER X 10</t>
  </si>
  <si>
    <t>KISAT CAJA X 30 TABS BLIST X 15</t>
  </si>
  <si>
    <t>LEVONORGESTREL DISPENSADOR X 11 TAB</t>
  </si>
  <si>
    <t xml:space="preserve">MUÑEQUERA </t>
  </si>
  <si>
    <t>NOMAGEST KIT</t>
  </si>
  <si>
    <t>PLAN B CARTERITA X 2 DISPENSADOR X 12</t>
  </si>
  <si>
    <t>PROGESTIN DEPOT 250 KIT</t>
  </si>
  <si>
    <t xml:space="preserve">RODILLERA </t>
  </si>
  <si>
    <t>SPASMO CIBALGINA BLIST X 10 TAB CAJA X 100</t>
  </si>
  <si>
    <t>TE MORINGA CAJA X 20 SOBRES</t>
  </si>
  <si>
    <t>TE DE PIÑALIN CAJA X 30 SOBRES</t>
  </si>
  <si>
    <t xml:space="preserve">TE DIGESTIVO CAJA X 20 SOBRES </t>
  </si>
  <si>
    <t xml:space="preserve">TOBILLERA </t>
  </si>
  <si>
    <t>URIKEM 300 CAJA X 30 BLIST X 10</t>
  </si>
  <si>
    <t xml:space="preserve">VIVE COOR SAB (UV,NAR, FRE,CHO,MAN, MEN) </t>
  </si>
  <si>
    <t>WINASORB ADULTO CAJA X 100 BLIST X 4</t>
  </si>
  <si>
    <t>WINASORB NIÑOS CAJA X 100 BLIST X 4</t>
  </si>
  <si>
    <t>TIRAS  PREMIER NIPRO CAJA X 50</t>
  </si>
  <si>
    <t>SIXTYNINE (SILDEN X 100 MGS) CAJA X 30 SOB Y CART X 4</t>
  </si>
  <si>
    <t xml:space="preserve">ESOGASTRIC 10 MG CAJA X  15 SOBRES </t>
  </si>
  <si>
    <t>DONADAX CAJA X 10 TABS</t>
  </si>
  <si>
    <t>FERKEL F-800 CAJA X 30 CAPS BLIST X 5</t>
  </si>
  <si>
    <t>FENITOINA SOD 100MG CAJA X  100 CAPS BLIST X 10</t>
  </si>
  <si>
    <t>METOCARBAN AC 500 MG BLIST X 10 CAJA X 30 TAB</t>
  </si>
  <si>
    <t>NEUROFORTAN BLISTER X 5 CAJA X 60</t>
  </si>
  <si>
    <t>PIREX 100 MGS DISPENSADOR X 12 CAJA X 2 TAB</t>
  </si>
  <si>
    <t>GELPROFEN 600 MG CAJA X 50 BLIST X 10</t>
  </si>
  <si>
    <t>BUDESONIDA SPRAY 200 MCG PORFONSA Y CAPLIN</t>
  </si>
  <si>
    <t>DEAREXIN 400 MG (NIFUROXAZIDA) BLIS X 4 CAJA X 8 TAB</t>
  </si>
  <si>
    <t>KOREOFIN CAPLIN</t>
  </si>
  <si>
    <t>LOSART50/12.5MG HIDRO CJ X 30  BLIST X 10 TABS CAPLIN</t>
  </si>
  <si>
    <t xml:space="preserve">LUSIA FX CAJA X 28 TAB </t>
  </si>
  <si>
    <t xml:space="preserve">MASCARILLA QUIRURGICA CELESTE CAJA X 50 </t>
  </si>
  <si>
    <t>MASCARILLA QUIRURGICA NEGRA CAJA X 50</t>
  </si>
  <si>
    <t>MASCARILLA QUIRURGICA NIÑO CAJA X 50</t>
  </si>
  <si>
    <t>MIGRADORIXINA BLIST X 10 CAJA X 100</t>
  </si>
  <si>
    <t>PREBALIX CAJA X 30 BLIST X 10 (PREGABALINA 75 MGS)</t>
  </si>
  <si>
    <t>ROYALINE 5MG CAJA  X 30 TAB BLIST X 10</t>
  </si>
  <si>
    <t>ACETAMINOFEN BAYER 500 MG CJ X 100 BLIST X 10</t>
  </si>
  <si>
    <t>GENE</t>
  </si>
  <si>
    <t>AMOXIPLUS 1 G (AMOXI+CLAV) BALAXI CJ X 14 BLIST X 7</t>
  </si>
  <si>
    <t>CARDIOVITAL CAJA X 60 BLISTER X 10</t>
  </si>
  <si>
    <t>COLIVERIO PLUS CJ X30 CAPS  BLIST X 5</t>
  </si>
  <si>
    <t>METOCLOPRAMIDA 10 MG CJX100 TAB BLIST X 10</t>
  </si>
  <si>
    <t>NEUTRAGEL BLISTER X 10 TAB (BONIN)</t>
  </si>
  <si>
    <t>PREGABALINA 75 MG CAJA X 100  BLIST X 10 CAPS</t>
  </si>
  <si>
    <t>RHELAX FLEB  POMADA 60 GRS</t>
  </si>
  <si>
    <t>ZINC 30 MG CAJA X 30  BLIST X 10 CAPS (FORAL SALUD)</t>
  </si>
  <si>
    <t>QUIMICA UN</t>
  </si>
  <si>
    <t>FERRIDOCE CAJA X 30TAB BLIST X 10</t>
  </si>
  <si>
    <t>SPASMO-UROLONG BLIST X 10TAB</t>
  </si>
  <si>
    <t>FOSFOLIP ESENC DR KENDAL CAJA X 30 BLIST X 10</t>
  </si>
  <si>
    <t xml:space="preserve">LEVOCETIRIZINA 5 MG  CAJA X 10 TAB </t>
  </si>
  <si>
    <t xml:space="preserve">LEVOGASTRIC CAJA X 30 BLISTER X 5 </t>
  </si>
  <si>
    <t>LORATADINA 10MG X BLIS X 20 CAJA X 100 SELEC</t>
  </si>
  <si>
    <t>NEUROTROPAS GEL CAPS CAJA X 50 BLIST X 10 CONAMEP</t>
  </si>
  <si>
    <t xml:space="preserve">NISTATINA SUSPENSION  30 ML CAPLIN </t>
  </si>
  <si>
    <t>OMEPRAZOL 20 MG BLISTER X 10 ARGUS CAJA X 100</t>
  </si>
  <si>
    <t>PREDNISONA 50MG BLISTER X 10 SELEC CAJA X 100</t>
  </si>
  <si>
    <t>PRENATALES C/FLUOR BLIST X 10 CAJA X 50 CONAMEP</t>
  </si>
  <si>
    <t>RELAX PLUS CAJA X 30 CAPS BLIST X 10 CONAMEP</t>
  </si>
  <si>
    <t>SENOSIDOS  CAJA X 30 BLIST X 10 CONAMEP</t>
  </si>
  <si>
    <t>SOSTENGO SILDENAFIL 100MG CAJA X 24 SOB Y CAJITA X 2 TAB</t>
  </si>
  <si>
    <t>VALSARTAN 160 CAJA X 30  BLIST X 10 TAB CAPLIN</t>
  </si>
  <si>
    <t>VITAMINAS PARA DIABETICOS CAJA X 30  BLIST X 10 GELCAPS</t>
  </si>
  <si>
    <t>ZINC 20 MG CAJA X 100  BLIST X 10 TAB CAPLIN</t>
  </si>
  <si>
    <t xml:space="preserve">LEVOFLOXACINA 750MG CAJA X 10 TABS  PROMEGAL </t>
  </si>
  <si>
    <t>PROPANOLOL 40 MG BLISTER X 20 TABS CAJA X 100 INFASA</t>
  </si>
  <si>
    <t>ACIDO FOLICO 5 MG BLISTER X 20 CAJA X 100 SELEC</t>
  </si>
  <si>
    <t>ALCOHOL 120 ML ENFERMERITA 50 %</t>
  </si>
  <si>
    <t>ATORVASTATINA 40 MG SELEC (CARTOR) CJ X 20 BLIST X 10</t>
  </si>
  <si>
    <t>CEFADROXILO 500MG BLIS X 10 CAJA 50 TAB SELECT</t>
  </si>
  <si>
    <t>CIPROFIBRATO 100MG BLISTER X 10 CAJA X 30 SELEC</t>
  </si>
  <si>
    <t>CIPROFLOXACINA 500 MGS BLIST X 10 CAJA X 100</t>
  </si>
  <si>
    <t>DOLONERVISEL BLIST X 10 CAJA X 100</t>
  </si>
  <si>
    <t>ENALAPRIL 10 MGS BLISTER X 20  CAJA X 100 SELEC</t>
  </si>
  <si>
    <t>ENALAPRIL 20 MG BLISTER X 10 CAJA X 100  CAPLIN</t>
  </si>
  <si>
    <t>ESOMEPRAZOL 40 MG BLIS X 10  CAJA X 100 BALAXI</t>
  </si>
  <si>
    <t>GLIMEPIRIDA 4 MG BLISTER X 10 CAJA X 100 CAPLIN</t>
  </si>
  <si>
    <t xml:space="preserve">IBUPROFENO+METOCARBA CAJA X 30 BLIST X 10 </t>
  </si>
  <si>
    <t>LOSARTAN 100 MG BLIS X 10 CAJA X 100 BALAXI</t>
  </si>
  <si>
    <t>LOSARTAN 50 MG BLIS X 10  CAJA X 100 BALAXI</t>
  </si>
  <si>
    <t>METFO+GLIB 850/5MG BLIST X 10 CAJA X 100 INFASA</t>
  </si>
  <si>
    <t>METFORMINA 500 MG  BLIST X 10 CAJA X 30 SELEC</t>
  </si>
  <si>
    <t>METRONIDAZOL 500 MG BLIST X 10 CAJA X 100  CAPLIN</t>
  </si>
  <si>
    <t xml:space="preserve">MUCOBROXOL 120 ML </t>
  </si>
  <si>
    <t>PREDNISONA 5MG BLIST X 20 CAJA X 100  SELEC</t>
  </si>
  <si>
    <t>PREGABALINA 150MGS CAJA X 10 TABS  CAPLIN</t>
  </si>
  <si>
    <t>PRENATALES BLISTRER X 10 CAJA X 100  TABS CAPLIN</t>
  </si>
  <si>
    <t>TINIDAZOL 500 MG BLIST X 10 CAJA X 100 CAPLIN</t>
  </si>
  <si>
    <t>VIRIMAN PLUS (TADALAFIL 20 MG SELEC) CAJA X 1 TAB</t>
  </si>
  <si>
    <t xml:space="preserve">VITAMINA C 500 MG MASTICABLE BLIST, X 10 CAJA X 100 </t>
  </si>
  <si>
    <t xml:space="preserve">ZIGNET PLUS CAJA X 10 TABS </t>
  </si>
  <si>
    <t xml:space="preserve"> ACEITE DE HIGADO X 100 SIETE MARES</t>
  </si>
  <si>
    <t xml:space="preserve">ACETAMINOFEN MK 500 MGS BLIST X 10 CAJA X 100 </t>
  </si>
  <si>
    <t>ASPIRINA ADULTO BLIST X 10 CAJA X 100</t>
  </si>
  <si>
    <t xml:space="preserve">ASPIRINA NIÑOS BLIST X 10 CAJA X 100 </t>
  </si>
  <si>
    <t xml:space="preserve">BAYKID DOLOR Y FIEBRE CAJA X 36 BLIST X 12 TAB </t>
  </si>
  <si>
    <t xml:space="preserve">BEBETINA  BLIST X 10 CAJA X 100 TAB </t>
  </si>
  <si>
    <t>BRONCUROL NF BLIST X 10 TABS</t>
  </si>
  <si>
    <t xml:space="preserve">CALMANTE SOBRE BOLSA X 100 </t>
  </si>
  <si>
    <t>CIRBRAL 25 MG BLIST X 20 CAJA X 60</t>
  </si>
  <si>
    <t xml:space="preserve">CIRBRAL FORTE 75 MG BLIST X 10 CAJA X 30 </t>
  </si>
  <si>
    <t xml:space="preserve">CITRATO DE MAGNESIA BOLSA X 16 SOBRES </t>
  </si>
  <si>
    <t>CLO-PRIM 10MG BLIST X 10 CAJA X 40 TABS</t>
  </si>
  <si>
    <t>DAPAZ (AMITRIP + CLORDIA)  CAJA X 30 BLIST X 10</t>
  </si>
  <si>
    <t>DONOFLAT PLUS BLIST X 10 CAJA X 120</t>
  </si>
  <si>
    <t>DORIVAL GEL 200MG CAJA X 36 GELCAPS</t>
  </si>
  <si>
    <t xml:space="preserve">ENTEROGUANIL ADULTO DIS X 200 BLIST X 4 TABS </t>
  </si>
  <si>
    <t xml:space="preserve">ENTEROGUANIL NIÑO DIS X 200 BLIST X 4 TABS </t>
  </si>
  <si>
    <t>LICOPODIO BOLSA X 32 SOBRES DISFAVIL</t>
  </si>
  <si>
    <t>MAGNESIA DE SALUD THERFAM DISPEN X 72 SOB</t>
  </si>
  <si>
    <t>NERVADEN CAJA X 30 BLIST X 10 CAPS</t>
  </si>
  <si>
    <t xml:space="preserve">NEUMONIL FORTE DISP X 100 BLIST X 2 TAB </t>
  </si>
  <si>
    <t>ORFENGESIC (ORFE/PARAC) BLIST X 10 CAJA X 20</t>
  </si>
  <si>
    <t>AÑILINA NEGRA</t>
  </si>
  <si>
    <t xml:space="preserve">AÑILINA CORINTA </t>
  </si>
  <si>
    <t xml:space="preserve">AÑILINA ROJA </t>
  </si>
  <si>
    <t xml:space="preserve">AÑILINA VERDE </t>
  </si>
  <si>
    <t xml:space="preserve">AÑILINA AMARILLA </t>
  </si>
  <si>
    <t xml:space="preserve">AÑILINA TURQUESA </t>
  </si>
  <si>
    <t xml:space="preserve">AÑILINA ROSADA </t>
  </si>
  <si>
    <t xml:space="preserve">AÑILINA CELESTE </t>
  </si>
  <si>
    <t xml:space="preserve">ASPIRINA FORTE CAJA X 100 BLIST X 10 </t>
  </si>
  <si>
    <t xml:space="preserve">HIGO MIEL  120 ML </t>
  </si>
  <si>
    <t xml:space="preserve">METHYCOBAL 500 MG BLIST X 10 TAB </t>
  </si>
  <si>
    <t>BAJA LENGUAS  DE MADERA CAJA X 100</t>
  </si>
  <si>
    <t>VISTA CLARA 15 ML (ANTIALERGICO)</t>
  </si>
  <si>
    <t>BALSAMICO DEL DEPORTISTA LATA 12 GRS</t>
  </si>
  <si>
    <t>MICROPORE BLANCO 1 X 10 YDS</t>
  </si>
  <si>
    <t xml:space="preserve">MICROPORE BLANCO 1/2 PULGADA </t>
  </si>
  <si>
    <t xml:space="preserve">MICROPORE PIEL 1 PULGADA </t>
  </si>
  <si>
    <t>MICROPORE PIEL 1/2 PULGADA</t>
  </si>
  <si>
    <t>METRIZOL V OVULOS CAJA X 10 (METRO+NISTA)</t>
  </si>
  <si>
    <t>TADALALFIL 20 MG X 4 TAB BALAXI DISP X 10 CAJITAS BLIST X 4</t>
  </si>
  <si>
    <t>TRAMADOL 50MG CAJA X 100 BLIST X 10 CAPLIN</t>
  </si>
  <si>
    <t>INSULINA SEMGLEE X 10 ML</t>
  </si>
  <si>
    <t>RABANO YODADO 240 ML DRAGON</t>
  </si>
  <si>
    <t>DOLO NEUROBION  CAJA X 120 BLIST X 5</t>
  </si>
  <si>
    <t xml:space="preserve">DENGUINA CAJA X 100 BLIST X 10 </t>
  </si>
  <si>
    <t xml:space="preserve">PIROXICAM 20 MG BLIST X 10 CAJA X 100  </t>
  </si>
  <si>
    <t>JERINGA INSULINA 1 CC 30X 1/2 CAJA X 100</t>
  </si>
  <si>
    <t>VITAFLENACO 25 MG CAJA X 30 BLISTER X 15</t>
  </si>
  <si>
    <t>VITAFLENACO GEL TOPICA 20 G</t>
  </si>
  <si>
    <t>ESIDEP (ESCITALOPRAM) 10 MGS BLISTER X 10</t>
  </si>
  <si>
    <t>THIMEROSAL 30 ML</t>
  </si>
  <si>
    <t>THIMEROSAL 120 ML SPRAY</t>
  </si>
  <si>
    <t xml:space="preserve">TE PERICON CAJA X 20 SOBRES  </t>
  </si>
  <si>
    <t>TE TILO CAJA X 20 SOBRES</t>
  </si>
  <si>
    <t>SOLUCION SALINA 100 ML BOLSA</t>
  </si>
  <si>
    <t>BINOTAL (AMPICILINA) 1000MG BLISTER X 6</t>
  </si>
  <si>
    <t>AMOXICILINA+CLAVUL 400/57 100 ML PHARM INTER</t>
  </si>
  <si>
    <t>ANADENT CAJA  X 100 BLIST X 4</t>
  </si>
  <si>
    <t>EXFLU ANTIGRIPAL BLISTER X 10 CAJA X 70</t>
  </si>
  <si>
    <t>BRONCOTOS ( CARB+CLORFE+DEXTRO) FCO 120 ML GEBEQUIMIC</t>
  </si>
  <si>
    <t>COLOR VEGETAL FUSIA</t>
  </si>
  <si>
    <t>CYTOTTEC CAJA X 28 TAB BLIST X 14 TAB SUBLINGUAL</t>
  </si>
  <si>
    <t>FIBRA PSLLYUM PLANTAGO 400 G</t>
  </si>
  <si>
    <t>ACANTO</t>
  </si>
  <si>
    <t>DIOSMINA CAJA X 30 BLISTER X 10 (DIOSMIL)</t>
  </si>
  <si>
    <t>ALBENDAZOL 400 MG SUSP FCO X 10 ML CAPLIN</t>
  </si>
  <si>
    <t>CEFIXIMA 100MG/5ML X FCO 60 ML ARGUS O CAPLIN</t>
  </si>
  <si>
    <t>CEFTRIAXONA 1G VIAL PANAL CAJA X 10 ARGUS</t>
  </si>
  <si>
    <t>CLOTRIMAZOL 2 % CREMA VAG 30 GRS CAPLIN</t>
  </si>
  <si>
    <t>CLOTRIMAZOL 2 % CREMA VAG 20 GRS SELEC</t>
  </si>
  <si>
    <t>GINCKO + NEURO CAJA X 60 BLIST X 10</t>
  </si>
  <si>
    <t>DICO GRIP A.M CAJA X 24 SOBRES</t>
  </si>
  <si>
    <t>DICO GRIP P.M CAJA X 24 SOBRES</t>
  </si>
  <si>
    <t>DESODORANTE NIVEA ROLL-ON PEARL &amp; BEAUTY</t>
  </si>
  <si>
    <t>DESODORANTE NIVEA ROLL-ON  EFECTO SATIN</t>
  </si>
  <si>
    <t>DESODORANTE NIVEA ROLL-ON BEAUTY TOUCH</t>
  </si>
  <si>
    <t>DICLOFENACO AMPOLLA 75 MGS</t>
  </si>
  <si>
    <t>PIROXICAM AMPOLLA 40 MGS</t>
  </si>
  <si>
    <t>DEXAMETASONA AMPOLLA 8 MG CAPLIN</t>
  </si>
  <si>
    <t>DIPIRONA AMPOLLA 2 ML CAPLIN</t>
  </si>
  <si>
    <t>COMPLEJO B BLISTER X 10 CAJA X 100 CAPLIN</t>
  </si>
  <si>
    <t>ACETAMINOFEN  500 MG BLISTR X 10 CAJA X 100</t>
  </si>
  <si>
    <t>ACICLOVIR 400 MG BLISTER X 10 CAJA X 100 CAPLIN</t>
  </si>
  <si>
    <t>ACICLOVIR 5% CREMA 10 GMS SELEC</t>
  </si>
  <si>
    <t>ACICLOVIR 5% CREMA 15 GMS CAPLIN</t>
  </si>
  <si>
    <t>ACIDO ACETILSALICILICO 100 MG BLISTER X 10 CAJA X 100</t>
  </si>
  <si>
    <t>ALBENDAZOL CAJA X 2 TAB CAPLIN Y ARGUS</t>
  </si>
  <si>
    <t>ALCOHOL  ELITICO70% 1/2 LITRO VESA</t>
  </si>
  <si>
    <t>ALCOHOL ALCANFORADO 120 ML SANTE</t>
  </si>
  <si>
    <t>ALOPURINOL 300 MG BLISTER X 10 CAJA X 100</t>
  </si>
  <si>
    <t>AMLODIPINA 10 MG BLISTER X 10 CAJA X 100</t>
  </si>
  <si>
    <t>AMLODIPINA 5 MG BLISTER X 10 CAJA X 100</t>
  </si>
  <si>
    <t xml:space="preserve">AMOXI+CLAV 400+57MG BID 70 ML (LEVECILIN) </t>
  </si>
  <si>
    <t>AMOXICILINA 500 MG BLIST X 10 CAJA X 100 (ARGUS O CAPLIN)</t>
  </si>
  <si>
    <t>AMPICILINA 500 MG BLISTER X 10 CAJA X  100</t>
  </si>
  <si>
    <t>ATENOLOL 100 MG BLIST X A10 CAJA X 100 (ARGUS O CAPLIN)</t>
  </si>
  <si>
    <t>AZITROMICINA 200 MGS FCO X 30 ML CAPLIN</t>
  </si>
  <si>
    <t>AZITROMICINA 200 MGS SUSP FCO X 15 ML SELEC</t>
  </si>
  <si>
    <t>BENZOATO DE BENCILO FCO X 120 ML SELEC</t>
  </si>
  <si>
    <t>CALCIO + VITAMINA D  BLISTER X 10 CAJA X 100 SELEC</t>
  </si>
  <si>
    <t>CARBAMAZEPINA 200 MGS BLIST X 10 CAJA X 100 CAPLIN</t>
  </si>
  <si>
    <t>CARBAMAZEPINA 200 MG BLIST X 10 CAJA X 100 SELEC</t>
  </si>
  <si>
    <t>CELECOXIB 200 MGS BLIST X 10 CAJA X 100 CAPLIN</t>
  </si>
  <si>
    <t xml:space="preserve">CIPROFLOXACINA 0.3 % SOL OFTALMICAS  FACO X 5 ML SELEC </t>
  </si>
  <si>
    <t xml:space="preserve">CLOTRIPLEX LATITA X  12.5 GRS CAJA X 40 </t>
  </si>
  <si>
    <t xml:space="preserve">COMPLEJO B JARABE CAJA X 10 SOBRES CAPLIN </t>
  </si>
  <si>
    <t>COQUELUCHE FCO 120 ML</t>
  </si>
  <si>
    <t>DESLORATADINA 5 MG BLISTER X 10 CAJA X 100 CAPLIN</t>
  </si>
  <si>
    <t>DESLORATADINA 5 MG BLISTER X 20 CAJA X 100 SELEC</t>
  </si>
  <si>
    <t>DESLORTADINA JARABE FCO X 60 ML SELEC</t>
  </si>
  <si>
    <t>DEXAMETASONA BLIST X 10 CAJA X 100 CAPLIN</t>
  </si>
  <si>
    <t>DICLOCIEN 100 MGS GEL CAPS BLIST X 10 CAJA X 100</t>
  </si>
  <si>
    <t>DICLOCIEN 100 MGS CAPS GRANU BLIST X 10 CAJA X 100</t>
  </si>
  <si>
    <t>DICLOFENACO 100 MGS SOD GEL CAPS BLIST X 10 CAJA X 100 AR</t>
  </si>
  <si>
    <t>DICLOFENACO POT 50 MG BLIST X 10 CAJA X 100 ARGUS</t>
  </si>
  <si>
    <t>DICLOFENACO SOD 50 MG BLIS X 10 CAJA X 100 SELEC</t>
  </si>
  <si>
    <t>DOLFIX 100 MGS CAPS GRANU BLIST X 10 CAJA X 100</t>
  </si>
  <si>
    <t>DOLFIX 100 MGS GEL CAPS BLIST X 10 CAJA X 20</t>
  </si>
  <si>
    <t>DOLODENT SANTE 18 ML CAJA X 12 UNIDADES</t>
  </si>
  <si>
    <t>DROPADEX 25 MGS GEL CAPS BLIST X 10 CAJA X 50</t>
  </si>
  <si>
    <t xml:space="preserve">DROPADEX DUO BLIST X 10 CAJA X 50 </t>
  </si>
  <si>
    <t>ENZITROL BLIST X 10 CAJA X 100</t>
  </si>
  <si>
    <t>ERITROMICINA SUSP 250 MGS/5ML FCO X  60 ML THERFAM</t>
  </si>
  <si>
    <t>ESOMEPRAZOL 40 MG BLIST X 10 CAJA X 100 WASHINGTON</t>
  </si>
  <si>
    <t>ESOMEPRAZOL 40 MGS BLIST X CAJA X 30 CAPLIN</t>
  </si>
  <si>
    <t>EX-FLU JARABE FCO X 120 ML MULTISINTOMAS</t>
  </si>
  <si>
    <t>FLUCONAZOL 150 MG CAJA X 2 CAPS CAPLIN</t>
  </si>
  <si>
    <t xml:space="preserve">GASTROPRAL BLIST X 10 CAJA X 100 </t>
  </si>
  <si>
    <t>GENCLOBEN CREMA TUBO 30 GMS</t>
  </si>
  <si>
    <t>GERIATRI H3 C/GINS ROJO GEL CAPS BLIST X 10 CAJA X 30 CONA</t>
  </si>
  <si>
    <t>GINKO BILOBA+G BLIST X 10 CAJA X 50 GEL CAPS  CONAMEP</t>
  </si>
  <si>
    <t>GINSENG JALEA REAL CAJA X 10 ML CAPLIN</t>
  </si>
  <si>
    <t xml:space="preserve">GLICITOS JBE FCO X 120 ML </t>
  </si>
  <si>
    <t>GLUXICAM SOBRE CAJA X 14 (MELOXICAM + GLUCOS)</t>
  </si>
  <si>
    <t xml:space="preserve">GRIIN VITAMIN LIQUIPACK SOBRE CAJA X 12 </t>
  </si>
  <si>
    <t xml:space="preserve">GUAYATOS FCO X 120 ML </t>
  </si>
  <si>
    <t xml:space="preserve">HIDROCLOROTIAZIDA 50 MG BLIST X 10 CAJA X 100 CAPLIN </t>
  </si>
  <si>
    <t xml:space="preserve">IBUPROFEN 400 MGS BLISTER X 10  CAJA X 100 ARGUS </t>
  </si>
  <si>
    <t>IBUPROFEN 600 MGS BLISTER X 10 CAJA X 100  ARGUS</t>
  </si>
  <si>
    <t>IBUPROFEN 800 MGS BLISTER X 10 CAJA X 100 ARGUS</t>
  </si>
  <si>
    <t xml:space="preserve">IBUWIN 600 GEL CAPS BLIST X 10 CAJA X 100 </t>
  </si>
  <si>
    <t>IBUWIN 400 GEL CAPS BLIST X 10  CAJA X 50</t>
  </si>
  <si>
    <t xml:space="preserve">IBUWIN FORTE  GEL CAPS BLIST X 10  CAJA X 100 </t>
  </si>
  <si>
    <t>IRBERSA+HIDRO 300/25 BLIST X 10 CAJ X 30 CAPLIN</t>
  </si>
  <si>
    <t>IRBERSARTAN 150 MG BLIST X 10 CAJA X 30CAPLIN</t>
  </si>
  <si>
    <t>IRBERSARTAN 300MG BLIST X 10 CAJA X 30 CAPLIN</t>
  </si>
  <si>
    <t>JERINGA 10 ML 21 X 1 1/2 CAJA X 100</t>
  </si>
  <si>
    <t>JERINGA 10 ML 22 X 1 1/2 CAJA X 100</t>
  </si>
  <si>
    <t xml:space="preserve">XIRMEN 4 MG /2 ML X 1 AMP INYECT </t>
  </si>
  <si>
    <t>JERINGA 5 ML 22 X 1 1/2 CAJA X 100</t>
  </si>
  <si>
    <t xml:space="preserve">PROTECTOR LABIAL JALOMA BOTE CON 60 </t>
  </si>
  <si>
    <t>CEFTRIAXONA 1G VITALIS VIAL INY</t>
  </si>
  <si>
    <t>GLORANTA TE FRUTOS ROJOS CAJA X 25 SOBRES</t>
  </si>
  <si>
    <t>GLORANTA TE LIMON/JENGIBRE CAJA X 25 SOBRES</t>
  </si>
  <si>
    <t>SUERO ORAL ANCALMO COCO X 54</t>
  </si>
  <si>
    <t>SUERO ORAL ANCALMO NARANJA X 54</t>
  </si>
  <si>
    <t>SUERO ORAL VIT ANCALMO X 54</t>
  </si>
  <si>
    <t>MICROPORE NEXCARE  BLANCO 2 X 10 YD</t>
  </si>
  <si>
    <t>MICROPORE NEXCARE BLANCO 1 X 10</t>
  </si>
  <si>
    <t>CELIA</t>
  </si>
  <si>
    <t>SAN FCO</t>
  </si>
  <si>
    <t>BROMINTER (BROMAZEPAN 3 MGS) BLIST X 20 TABS</t>
  </si>
  <si>
    <t>CLONOFAX (CLONAZEPAN 2 MG) BLIST X 20 TAB</t>
  </si>
  <si>
    <t xml:space="preserve">AGUJA 24G X 1 MORADA </t>
  </si>
  <si>
    <t>JERINGA 3 ML 22 X1 1/2 SUM SHIN CAJA X 100</t>
  </si>
  <si>
    <t>IBUPROFENO 800 GELCAPS ARGUS BLIST X 10 CAJA X 100</t>
  </si>
  <si>
    <t>APOSITOS PARA CAYOS HANSAPLAST  X 6</t>
  </si>
  <si>
    <t>CITRATO DE MAGNESIO FCO DE 60 CAPSULAS</t>
  </si>
  <si>
    <t>DIOSMINA CAJA X 30 BLISTER X 10 (DIOSMIL) (BRSESIS)</t>
  </si>
  <si>
    <t>ACIDO BORICO POLVO 1 ONZ BOLSA X 8</t>
  </si>
  <si>
    <t>PROSTALINE CAJA X 30 BLISTER X 10 CAP</t>
  </si>
  <si>
    <t xml:space="preserve">GUANTES ESTERILES CAJA X 50 </t>
  </si>
  <si>
    <t>KETOC (KETOCONAZOL OVULOS ) X 3 U</t>
  </si>
  <si>
    <t>OVARICON CAJA X 30 TAB BLISTER X 10</t>
  </si>
  <si>
    <t>CORTA UÑAS CORONA MEDIANA CAJA X 12</t>
  </si>
  <si>
    <t>PROTECTOR DE LABIOS CAJA X 13 PRICESMART</t>
  </si>
  <si>
    <t>GLORANTA MIEL MENTA  CAJA X 25 SOB X 4</t>
  </si>
  <si>
    <t>EXFLU ADULTO SINUS FCO 120 ML</t>
  </si>
  <si>
    <t>CREMA LASSAR BB COOL 120 GRS</t>
  </si>
  <si>
    <t>PB</t>
  </si>
  <si>
    <t>MEMBRANA BIO FILM UNIDAD 10 X 10</t>
  </si>
  <si>
    <t>MEDICAL</t>
  </si>
  <si>
    <t>OLMERSARTAN MEDOXOMIL 40 MGS BLIST X 10 AJA X 30 CAP</t>
  </si>
  <si>
    <t xml:space="preserve"> FECHA DE VENCIMIENTO</t>
  </si>
  <si>
    <t>HILO DENTAL ALL NATURALE</t>
  </si>
  <si>
    <t>LIDOCAINA 2 % C/PRESERVANTE VIAL 50 ML LOTUS</t>
  </si>
  <si>
    <t>S FCO</t>
  </si>
  <si>
    <t>FORASA</t>
  </si>
  <si>
    <t>RELLENITOS MIX BOLSA X 80</t>
  </si>
  <si>
    <t>LISTERINE 500 ML</t>
  </si>
  <si>
    <t>VASELINA BLANCA BEBE JALOMA 60 GRS</t>
  </si>
  <si>
    <t>PACHA EVENFLO 8 ONZ</t>
  </si>
  <si>
    <t>ERITROMICINA 500 MGS BLIST X 10 CAJA X 50</t>
  </si>
  <si>
    <t>CLOTRIMAZOL 1 % GEL TOPICO TUBO 20 GRS BALAXI</t>
  </si>
  <si>
    <t>PARANTEN (DIAZEPAN 10 MG) BIST X 10 CAJA X 40</t>
  </si>
  <si>
    <t>DEXTRIUM PLUS 75MG/25MG CAJA X 10 (DEX/TRAM)</t>
  </si>
  <si>
    <t>PASTILLA BURN 7 X 30</t>
  </si>
  <si>
    <t>PASTILLA FRUTA PLANTA X 30</t>
  </si>
  <si>
    <t>PASTILLA LIPO PRO X 30</t>
  </si>
  <si>
    <t>PASTILLA BOTANICAL SLIMING (MEIZY TANG) X 30</t>
  </si>
  <si>
    <t>PASTILLA TOMATO X 30</t>
  </si>
  <si>
    <t>PASTILLA RAPIDLY SLIMMING X 30</t>
  </si>
  <si>
    <t>CLOPIDROGEL 75 MGS BLIST X 10 CAJA X 100</t>
  </si>
  <si>
    <t>ROSUVASTATINA 20 MG BLIST X 10 SUVAATIN)</t>
  </si>
  <si>
    <t>SULFADIAZINA DE PLATA GF CREMA 1% X 15G</t>
  </si>
  <si>
    <t>SULFADIAZINA DE PLATA GF  CREMA 1% X 15G</t>
  </si>
  <si>
    <t>MEGAPHA</t>
  </si>
  <si>
    <t>RANITIDINA 50 MGS/2ML X 10 AMPOLLAS VITALIS</t>
  </si>
  <si>
    <t>HIERRO SACAROSA 100MG/5ML CAJA X 10 VITALIS</t>
  </si>
  <si>
    <t>SHAMPOO TIO NACHO PURIF CEL MADRES 415 ML</t>
  </si>
  <si>
    <t>SHAMPOO TIO NACHO ALOE 415 ML</t>
  </si>
  <si>
    <t>SHAMPOO TIO NACHO GINSENG 415 ML</t>
  </si>
  <si>
    <t>SHAMPOO TIO NACHO COCO 415 ML</t>
  </si>
  <si>
    <t xml:space="preserve">SIETE ESPIRITUS 30 ML </t>
  </si>
  <si>
    <t>CLORFENIRAMINA 4 MG BLIS X 20 SELEC CAJA X 100</t>
  </si>
  <si>
    <t>EXFLU JARABE FCO X 120 ML MULTISINTOMAS</t>
  </si>
  <si>
    <t>SAPASMOLIT BLISTER X 20</t>
  </si>
  <si>
    <t>CARDIOASPIRINA 81 MG X 30 TAB FCO</t>
  </si>
  <si>
    <t xml:space="preserve">CARDIOASPIRINA CAJA X 48 TAB </t>
  </si>
  <si>
    <t>DESODORANTE NIVEA MUJER BARRA</t>
  </si>
  <si>
    <t>DESODORANTE REXONA BARRA MUJER</t>
  </si>
  <si>
    <t>DESODORANTE REXONA BARRA CLINICAL MUJER</t>
  </si>
  <si>
    <t>DESODORANTE GILLETTE GEL H 82 GRS</t>
  </si>
  <si>
    <t xml:space="preserve">DESODORANTE LADY SPEED </t>
  </si>
  <si>
    <t>TALCO DERMO-G11 300 GRS</t>
  </si>
  <si>
    <t>AQUAMAR FCO 50 ML SPRAY NASAL</t>
  </si>
  <si>
    <t>PRICESM</t>
  </si>
  <si>
    <t>TIRAS  PREMIER NIPRO CAJA X 50 X UNIDAD</t>
  </si>
  <si>
    <t>ROWVEL</t>
  </si>
  <si>
    <t>MYDOCALM-A CAJA X 30 BLIST X 10 CAPS</t>
  </si>
  <si>
    <t xml:space="preserve">OLAM </t>
  </si>
  <si>
    <t>PARCHES PARA ACNE CAJA X 24 INVISIBLE</t>
  </si>
  <si>
    <t xml:space="preserve">GRANEODIN FRAMBUESA CAJA X 24 PASTILLAS </t>
  </si>
  <si>
    <t>SHAMPOO TIO NACHO FRUTOS ROJOS 415 ML</t>
  </si>
  <si>
    <t>NORMA CYCLE 28 FACO 240 ML (REGULADOR)</t>
  </si>
  <si>
    <t>LANSOPRAZOL 30 MGS CAJA X 100 BLIST X 10 LOTUS</t>
  </si>
  <si>
    <t>LUBRICANTE VIVE SASHET 5 ML FRESA</t>
  </si>
  <si>
    <t>RECOVER DIABETICO LITRO CEREZA</t>
  </si>
  <si>
    <t>RECOVER DIABETICO LITRO COCO</t>
  </si>
  <si>
    <t>RECOVER DIABETICO LITRO MANZANA</t>
  </si>
  <si>
    <t>DROPADEX DUO BLIST X 10 CAJA X 10</t>
  </si>
  <si>
    <t>AGUA FLOLORIDA 4 ROSAS VESA  FCO 70 ML</t>
  </si>
  <si>
    <t>AGUA FLORIDA 4 ROSAS VESA  FCO 70 ML</t>
  </si>
  <si>
    <t>PRODUCTO</t>
  </si>
  <si>
    <t>INV</t>
  </si>
  <si>
    <t>COST</t>
  </si>
  <si>
    <t>VC</t>
  </si>
  <si>
    <t>FC</t>
  </si>
  <si>
    <t>UBICA</t>
  </si>
  <si>
    <t>FF</t>
  </si>
  <si>
    <t>QUE ES</t>
  </si>
  <si>
    <t>P QUE S</t>
  </si>
  <si>
    <t>DOSIFICA</t>
  </si>
  <si>
    <t>PA</t>
  </si>
  <si>
    <t>ID</t>
  </si>
  <si>
    <t>PRESENTACION COSTO</t>
  </si>
  <si>
    <t>FRASCO</t>
  </si>
  <si>
    <t>BLISTER</t>
  </si>
  <si>
    <t>CAJA</t>
  </si>
  <si>
    <t>BOLSA</t>
  </si>
  <si>
    <t>BLSTER</t>
  </si>
  <si>
    <t>BOTELLA</t>
  </si>
  <si>
    <t>VIAL</t>
  </si>
  <si>
    <t>TABLETA</t>
  </si>
  <si>
    <t>TUBO</t>
  </si>
  <si>
    <t>LATITA</t>
  </si>
  <si>
    <t>SOBRE</t>
  </si>
  <si>
    <t>GEL CAPS</t>
  </si>
  <si>
    <t>AMPOLLA</t>
  </si>
  <si>
    <t>ESTUAR</t>
  </si>
  <si>
    <t>ACEITE DE OLIVA PREDILECTO 120 ML</t>
  </si>
  <si>
    <t>DOLOFIN DISP X 60</t>
  </si>
  <si>
    <t>PENDIE</t>
  </si>
  <si>
    <t>CUESIIGERMINA CAJA X 10 AMP PHARMAV</t>
  </si>
  <si>
    <t xml:space="preserve">ENANTYUM 25 MG CAJA X 10 TABLETAS </t>
  </si>
  <si>
    <t>CREMA DIABETEX  TX 400 ML</t>
  </si>
  <si>
    <t xml:space="preserve">CREMA LUBRIDERM 750 ML DORADA </t>
  </si>
  <si>
    <t>CREMA LUBRIDERM 400 ML PIEL SENSIBLE</t>
  </si>
  <si>
    <t>CREMA GOICOCHEA DOBLE MENTOL</t>
  </si>
  <si>
    <t>PASINERVA CAJA X 30 CAPS BLISTER X 5</t>
  </si>
  <si>
    <t>CREMA GOICOCHEA SERUM PIEL DESHIDRATADA 400 ML</t>
  </si>
  <si>
    <t>CREMA GOICOCHEA SERUM PIEL SECA 400 ML</t>
  </si>
  <si>
    <t>CREMA GOICOCHEA ARNICA Y MANZANAILLA 400 ML</t>
  </si>
  <si>
    <t>CREMA GOICOCHEA GINKO BILOBA 400 ML</t>
  </si>
  <si>
    <t>GRANEODIN FRAMBUESA CAJA X 24 BLISTER X 12</t>
  </si>
  <si>
    <t xml:space="preserve">DOLO TETRAVIT KIT </t>
  </si>
  <si>
    <t>SILVERMED /SULFADIAZINA) 30 GRS</t>
  </si>
  <si>
    <t xml:space="preserve">TRAMADOL AMPOLLA  2ML BANDEJA X 10 AMP </t>
  </si>
  <si>
    <t>ATENOLOL 100 MG BLIST X 10 CAJA X 100ARGUS</t>
  </si>
  <si>
    <t>ATENOLOL 100 MG CAPLIN BLIST X 10 CAJA X 100</t>
  </si>
  <si>
    <t>SEM 17 MAR</t>
  </si>
  <si>
    <t xml:space="preserve">  </t>
  </si>
  <si>
    <t>LAGRIMAS OCULARES SIN CAJA</t>
  </si>
  <si>
    <t xml:space="preserve">ARTICULO COIDE </t>
  </si>
  <si>
    <t>ENTEROGERMINA 4 BILLONES CAJA X 10 AMP</t>
  </si>
  <si>
    <t>TAPACH</t>
  </si>
  <si>
    <t>LEVONORGESTREL+ETINILESTRADIOL CAJA X 21 DIBA</t>
  </si>
  <si>
    <t>MICROGYNON CAJA X 21</t>
  </si>
  <si>
    <t>POMADA DE LA CAMPANA 35 GRS</t>
  </si>
  <si>
    <t xml:space="preserve">TROPIUM -750 BROMURO DE IPATROPIUM 750 MCG/ML </t>
  </si>
  <si>
    <t>GLICERINA LIQUIDA 38 ML</t>
  </si>
  <si>
    <t xml:space="preserve">GLICERINA 22 ML </t>
  </si>
  <si>
    <t>MERCURIO CROMO 30 ML</t>
  </si>
  <si>
    <t>VASELINA BLANCA 58 GRS</t>
  </si>
  <si>
    <t>CREMA LUBRIDERM 1.5 LT</t>
  </si>
  <si>
    <t>DEXA NEUROTROPAS X 3 DOSIS</t>
  </si>
  <si>
    <t xml:space="preserve">CITRATO DE POTASIO Y MAGNESIO CAJA X 60 CAPS </t>
  </si>
  <si>
    <t>BICARBONATO X 1 LIBRA DISFAVIL</t>
  </si>
  <si>
    <t>SUEROX FRESA/KIGUI 630 ML</t>
  </si>
  <si>
    <t>TIENDA</t>
  </si>
  <si>
    <t>ARTICULO GENESIS</t>
  </si>
  <si>
    <t>CLOPIDROGEL 75 MGS BLIST X 10 CAJA X 100 ABIL CHEMPHARMA</t>
  </si>
  <si>
    <t>BETAMETASONA 8 MGS AMP 2 ML ERISPAN MEXICO</t>
  </si>
  <si>
    <t xml:space="preserve">GRANEODIN MIEL LIMON CAJA X 24 PASTILLAS </t>
  </si>
  <si>
    <t>MICROGINON GENERICO X 28 TABS QUIFA</t>
  </si>
  <si>
    <t xml:space="preserve">PULMO GRIP KIT </t>
  </si>
  <si>
    <t xml:space="preserve">HISOPOS X 100 </t>
  </si>
  <si>
    <t>LANCETAS NIPRO CAJA X 100 X UNIDAD</t>
  </si>
  <si>
    <t xml:space="preserve">LANCETAS NIPRO CAJA X 100 X UNIDAD </t>
  </si>
  <si>
    <t>AMPOLLA BEBIBLE</t>
  </si>
  <si>
    <t>BIS</t>
  </si>
  <si>
    <t>SASHET</t>
  </si>
  <si>
    <t>UNIDAD</t>
  </si>
  <si>
    <t>KIT</t>
  </si>
  <si>
    <t>RU</t>
  </si>
  <si>
    <t>FELODIPINA 5 MG BLISTER X 10</t>
  </si>
  <si>
    <t>CEFTRIAXONA+SULBACTAM CAPLIN IM.IV</t>
  </si>
  <si>
    <t>GLIBENCLAMIDA 5 MG   BLISTER X 20 CAJA X 100 SELEC</t>
  </si>
  <si>
    <t>SEM 31 MAR</t>
  </si>
  <si>
    <t>SEM 7 ABRIL</t>
  </si>
  <si>
    <t xml:space="preserve">SITAGLIPTINA PHARMADEL BLIST X 10 TAB </t>
  </si>
  <si>
    <t>RECOVER DIABETICO LITRO PIÑA</t>
  </si>
  <si>
    <t>BENDIC</t>
  </si>
  <si>
    <t>COLCHICINA 0.5 MG BLISTER X 20 CAJA X 100  SELEC</t>
  </si>
  <si>
    <t>TRIMETOPRIM BLISTER X 10 TABS CAJA X 100  CAPLIN</t>
  </si>
  <si>
    <t>BENDILCION</t>
  </si>
  <si>
    <t>HENRY</t>
  </si>
  <si>
    <t>TROJAN SEGURIDAD X 3 CONDONES</t>
  </si>
  <si>
    <t>TROJAN TEXTURIZADO X 3 CONDONES</t>
  </si>
  <si>
    <t>TROJAN PIEL DESNUDA X 3 CONDONES</t>
  </si>
  <si>
    <t>TROJAN DOBLE ACCION X 3 CONDONES</t>
  </si>
  <si>
    <t xml:space="preserve">ZEPOL INHALADOR NASAL </t>
  </si>
  <si>
    <t xml:space="preserve">CRANBERRY X 100 VESA </t>
  </si>
  <si>
    <t>N/S</t>
  </si>
  <si>
    <t xml:space="preserve"> SEM 24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</si>
</sst>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Q&quot;#,##0.00;[Red]\-&quot;Q&quot;#,##0.00"/>
    <numFmt numFmtId="44" formatCode="_-&quot;Q&quot;* #,##0.00_-;\-&quot;Q&quot;* #,##0.00_-;_-&quot;Q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Q&quot;* #,##0.00_);_(&quot;Q&quot;* \(#,##0.00\);_(&quot;Q&quot;* &quot;-&quot;??_);_(@_)"/>
    <numFmt numFmtId="166" formatCode="&quot;Q&quot;#,##0.00"/>
    <numFmt numFmtId="167" formatCode="_-* #,##0_-;\-* #,##0_-;_-* &quot;-&quot;??_-;_-@_-"/>
    <numFmt numFmtId="168" formatCode="_-[$Q-100A]* #,##0.00_ ;_-[$Q-100A]* \-#,##0.00\ ;_-[$Q-100A]* &quot;-&quot;??_ ;_-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Tw Cen MT"/>
      <family val="2"/>
    </font>
    <font>
      <b/>
      <sz val="7.5"/>
      <color rgb="FF000000"/>
      <name val="Tw Cen MT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20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AEC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10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/>
    <xf numFmtId="0" fontId="2" fillId="2" borderId="1" xfId="0" applyFont="1" applyFill="1" applyBorder="1" applyAlignment="1">
      <alignment horizontal="left" inden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/>
    <xf numFmtId="0" fontId="0" fillId="2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2" borderId="3" xfId="0" applyFill="1" applyBorder="1"/>
    <xf numFmtId="165" fontId="0" fillId="0" borderId="0" xfId="2" applyFont="1" applyAlignment="1"/>
    <xf numFmtId="165" fontId="0" fillId="0" borderId="1" xfId="2" applyFont="1" applyBorder="1" applyAlignment="1"/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" xfId="1" applyFont="1" applyBorder="1" applyAlignment="1"/>
    <xf numFmtId="165" fontId="0" fillId="0" borderId="1" xfId="2" applyFont="1" applyBorder="1" applyAlignment="1">
      <alignment wrapText="1"/>
    </xf>
    <xf numFmtId="166" fontId="0" fillId="0" borderId="0" xfId="0" applyNumberFormat="1"/>
    <xf numFmtId="9" fontId="0" fillId="0" borderId="0" xfId="1" applyFont="1"/>
    <xf numFmtId="166" fontId="0" fillId="0" borderId="0" xfId="0" applyNumberFormat="1" applyBorder="1"/>
    <xf numFmtId="166" fontId="0" fillId="0" borderId="0" xfId="0" applyNumberFormat="1" applyBorder="1" applyAlignment="1">
      <alignment horizontal="center" wrapText="1"/>
    </xf>
    <xf numFmtId="9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65" fontId="0" fillId="0" borderId="1" xfId="2" applyFont="1" applyFill="1" applyBorder="1" applyAlignment="1">
      <alignment wrapText="1"/>
    </xf>
    <xf numFmtId="9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2" fontId="0" fillId="2" borderId="1" xfId="0" applyNumberFormat="1" applyFill="1" applyBorder="1" applyAlignment="1">
      <alignment horizontal="left" wrapText="1" indent="1"/>
    </xf>
    <xf numFmtId="2" fontId="0" fillId="2" borderId="1" xfId="0" applyNumberFormat="1" applyFill="1" applyBorder="1" applyAlignment="1">
      <alignment horizontal="left" indent="1"/>
    </xf>
    <xf numFmtId="0" fontId="0" fillId="0" borderId="1" xfId="0" applyNumberFormat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left" indent="1"/>
    </xf>
    <xf numFmtId="0" fontId="2" fillId="3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0" fillId="2" borderId="3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0" xfId="0" applyNumberFormat="1" applyFont="1" applyFill="1" applyAlignment="1">
      <alignment horizontal="left" indent="1"/>
    </xf>
    <xf numFmtId="2" fontId="0" fillId="4" borderId="1" xfId="0" applyNumberFormat="1" applyFill="1" applyBorder="1" applyAlignment="1">
      <alignment horizontal="left" wrapText="1" indent="1"/>
    </xf>
    <xf numFmtId="165" fontId="0" fillId="0" borderId="1" xfId="1" applyNumberFormat="1" applyFont="1" applyBorder="1" applyAlignment="1"/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indent="1"/>
    </xf>
    <xf numFmtId="0" fontId="0" fillId="2" borderId="4" xfId="0" applyFill="1" applyBorder="1"/>
    <xf numFmtId="0" fontId="0" fillId="2" borderId="5" xfId="0" applyFill="1" applyBorder="1"/>
    <xf numFmtId="0" fontId="2" fillId="2" borderId="4" xfId="0" applyNumberFormat="1" applyFont="1" applyFill="1" applyBorder="1" applyAlignment="1">
      <alignment horizontal="center" wrapText="1"/>
    </xf>
    <xf numFmtId="0" fontId="0" fillId="2" borderId="4" xfId="0" applyNumberFormat="1" applyFill="1" applyBorder="1" applyAlignment="1">
      <alignment wrapText="1"/>
    </xf>
    <xf numFmtId="0" fontId="2" fillId="2" borderId="5" xfId="0" applyNumberFormat="1" applyFont="1" applyFill="1" applyBorder="1" applyAlignment="1">
      <alignment horizontal="center" wrapText="1"/>
    </xf>
    <xf numFmtId="0" fontId="0" fillId="2" borderId="5" xfId="0" applyNumberFormat="1" applyFill="1" applyBorder="1" applyAlignment="1">
      <alignment wrapText="1"/>
    </xf>
    <xf numFmtId="2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17" fontId="0" fillId="0" borderId="1" xfId="0" applyNumberFormat="1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2" borderId="0" xfId="0" applyNumberForma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0" applyNumberFormat="1" applyBorder="1"/>
    <xf numFmtId="17" fontId="0" fillId="2" borderId="1" xfId="0" applyNumberFormat="1" applyFill="1" applyBorder="1"/>
    <xf numFmtId="0" fontId="2" fillId="0" borderId="0" xfId="0" applyFont="1" applyBorder="1"/>
    <xf numFmtId="1" fontId="2" fillId="2" borderId="0" xfId="0" applyNumberFormat="1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2" borderId="0" xfId="0" applyNumberFormat="1" applyFont="1" applyFill="1" applyBorder="1" applyAlignment="1">
      <alignment horizontal="left" indent="1"/>
    </xf>
    <xf numFmtId="165" fontId="0" fillId="0" borderId="0" xfId="2" applyFont="1" applyBorder="1" applyAlignment="1">
      <alignment wrapText="1"/>
    </xf>
    <xf numFmtId="165" fontId="0" fillId="0" borderId="0" xfId="2" applyFont="1" applyBorder="1" applyAlignment="1"/>
    <xf numFmtId="17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wrapText="1"/>
    </xf>
    <xf numFmtId="17" fontId="2" fillId="2" borderId="1" xfId="0" applyNumberFormat="1" applyFont="1" applyFill="1" applyBorder="1" applyAlignment="1">
      <alignment horizontal="center"/>
    </xf>
    <xf numFmtId="9" fontId="0" fillId="0" borderId="1" xfId="1" applyFont="1" applyBorder="1"/>
    <xf numFmtId="167" fontId="0" fillId="0" borderId="0" xfId="3" applyNumberFormat="1" applyFont="1"/>
    <xf numFmtId="0" fontId="0" fillId="2" borderId="0" xfId="0" applyFill="1"/>
    <xf numFmtId="9" fontId="0" fillId="0" borderId="1" xfId="2" applyNumberFormat="1" applyFont="1" applyBorder="1" applyAlignment="1"/>
    <xf numFmtId="17" fontId="0" fillId="2" borderId="1" xfId="0" applyNumberFormat="1" applyFont="1" applyFill="1" applyBorder="1"/>
    <xf numFmtId="17" fontId="2" fillId="2" borderId="1" xfId="0" applyNumberFormat="1" applyFont="1" applyFill="1" applyBorder="1" applyAlignment="1">
      <alignment horizontal="center" wrapText="1"/>
    </xf>
    <xf numFmtId="2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0" fillId="0" borderId="1" xfId="0" applyFont="1" applyBorder="1"/>
    <xf numFmtId="17" fontId="0" fillId="0" borderId="1" xfId="0" applyNumberFormat="1" applyFont="1" applyBorder="1"/>
    <xf numFmtId="0" fontId="0" fillId="2" borderId="1" xfId="0" applyFont="1" applyFill="1" applyBorder="1"/>
    <xf numFmtId="0" fontId="2" fillId="2" borderId="4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6" borderId="0" xfId="0" applyFill="1"/>
    <xf numFmtId="0" fontId="0" fillId="7" borderId="0" xfId="0" applyFill="1"/>
    <xf numFmtId="0" fontId="2" fillId="2" borderId="1" xfId="0" applyFont="1" applyFill="1" applyBorder="1" applyAlignment="1">
      <alignment wrapText="1"/>
    </xf>
    <xf numFmtId="0" fontId="0" fillId="8" borderId="0" xfId="0" applyFill="1"/>
    <xf numFmtId="17" fontId="0" fillId="2" borderId="1" xfId="0" applyNumberForma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wrapText="1"/>
    </xf>
    <xf numFmtId="17" fontId="0" fillId="2" borderId="4" xfId="0" applyNumberFormat="1" applyFill="1" applyBorder="1" applyAlignment="1">
      <alignment horizontal="center"/>
    </xf>
    <xf numFmtId="0" fontId="0" fillId="2" borderId="3" xfId="0" applyFont="1" applyFill="1" applyBorder="1"/>
    <xf numFmtId="0" fontId="0" fillId="2" borderId="4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left" indent="1"/>
    </xf>
    <xf numFmtId="0" fontId="0" fillId="5" borderId="1" xfId="0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0" fillId="2" borderId="2" xfId="0" applyFill="1" applyBorder="1"/>
    <xf numFmtId="9" fontId="0" fillId="2" borderId="1" xfId="0" applyNumberFormat="1" applyFill="1" applyBorder="1" applyAlignment="1">
      <alignment horizontal="center"/>
    </xf>
    <xf numFmtId="165" fontId="0" fillId="2" borderId="1" xfId="2" applyFont="1" applyFill="1" applyBorder="1" applyAlignment="1">
      <alignment wrapText="1"/>
    </xf>
    <xf numFmtId="165" fontId="0" fillId="2" borderId="1" xfId="2" applyFont="1" applyFill="1" applyBorder="1" applyAlignment="1"/>
    <xf numFmtId="9" fontId="0" fillId="2" borderId="1" xfId="0" applyNumberFormat="1" applyFill="1" applyBorder="1" applyAlignment="1">
      <alignment horizontal="center" wrapText="1"/>
    </xf>
    <xf numFmtId="165" fontId="0" fillId="2" borderId="4" xfId="2" applyFont="1" applyFill="1" applyBorder="1" applyAlignment="1">
      <alignment wrapText="1"/>
    </xf>
    <xf numFmtId="0" fontId="0" fillId="2" borderId="0" xfId="0" applyFill="1" applyBorder="1"/>
    <xf numFmtId="166" fontId="0" fillId="2" borderId="0" xfId="0" applyNumberFormat="1" applyFill="1"/>
    <xf numFmtId="9" fontId="0" fillId="2" borderId="0" xfId="1" applyFont="1" applyFill="1"/>
    <xf numFmtId="0" fontId="0" fillId="2" borderId="2" xfId="0" applyFont="1" applyFill="1" applyBorder="1"/>
    <xf numFmtId="0" fontId="0" fillId="2" borderId="5" xfId="0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1" fontId="0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0" xfId="0" applyFont="1" applyFill="1" applyBorder="1"/>
    <xf numFmtId="0" fontId="6" fillId="2" borderId="3" xfId="0" applyFont="1" applyFill="1" applyBorder="1"/>
    <xf numFmtId="0" fontId="7" fillId="2" borderId="1" xfId="0" applyFont="1" applyFill="1" applyBorder="1"/>
    <xf numFmtId="0" fontId="0" fillId="2" borderId="0" xfId="0" applyFont="1" applyFill="1" applyBorder="1"/>
    <xf numFmtId="0" fontId="4" fillId="2" borderId="0" xfId="0" applyFont="1" applyFill="1"/>
    <xf numFmtId="0" fontId="0" fillId="2" borderId="0" xfId="0" applyFont="1" applyFill="1"/>
    <xf numFmtId="0" fontId="5" fillId="2" borderId="1" xfId="0" applyFont="1" applyFill="1" applyBorder="1"/>
    <xf numFmtId="0" fontId="2" fillId="0" borderId="7" xfId="0" applyFont="1" applyBorder="1"/>
    <xf numFmtId="2" fontId="2" fillId="0" borderId="7" xfId="0" applyNumberFormat="1" applyFont="1" applyBorder="1" applyAlignment="1">
      <alignment horizontal="center"/>
    </xf>
    <xf numFmtId="2" fontId="2" fillId="2" borderId="7" xfId="0" applyNumberFormat="1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center"/>
    </xf>
    <xf numFmtId="165" fontId="0" fillId="0" borderId="1" xfId="2" applyFont="1" applyBorder="1" applyAlignment="1">
      <alignment horizontal="center"/>
    </xf>
    <xf numFmtId="165" fontId="0" fillId="0" borderId="1" xfId="2" applyFont="1" applyFill="1" applyBorder="1" applyAlignment="1">
      <alignment horizontal="center" wrapText="1"/>
    </xf>
    <xf numFmtId="9" fontId="0" fillId="0" borderId="1" xfId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0" fillId="9" borderId="0" xfId="0" applyFill="1"/>
    <xf numFmtId="17" fontId="0" fillId="2" borderId="1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indent="1"/>
    </xf>
    <xf numFmtId="165" fontId="0" fillId="0" borderId="1" xfId="2" applyNumberFormat="1" applyFont="1" applyBorder="1" applyAlignment="1"/>
    <xf numFmtId="164" fontId="0" fillId="0" borderId="0" xfId="0" applyNumberFormat="1"/>
    <xf numFmtId="0" fontId="10" fillId="2" borderId="1" xfId="0" applyFont="1" applyFill="1" applyBorder="1"/>
    <xf numFmtId="1" fontId="2" fillId="10" borderId="1" xfId="0" applyNumberFormat="1" applyFont="1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 wrapText="1"/>
    </xf>
    <xf numFmtId="0" fontId="0" fillId="5" borderId="1" xfId="0" applyFont="1" applyFill="1" applyBorder="1" applyAlignment="1">
      <alignment horizontal="right"/>
    </xf>
    <xf numFmtId="1" fontId="0" fillId="5" borderId="1" xfId="0" applyNumberFormat="1" applyFont="1" applyFill="1" applyBorder="1" applyAlignment="1">
      <alignment horizontal="right"/>
    </xf>
    <xf numFmtId="2" fontId="11" fillId="2" borderId="1" xfId="0" applyNumberFormat="1" applyFont="1" applyFill="1" applyBorder="1" applyAlignment="1">
      <alignment horizontal="center"/>
    </xf>
    <xf numFmtId="17" fontId="2" fillId="2" borderId="4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2" fontId="0" fillId="4" borderId="1" xfId="0" applyNumberFormat="1" applyFont="1" applyFill="1" applyBorder="1" applyAlignment="1">
      <alignment horizontal="center" wrapText="1"/>
    </xf>
    <xf numFmtId="2" fontId="0" fillId="2" borderId="1" xfId="0" applyNumberFormat="1" applyFon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" fontId="0" fillId="2" borderId="3" xfId="0" applyNumberFormat="1" applyFont="1" applyFill="1" applyBorder="1" applyAlignment="1">
      <alignment horizontal="center"/>
    </xf>
    <xf numFmtId="17" fontId="0" fillId="2" borderId="1" xfId="0" applyNumberFormat="1" applyFont="1" applyFill="1" applyBorder="1" applyAlignment="1">
      <alignment horizontal="center" vertical="center"/>
    </xf>
    <xf numFmtId="17" fontId="0" fillId="2" borderId="4" xfId="0" applyNumberFormat="1" applyFont="1" applyFill="1" applyBorder="1" applyAlignment="1">
      <alignment horizontal="center"/>
    </xf>
    <xf numFmtId="17" fontId="0" fillId="0" borderId="1" xfId="0" applyNumberFormat="1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17" fontId="0" fillId="0" borderId="4" xfId="0" applyNumberFormat="1" applyFont="1" applyBorder="1" applyAlignment="1">
      <alignment horizontal="center"/>
    </xf>
    <xf numFmtId="0" fontId="0" fillId="5" borderId="1" xfId="0" applyFont="1" applyFill="1" applyBorder="1" applyAlignment="1">
      <alignment horizontal="right" vertical="center"/>
    </xf>
    <xf numFmtId="1" fontId="0" fillId="5" borderId="1" xfId="0" applyNumberFormat="1" applyFont="1" applyFill="1" applyBorder="1" applyAlignment="1">
      <alignment horizontal="right" vertical="center"/>
    </xf>
    <xf numFmtId="0" fontId="0" fillId="2" borderId="4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2" fontId="0" fillId="2" borderId="1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wrapText="1"/>
    </xf>
    <xf numFmtId="2" fontId="0" fillId="0" borderId="1" xfId="0" applyNumberFormat="1" applyFont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66" fontId="0" fillId="0" borderId="1" xfId="1" applyNumberFormat="1" applyFont="1" applyBorder="1" applyAlignment="1"/>
    <xf numFmtId="0" fontId="0" fillId="0" borderId="1" xfId="0" applyFill="1" applyBorder="1" applyAlignment="1">
      <alignment wrapText="1"/>
    </xf>
    <xf numFmtId="2" fontId="0" fillId="2" borderId="1" xfId="0" applyNumberFormat="1" applyFill="1" applyBorder="1" applyAlignment="1">
      <alignment horizontal="center" wrapText="1"/>
    </xf>
    <xf numFmtId="17" fontId="11" fillId="2" borderId="1" xfId="0" applyNumberFormat="1" applyFont="1" applyFill="1" applyBorder="1"/>
    <xf numFmtId="17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horizontal="center" textRotation="90" wrapText="1"/>
    </xf>
    <xf numFmtId="17" fontId="11" fillId="2" borderId="1" xfId="0" applyNumberFormat="1" applyFont="1" applyFill="1" applyBorder="1" applyAlignment="1">
      <alignment horizontal="center"/>
    </xf>
    <xf numFmtId="17" fontId="11" fillId="0" borderId="1" xfId="0" applyNumberFormat="1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/>
    </xf>
    <xf numFmtId="165" fontId="11" fillId="0" borderId="1" xfId="2" applyFont="1" applyBorder="1" applyAlignment="1">
      <alignment horizontal="center" wrapText="1"/>
    </xf>
    <xf numFmtId="165" fontId="11" fillId="0" borderId="1" xfId="2" applyFont="1" applyBorder="1" applyAlignment="1">
      <alignment horizontal="center"/>
    </xf>
    <xf numFmtId="17" fontId="0" fillId="0" borderId="1" xfId="0" applyNumberFormat="1" applyBorder="1" applyAlignment="1"/>
    <xf numFmtId="0" fontId="11" fillId="0" borderId="1" xfId="0" applyFont="1" applyBorder="1"/>
    <xf numFmtId="0" fontId="11" fillId="2" borderId="0" xfId="0" applyFont="1" applyFill="1" applyAlignment="1">
      <alignment horizontal="center"/>
    </xf>
    <xf numFmtId="1" fontId="5" fillId="10" borderId="1" xfId="0" applyNumberFormat="1" applyFont="1" applyFill="1" applyBorder="1" applyAlignment="1">
      <alignment horizontal="center" wrapText="1"/>
    </xf>
    <xf numFmtId="17" fontId="0" fillId="2" borderId="1" xfId="0" applyNumberFormat="1" applyFill="1" applyBorder="1" applyAlignment="1"/>
    <xf numFmtId="0" fontId="0" fillId="2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4" xfId="0" applyNumberFormat="1" applyFont="1" applyFill="1" applyBorder="1" applyAlignment="1">
      <alignment horizontal="center"/>
    </xf>
    <xf numFmtId="1" fontId="2" fillId="10" borderId="1" xfId="0" applyNumberFormat="1" applyFont="1" applyFill="1" applyBorder="1" applyAlignment="1">
      <alignment horizontal="center" textRotation="90" wrapText="1"/>
    </xf>
    <xf numFmtId="0" fontId="0" fillId="5" borderId="1" xfId="0" applyFont="1" applyFill="1" applyBorder="1" applyAlignment="1">
      <alignment horizontal="right" textRotation="90" wrapText="1"/>
    </xf>
    <xf numFmtId="0" fontId="0" fillId="2" borderId="1" xfId="0" applyFill="1" applyBorder="1" applyAlignment="1">
      <alignment horizontal="center" textRotation="90" wrapText="1"/>
    </xf>
    <xf numFmtId="2" fontId="6" fillId="4" borderId="1" xfId="0" applyNumberFormat="1" applyFont="1" applyFill="1" applyBorder="1" applyAlignment="1">
      <alignment horizontal="center" textRotation="90" wrapText="1"/>
    </xf>
    <xf numFmtId="0" fontId="3" fillId="2" borderId="4" xfId="0" applyNumberFormat="1" applyFont="1" applyFill="1" applyBorder="1" applyAlignment="1">
      <alignment textRotation="90" wrapText="1"/>
    </xf>
    <xf numFmtId="0" fontId="0" fillId="5" borderId="1" xfId="0" applyFill="1" applyBorder="1" applyAlignment="1">
      <alignment horizontal="right" textRotation="90" wrapText="1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textRotation="88" wrapText="1"/>
    </xf>
    <xf numFmtId="0" fontId="2" fillId="2" borderId="4" xfId="0" applyNumberFormat="1" applyFont="1" applyFill="1" applyBorder="1" applyAlignment="1">
      <alignment textRotation="88" wrapText="1"/>
    </xf>
    <xf numFmtId="0" fontId="0" fillId="5" borderId="1" xfId="0" applyFont="1" applyFill="1" applyBorder="1" applyAlignment="1">
      <alignment horizontal="center" textRotation="88" wrapText="1"/>
    </xf>
    <xf numFmtId="0" fontId="0" fillId="5" borderId="1" xfId="0" applyFont="1" applyFill="1" applyBorder="1" applyAlignment="1">
      <alignment horizontal="right" textRotation="88" wrapText="1"/>
    </xf>
    <xf numFmtId="2" fontId="0" fillId="4" borderId="1" xfId="0" applyNumberFormat="1" applyFill="1" applyBorder="1" applyAlignment="1">
      <alignment horizontal="center" textRotation="90" wrapText="1"/>
    </xf>
    <xf numFmtId="0" fontId="2" fillId="2" borderId="4" xfId="0" applyNumberFormat="1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2" fillId="4" borderId="1" xfId="0" applyNumberFormat="1" applyFont="1" applyFill="1" applyBorder="1" applyAlignment="1">
      <alignment horizontal="center" textRotation="90" wrapText="1"/>
    </xf>
    <xf numFmtId="17" fontId="0" fillId="2" borderId="4" xfId="0" applyNumberFormat="1" applyFill="1" applyBorder="1"/>
    <xf numFmtId="0" fontId="2" fillId="2" borderId="4" xfId="0" applyNumberFormat="1" applyFont="1" applyFill="1" applyBorder="1" applyAlignment="1">
      <alignment textRotation="90" wrapText="1"/>
    </xf>
    <xf numFmtId="0" fontId="0" fillId="2" borderId="1" xfId="0" applyNumberFormat="1" applyFont="1" applyFill="1" applyBorder="1" applyAlignment="1">
      <alignment horizontal="right"/>
    </xf>
    <xf numFmtId="0" fontId="0" fillId="2" borderId="8" xfId="0" applyNumberFormat="1" applyFont="1" applyFill="1" applyBorder="1" applyAlignment="1">
      <alignment horizontal="center"/>
    </xf>
    <xf numFmtId="0" fontId="11" fillId="2" borderId="1" xfId="0" applyNumberFormat="1" applyFont="1" applyFill="1" applyBorder="1"/>
    <xf numFmtId="0" fontId="11" fillId="2" borderId="4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 textRotation="90" wrapText="1"/>
    </xf>
    <xf numFmtId="0" fontId="0" fillId="12" borderId="1" xfId="0" applyFill="1" applyBorder="1" applyAlignment="1">
      <alignment horizontal="center" textRotation="90" wrapText="1"/>
    </xf>
    <xf numFmtId="1" fontId="2" fillId="13" borderId="2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0" fontId="2" fillId="2" borderId="3" xfId="0" applyFont="1" applyFill="1" applyBorder="1"/>
    <xf numFmtId="17" fontId="11" fillId="2" borderId="4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textRotation="88" wrapText="1"/>
    </xf>
    <xf numFmtId="0" fontId="5" fillId="13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wrapText="1"/>
    </xf>
    <xf numFmtId="9" fontId="0" fillId="7" borderId="0" xfId="0" applyNumberFormat="1" applyFill="1" applyBorder="1" applyAlignment="1">
      <alignment horizontal="center"/>
    </xf>
    <xf numFmtId="166" fontId="0" fillId="7" borderId="0" xfId="0" applyNumberFormat="1" applyFill="1" applyBorder="1" applyAlignment="1">
      <alignment horizontal="center" wrapText="1"/>
    </xf>
    <xf numFmtId="166" fontId="0" fillId="7" borderId="0" xfId="0" applyNumberFormat="1" applyFill="1" applyBorder="1"/>
    <xf numFmtId="4" fontId="0" fillId="2" borderId="0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textRotation="90" wrapText="1"/>
    </xf>
    <xf numFmtId="17" fontId="0" fillId="0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textRotation="88" wrapText="1"/>
    </xf>
    <xf numFmtId="0" fontId="12" fillId="15" borderId="1" xfId="0" applyFont="1" applyFill="1" applyBorder="1" applyAlignment="1">
      <alignment horizontal="right" wrapText="1"/>
    </xf>
    <xf numFmtId="0" fontId="0" fillId="11" borderId="1" xfId="0" applyFill="1" applyBorder="1"/>
    <xf numFmtId="0" fontId="0" fillId="4" borderId="1" xfId="0" applyFill="1" applyBorder="1"/>
    <xf numFmtId="0" fontId="0" fillId="4" borderId="0" xfId="0" applyFill="1"/>
    <xf numFmtId="0" fontId="2" fillId="0" borderId="4" xfId="0" applyFont="1" applyFill="1" applyBorder="1" applyAlignment="1">
      <alignment horizontal="center"/>
    </xf>
    <xf numFmtId="1" fontId="0" fillId="2" borderId="2" xfId="0" applyNumberFormat="1" applyFill="1" applyBorder="1" applyAlignment="1">
      <alignment horizontal="center" wrapText="1"/>
    </xf>
    <xf numFmtId="0" fontId="0" fillId="5" borderId="1" xfId="0" applyFont="1" applyFill="1" applyBorder="1" applyAlignment="1">
      <alignment horizontal="center" textRotation="88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1" fillId="2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0" fillId="0" borderId="1" xfId="0" applyNumberFormat="1" applyBorder="1"/>
    <xf numFmtId="0" fontId="2" fillId="2" borderId="1" xfId="0" applyNumberFormat="1" applyFont="1" applyFill="1" applyBorder="1" applyAlignment="1">
      <alignment horizontal="center" wrapText="1"/>
    </xf>
    <xf numFmtId="0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/>
    <xf numFmtId="0" fontId="0" fillId="2" borderId="4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2" borderId="1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2" borderId="8" xfId="0" applyNumberForma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center"/>
    </xf>
    <xf numFmtId="17" fontId="0" fillId="2" borderId="8" xfId="0" applyNumberForma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wrapText="1"/>
    </xf>
    <xf numFmtId="0" fontId="0" fillId="2" borderId="0" xfId="0" applyFont="1" applyFill="1" applyAlignment="1">
      <alignment horizontal="center"/>
    </xf>
    <xf numFmtId="0" fontId="0" fillId="0" borderId="4" xfId="0" applyBorder="1"/>
    <xf numFmtId="17" fontId="0" fillId="17" borderId="1" xfId="0" applyNumberFormat="1" applyFont="1" applyFill="1" applyBorder="1" applyAlignment="1">
      <alignment horizontal="center"/>
    </xf>
    <xf numFmtId="17" fontId="0" fillId="18" borderId="1" xfId="0" applyNumberFormat="1" applyFont="1" applyFill="1" applyBorder="1" applyAlignment="1">
      <alignment horizontal="center"/>
    </xf>
    <xf numFmtId="17" fontId="0" fillId="18" borderId="1" xfId="0" applyNumberFormat="1" applyFont="1" applyFill="1" applyBorder="1" applyAlignment="1">
      <alignment horizontal="center" vertical="center"/>
    </xf>
    <xf numFmtId="17" fontId="0" fillId="17" borderId="1" xfId="0" applyNumberFormat="1" applyFill="1" applyBorder="1"/>
    <xf numFmtId="17" fontId="0" fillId="17" borderId="1" xfId="0" applyNumberFormat="1" applyFont="1" applyFill="1" applyBorder="1" applyAlignment="1">
      <alignment horizontal="center" vertical="center"/>
    </xf>
    <xf numFmtId="17" fontId="12" fillId="14" borderId="1" xfId="0" applyNumberFormat="1" applyFont="1" applyFill="1" applyBorder="1" applyAlignment="1">
      <alignment horizontal="center"/>
    </xf>
    <xf numFmtId="17" fontId="12" fillId="14" borderId="1" xfId="0" applyNumberFormat="1" applyFont="1" applyFill="1" applyBorder="1"/>
    <xf numFmtId="17" fontId="12" fillId="0" borderId="1" xfId="0" applyNumberFormat="1" applyFont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/>
    </xf>
    <xf numFmtId="17" fontId="0" fillId="2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" fontId="0" fillId="5" borderId="1" xfId="0" applyNumberFormat="1" applyFont="1" applyFill="1" applyBorder="1" applyAlignment="1">
      <alignment horizontal="center" textRotation="88"/>
    </xf>
    <xf numFmtId="0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wrapText="1"/>
    </xf>
    <xf numFmtId="0" fontId="12" fillId="14" borderId="1" xfId="0" applyFont="1" applyFill="1" applyBorder="1" applyAlignment="1">
      <alignment horizontal="left" wrapText="1" indent="1"/>
    </xf>
    <xf numFmtId="0" fontId="12" fillId="14" borderId="4" xfId="0" applyFont="1" applyFill="1" applyBorder="1" applyAlignment="1">
      <alignment wrapText="1"/>
    </xf>
    <xf numFmtId="0" fontId="2" fillId="14" borderId="1" xfId="0" applyFont="1" applyFill="1" applyBorder="1"/>
    <xf numFmtId="9" fontId="12" fillId="14" borderId="1" xfId="0" applyNumberFormat="1" applyFont="1" applyFill="1" applyBorder="1" applyAlignment="1">
      <alignment horizontal="center"/>
    </xf>
    <xf numFmtId="8" fontId="12" fillId="14" borderId="1" xfId="0" applyNumberFormat="1" applyFont="1" applyFill="1" applyBorder="1" applyAlignment="1">
      <alignment wrapText="1"/>
    </xf>
    <xf numFmtId="0" fontId="2" fillId="14" borderId="1" xfId="0" applyFont="1" applyFill="1" applyBorder="1" applyAlignment="1">
      <alignment horizontal="left" indent="1"/>
    </xf>
    <xf numFmtId="8" fontId="2" fillId="14" borderId="1" xfId="0" applyNumberFormat="1" applyFon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textRotation="88" wrapText="1"/>
    </xf>
    <xf numFmtId="0" fontId="2" fillId="19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0" fillId="19" borderId="1" xfId="0" applyNumberFormat="1" applyFont="1" applyFill="1" applyBorder="1" applyAlignment="1">
      <alignment horizontal="center"/>
    </xf>
    <xf numFmtId="0" fontId="3" fillId="19" borderId="1" xfId="0" applyNumberFormat="1" applyFont="1" applyFill="1" applyBorder="1" applyAlignment="1">
      <alignment horizontal="center"/>
    </xf>
    <xf numFmtId="1" fontId="2" fillId="19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/>
    </xf>
    <xf numFmtId="0" fontId="4" fillId="19" borderId="1" xfId="0" applyNumberFormat="1" applyFont="1" applyFill="1" applyBorder="1" applyAlignment="1">
      <alignment horizontal="center"/>
    </xf>
    <xf numFmtId="0" fontId="4" fillId="19" borderId="3" xfId="0" applyNumberFormat="1" applyFon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vertical="center"/>
    </xf>
    <xf numFmtId="0" fontId="2" fillId="19" borderId="1" xfId="0" applyNumberFormat="1" applyFont="1" applyFill="1" applyBorder="1" applyAlignment="1"/>
    <xf numFmtId="0" fontId="0" fillId="19" borderId="1" xfId="0" applyNumberForma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wrapText="1"/>
    </xf>
    <xf numFmtId="0" fontId="0" fillId="19" borderId="3" xfId="0" applyNumberFormat="1" applyFont="1" applyFill="1" applyBorder="1" applyAlignment="1">
      <alignment horizontal="center"/>
    </xf>
    <xf numFmtId="0" fontId="2" fillId="19" borderId="1" xfId="0" applyFont="1" applyFill="1" applyBorder="1"/>
    <xf numFmtId="0" fontId="2" fillId="19" borderId="1" xfId="0" applyNumberFormat="1" applyFont="1" applyFill="1" applyBorder="1"/>
    <xf numFmtId="0" fontId="2" fillId="19" borderId="3" xfId="0" applyNumberFormat="1" applyFont="1" applyFill="1" applyBorder="1" applyAlignment="1">
      <alignment horizontal="center"/>
    </xf>
    <xf numFmtId="0" fontId="0" fillId="19" borderId="3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1" xfId="0" applyFill="1" applyBorder="1"/>
    <xf numFmtId="0" fontId="0" fillId="19" borderId="0" xfId="0" applyFill="1"/>
    <xf numFmtId="0" fontId="0" fillId="19" borderId="1" xfId="0" applyFont="1" applyFill="1" applyBorder="1" applyAlignment="1">
      <alignment horizontal="center"/>
    </xf>
    <xf numFmtId="1" fontId="2" fillId="19" borderId="1" xfId="0" applyNumberFormat="1" applyFont="1" applyFill="1" applyBorder="1" applyAlignment="1">
      <alignment horizontal="center" vertical="center"/>
    </xf>
    <xf numFmtId="0" fontId="5" fillId="19" borderId="1" xfId="0" applyNumberFormat="1" applyFont="1" applyFill="1" applyBorder="1" applyAlignment="1">
      <alignment horizontal="center" vertical="center"/>
    </xf>
    <xf numFmtId="0" fontId="5" fillId="19" borderId="1" xfId="0" applyNumberFormat="1" applyFon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textRotation="88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/>
    </xf>
    <xf numFmtId="1" fontId="5" fillId="19" borderId="1" xfId="0" applyNumberFormat="1" applyFont="1" applyFill="1" applyBorder="1" applyAlignment="1">
      <alignment horizontal="center" vertical="center"/>
    </xf>
    <xf numFmtId="0" fontId="11" fillId="19" borderId="1" xfId="0" applyNumberFormat="1" applyFont="1" applyFill="1" applyBorder="1" applyAlignment="1">
      <alignment horizontal="center"/>
    </xf>
    <xf numFmtId="4" fontId="2" fillId="19" borderId="1" xfId="0" applyNumberFormat="1" applyFont="1" applyFill="1" applyBorder="1" applyAlignment="1">
      <alignment horizontal="center"/>
    </xf>
    <xf numFmtId="2" fontId="2" fillId="19" borderId="1" xfId="0" applyNumberFormat="1" applyFont="1" applyFill="1" applyBorder="1" applyAlignment="1">
      <alignment horizontal="center"/>
    </xf>
    <xf numFmtId="0" fontId="11" fillId="19" borderId="1" xfId="0" applyFont="1" applyFill="1" applyBorder="1"/>
    <xf numFmtId="0" fontId="2" fillId="19" borderId="0" xfId="0" applyNumberFormat="1" applyFont="1" applyFill="1" applyBorder="1" applyAlignment="1">
      <alignment horizontal="center"/>
    </xf>
    <xf numFmtId="1" fontId="2" fillId="19" borderId="0" xfId="0" applyNumberFormat="1" applyFont="1" applyFill="1" applyBorder="1" applyAlignment="1">
      <alignment horizontal="center"/>
    </xf>
    <xf numFmtId="1" fontId="2" fillId="19" borderId="2" xfId="0" applyNumberFormat="1" applyFont="1" applyFill="1" applyBorder="1" applyAlignment="1">
      <alignment horizontal="center"/>
    </xf>
    <xf numFmtId="0" fontId="0" fillId="19" borderId="0" xfId="0" applyNumberForma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5" fillId="19" borderId="1" xfId="0" applyNumberFormat="1" applyFont="1" applyFill="1" applyBorder="1" applyAlignment="1">
      <alignment horizontal="center" vertical="top"/>
    </xf>
    <xf numFmtId="1" fontId="0" fillId="2" borderId="1" xfId="0" applyNumberFormat="1" applyFill="1" applyBorder="1" applyAlignment="1">
      <alignment horizontal="right"/>
    </xf>
    <xf numFmtId="168" fontId="0" fillId="0" borderId="0" xfId="0" quotePrefix="1" applyNumberFormat="1"/>
    <xf numFmtId="8" fontId="0" fillId="0" borderId="0" xfId="0" applyNumberFormat="1"/>
    <xf numFmtId="8" fontId="13" fillId="19" borderId="1" xfId="0" applyNumberFormat="1" applyFont="1" applyFill="1" applyBorder="1" applyAlignment="1">
      <alignment vertical="center" wrapText="1"/>
    </xf>
    <xf numFmtId="8" fontId="14" fillId="19" borderId="1" xfId="0" applyNumberFormat="1" applyFont="1" applyFill="1" applyBorder="1" applyAlignment="1">
      <alignment vertical="center" wrapText="1"/>
    </xf>
    <xf numFmtId="2" fontId="2" fillId="14" borderId="1" xfId="0" applyNumberFormat="1" applyFont="1" applyFill="1" applyBorder="1" applyAlignment="1">
      <alignment horizontal="center"/>
    </xf>
    <xf numFmtId="2" fontId="12" fillId="14" borderId="1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17" fontId="0" fillId="0" borderId="4" xfId="0" applyNumberFormat="1" applyBorder="1"/>
    <xf numFmtId="0" fontId="2" fillId="19" borderId="7" xfId="0" applyNumberFormat="1" applyFont="1" applyFill="1" applyBorder="1" applyAlignment="1">
      <alignment horizontal="center"/>
    </xf>
    <xf numFmtId="17" fontId="0" fillId="2" borderId="7" xfId="0" applyNumberFormat="1" applyFill="1" applyBorder="1" applyAlignment="1">
      <alignment horizontal="center"/>
    </xf>
    <xf numFmtId="0" fontId="0" fillId="2" borderId="7" xfId="0" applyNumberFormat="1" applyFill="1" applyBorder="1" applyAlignment="1">
      <alignment horizontal="center"/>
    </xf>
    <xf numFmtId="0" fontId="2" fillId="19" borderId="8" xfId="0" applyNumberFormat="1" applyFont="1" applyFill="1" applyBorder="1" applyAlignment="1">
      <alignment horizontal="center"/>
    </xf>
    <xf numFmtId="0" fontId="16" fillId="16" borderId="1" xfId="0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wrapText="1"/>
    </xf>
    <xf numFmtId="1" fontId="2" fillId="14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horizontal="center"/>
    </xf>
    <xf numFmtId="8" fontId="12" fillId="14" borderId="4" xfId="0" applyNumberFormat="1" applyFont="1" applyFill="1" applyBorder="1"/>
    <xf numFmtId="165" fontId="0" fillId="2" borderId="4" xfId="2" applyFont="1" applyFill="1" applyBorder="1" applyAlignment="1"/>
    <xf numFmtId="8" fontId="2" fillId="14" borderId="4" xfId="0" applyNumberFormat="1" applyFont="1" applyFill="1" applyBorder="1" applyAlignment="1">
      <alignment horizontal="center"/>
    </xf>
    <xf numFmtId="0" fontId="0" fillId="0" borderId="10" xfId="0" applyBorder="1"/>
    <xf numFmtId="2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 wrapText="1"/>
    </xf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 vertical="center"/>
    </xf>
    <xf numFmtId="0" fontId="2" fillId="19" borderId="1" xfId="0" applyNumberFormat="1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0" fontId="11" fillId="2" borderId="1" xfId="0" applyFont="1" applyFill="1" applyBorder="1"/>
    <xf numFmtId="1" fontId="2" fillId="14" borderId="2" xfId="0" applyNumberFormat="1" applyFont="1" applyFill="1" applyBorder="1" applyAlignment="1">
      <alignment horizontal="center"/>
    </xf>
    <xf numFmtId="17" fontId="12" fillId="13" borderId="1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 wrapText="1"/>
    </xf>
    <xf numFmtId="0" fontId="2" fillId="13" borderId="1" xfId="0" applyFont="1" applyFill="1" applyBorder="1"/>
    <xf numFmtId="0" fontId="2" fillId="11" borderId="4" xfId="0" applyFont="1" applyFill="1" applyBorder="1" applyAlignment="1">
      <alignment horizontal="center" wrapText="1"/>
    </xf>
    <xf numFmtId="1" fontId="2" fillId="21" borderId="1" xfId="0" applyNumberFormat="1" applyFont="1" applyFill="1" applyBorder="1" applyAlignment="1">
      <alignment horizontal="center"/>
    </xf>
    <xf numFmtId="17" fontId="12" fillId="2" borderId="1" xfId="0" applyNumberFormat="1" applyFont="1" applyFill="1" applyBorder="1" applyAlignment="1">
      <alignment horizontal="center"/>
    </xf>
    <xf numFmtId="17" fontId="0" fillId="2" borderId="0" xfId="0" applyNumberFormat="1" applyFill="1" applyBorder="1" applyAlignment="1">
      <alignment horizontal="center"/>
    </xf>
    <xf numFmtId="166" fontId="0" fillId="0" borderId="1" xfId="2" applyNumberFormat="1" applyFont="1" applyBorder="1" applyAlignment="1"/>
    <xf numFmtId="166" fontId="12" fillId="14" borderId="1" xfId="0" applyNumberFormat="1" applyFont="1" applyFill="1" applyBorder="1" applyAlignment="1">
      <alignment wrapText="1"/>
    </xf>
    <xf numFmtId="166" fontId="0" fillId="0" borderId="1" xfId="2" applyNumberFormat="1" applyFont="1" applyBorder="1" applyAlignment="1">
      <alignment wrapText="1"/>
    </xf>
    <xf numFmtId="166" fontId="0" fillId="0" borderId="1" xfId="2" applyNumberFormat="1" applyFont="1" applyFill="1" applyBorder="1" applyAlignment="1">
      <alignment wrapText="1"/>
    </xf>
    <xf numFmtId="166" fontId="12" fillId="14" borderId="1" xfId="0" applyNumberFormat="1" applyFont="1" applyFill="1" applyBorder="1"/>
    <xf numFmtId="166" fontId="0" fillId="0" borderId="0" xfId="2" applyNumberFormat="1" applyFont="1" applyAlignment="1"/>
    <xf numFmtId="2" fontId="2" fillId="2" borderId="8" xfId="0" applyNumberFormat="1" applyFont="1" applyFill="1" applyBorder="1" applyAlignment="1">
      <alignment horizontal="center"/>
    </xf>
    <xf numFmtId="2" fontId="2" fillId="14" borderId="1" xfId="0" applyNumberFormat="1" applyFont="1" applyFill="1" applyBorder="1" applyAlignment="1">
      <alignment horizontal="left" indent="1"/>
    </xf>
    <xf numFmtId="0" fontId="2" fillId="2" borderId="8" xfId="0" applyFont="1" applyFill="1" applyBorder="1"/>
    <xf numFmtId="0" fontId="0" fillId="2" borderId="11" xfId="0" applyFill="1" applyBorder="1"/>
    <xf numFmtId="0" fontId="0" fillId="2" borderId="1" xfId="0" applyNumberFormat="1" applyFill="1" applyBorder="1" applyAlignment="1">
      <alignment wrapText="1"/>
    </xf>
    <xf numFmtId="0" fontId="5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17" fillId="23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 vertical="center"/>
    </xf>
    <xf numFmtId="0" fontId="17" fillId="23" borderId="1" xfId="0" applyFont="1" applyFill="1" applyBorder="1"/>
    <xf numFmtId="0" fontId="2" fillId="23" borderId="1" xfId="0" applyFont="1" applyFill="1" applyBorder="1" applyAlignment="1">
      <alignment horizontal="center"/>
    </xf>
    <xf numFmtId="2" fontId="0" fillId="2" borderId="1" xfId="0" applyNumberFormat="1" applyFont="1" applyFill="1" applyBorder="1" applyAlignment="1">
      <alignment horizontal="center" textRotation="88" wrapText="1"/>
    </xf>
    <xf numFmtId="0" fontId="2" fillId="11" borderId="4" xfId="0" applyNumberFormat="1" applyFont="1" applyFill="1" applyBorder="1" applyAlignment="1">
      <alignment horizontal="center" wrapText="1"/>
    </xf>
    <xf numFmtId="0" fontId="12" fillId="15" borderId="1" xfId="0" applyFont="1" applyFill="1" applyBorder="1" applyAlignment="1">
      <alignment textRotation="90" wrapText="1"/>
    </xf>
    <xf numFmtId="0" fontId="0" fillId="2" borderId="1" xfId="0" applyFill="1" applyBorder="1" applyAlignment="1">
      <alignment textRotation="90"/>
    </xf>
    <xf numFmtId="0" fontId="2" fillId="13" borderId="1" xfId="0" applyFont="1" applyFill="1" applyBorder="1" applyAlignment="1">
      <alignment horizontal="center"/>
    </xf>
    <xf numFmtId="0" fontId="2" fillId="24" borderId="1" xfId="0" applyFont="1" applyFill="1" applyBorder="1"/>
    <xf numFmtId="0" fontId="2" fillId="2" borderId="4" xfId="0" applyFont="1" applyFill="1" applyBorder="1" applyAlignment="1">
      <alignment wrapText="1"/>
    </xf>
    <xf numFmtId="1" fontId="2" fillId="2" borderId="8" xfId="0" applyNumberFormat="1" applyFont="1" applyFill="1" applyBorder="1" applyAlignment="1">
      <alignment horizontal="center"/>
    </xf>
    <xf numFmtId="1" fontId="2" fillId="14" borderId="2" xfId="0" applyNumberFormat="1" applyFont="1" applyFill="1" applyBorder="1" applyAlignment="1">
      <alignment horizontal="center" wrapText="1"/>
    </xf>
    <xf numFmtId="2" fontId="0" fillId="0" borderId="1" xfId="0" applyNumberFormat="1" applyBorder="1"/>
    <xf numFmtId="2" fontId="2" fillId="2" borderId="1" xfId="0" applyNumberFormat="1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/>
    </xf>
    <xf numFmtId="17" fontId="0" fillId="0" borderId="0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0" borderId="1" xfId="0" applyFont="1" applyFill="1" applyBorder="1"/>
    <xf numFmtId="0" fontId="0" fillId="3" borderId="0" xfId="0" applyFill="1" applyBorder="1"/>
    <xf numFmtId="1" fontId="5" fillId="13" borderId="1" xfId="0" applyNumberFormat="1" applyFont="1" applyFill="1" applyBorder="1" applyAlignment="1">
      <alignment horizontal="center"/>
    </xf>
    <xf numFmtId="1" fontId="5" fillId="14" borderId="1" xfId="0" applyNumberFormat="1" applyFont="1" applyFill="1" applyBorder="1" applyAlignment="1">
      <alignment horizontal="center"/>
    </xf>
    <xf numFmtId="4" fontId="2" fillId="25" borderId="1" xfId="0" applyNumberFormat="1" applyFont="1" applyFill="1" applyBorder="1" applyAlignment="1">
      <alignment horizontal="center"/>
    </xf>
    <xf numFmtId="0" fontId="2" fillId="25" borderId="1" xfId="0" applyNumberFormat="1" applyFont="1" applyFill="1" applyBorder="1" applyAlignment="1">
      <alignment horizontal="center" textRotation="88" wrapText="1"/>
    </xf>
    <xf numFmtId="0" fontId="2" fillId="25" borderId="1" xfId="0" applyNumberFormat="1" applyFont="1" applyFill="1" applyBorder="1" applyAlignment="1">
      <alignment horizontal="center"/>
    </xf>
    <xf numFmtId="0" fontId="2" fillId="25" borderId="1" xfId="0" applyNumberFormat="1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/>
    </xf>
    <xf numFmtId="0" fontId="0" fillId="25" borderId="1" xfId="0" applyNumberFormat="1" applyFill="1" applyBorder="1" applyAlignment="1">
      <alignment horizontal="center"/>
    </xf>
    <xf numFmtId="0" fontId="0" fillId="25" borderId="1" xfId="0" applyNumberFormat="1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2" fontId="2" fillId="25" borderId="1" xfId="0" applyNumberFormat="1" applyFont="1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2" fillId="25" borderId="1" xfId="0" applyFont="1" applyFill="1" applyBorder="1" applyAlignment="1">
      <alignment horizontal="center" vertical="center"/>
    </xf>
    <xf numFmtId="1" fontId="2" fillId="25" borderId="1" xfId="0" applyNumberFormat="1" applyFont="1" applyFill="1" applyBorder="1" applyAlignment="1">
      <alignment horizontal="center" vertical="center"/>
    </xf>
    <xf numFmtId="0" fontId="0" fillId="25" borderId="1" xfId="0" applyFill="1" applyBorder="1"/>
    <xf numFmtId="0" fontId="2" fillId="25" borderId="1" xfId="0" applyNumberFormat="1" applyFont="1" applyFill="1" applyBorder="1" applyAlignment="1">
      <alignment horizontal="center" wrapText="1"/>
    </xf>
    <xf numFmtId="0" fontId="2" fillId="25" borderId="8" xfId="0" applyNumberFormat="1" applyFont="1" applyFill="1" applyBorder="1" applyAlignment="1">
      <alignment horizontal="center"/>
    </xf>
    <xf numFmtId="0" fontId="0" fillId="25" borderId="3" xfId="0" applyNumberFormat="1" applyFont="1" applyFill="1" applyBorder="1" applyAlignment="1">
      <alignment horizontal="center"/>
    </xf>
    <xf numFmtId="0" fontId="0" fillId="25" borderId="3" xfId="0" applyNumberFormat="1" applyFill="1" applyBorder="1" applyAlignment="1">
      <alignment horizontal="center"/>
    </xf>
    <xf numFmtId="0" fontId="2" fillId="25" borderId="1" xfId="0" applyNumberFormat="1" applyFont="1" applyFill="1" applyBorder="1"/>
    <xf numFmtId="0" fontId="2" fillId="25" borderId="7" xfId="0" applyNumberFormat="1" applyFont="1" applyFill="1" applyBorder="1" applyAlignment="1">
      <alignment horizontal="center"/>
    </xf>
    <xf numFmtId="0" fontId="2" fillId="25" borderId="3" xfId="0" applyNumberFormat="1" applyFont="1" applyFill="1" applyBorder="1" applyAlignment="1">
      <alignment horizontal="center"/>
    </xf>
    <xf numFmtId="0" fontId="2" fillId="25" borderId="1" xfId="0" applyNumberFormat="1" applyFont="1" applyFill="1" applyBorder="1" applyAlignment="1"/>
    <xf numFmtId="0" fontId="2" fillId="25" borderId="1" xfId="0" applyFont="1" applyFill="1" applyBorder="1"/>
    <xf numFmtId="0" fontId="2" fillId="25" borderId="0" xfId="0" applyNumberFormat="1" applyFont="1" applyFill="1" applyBorder="1" applyAlignment="1">
      <alignment horizontal="center"/>
    </xf>
    <xf numFmtId="0" fontId="3" fillId="25" borderId="1" xfId="0" applyNumberFormat="1" applyFont="1" applyFill="1" applyBorder="1" applyAlignment="1">
      <alignment horizontal="center"/>
    </xf>
    <xf numFmtId="0" fontId="4" fillId="25" borderId="1" xfId="0" applyNumberFormat="1" applyFont="1" applyFill="1" applyBorder="1" applyAlignment="1">
      <alignment horizontal="center"/>
    </xf>
    <xf numFmtId="0" fontId="4" fillId="25" borderId="3" xfId="0" applyNumberFormat="1" applyFont="1" applyFill="1" applyBorder="1" applyAlignment="1">
      <alignment horizontal="center"/>
    </xf>
    <xf numFmtId="1" fontId="2" fillId="25" borderId="1" xfId="0" applyNumberFormat="1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0" fillId="25" borderId="0" xfId="0" applyFill="1"/>
    <xf numFmtId="0" fontId="5" fillId="25" borderId="1" xfId="0" applyNumberFormat="1" applyFont="1" applyFill="1" applyBorder="1" applyAlignment="1">
      <alignment horizontal="center" vertical="center"/>
    </xf>
    <xf numFmtId="0" fontId="2" fillId="25" borderId="1" xfId="0" applyNumberFormat="1" applyFont="1" applyFill="1" applyBorder="1" applyAlignment="1">
      <alignment horizontal="left" indent="1"/>
    </xf>
    <xf numFmtId="0" fontId="11" fillId="25" borderId="1" xfId="0" applyNumberFormat="1" applyFont="1" applyFill="1" applyBorder="1" applyAlignment="1">
      <alignment horizontal="center"/>
    </xf>
    <xf numFmtId="0" fontId="5" fillId="25" borderId="1" xfId="0" applyNumberFormat="1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 vertical="center"/>
    </xf>
    <xf numFmtId="0" fontId="0" fillId="25" borderId="1" xfId="2" applyNumberFormat="1" applyFont="1" applyFill="1" applyBorder="1" applyAlignment="1">
      <alignment wrapText="1"/>
    </xf>
    <xf numFmtId="1" fontId="5" fillId="25" borderId="1" xfId="0" applyNumberFormat="1" applyFont="1" applyFill="1" applyBorder="1" applyAlignment="1">
      <alignment horizontal="center" vertical="center"/>
    </xf>
    <xf numFmtId="0" fontId="2" fillId="25" borderId="1" xfId="0" applyNumberFormat="1" applyFont="1" applyFill="1" applyBorder="1" applyAlignment="1">
      <alignment horizontal="center" textRotation="88"/>
    </xf>
    <xf numFmtId="0" fontId="5" fillId="25" borderId="1" xfId="0" applyFont="1" applyFill="1" applyBorder="1" applyAlignment="1">
      <alignment horizontal="center"/>
    </xf>
    <xf numFmtId="0" fontId="5" fillId="26" borderId="1" xfId="0" applyFont="1" applyFill="1" applyBorder="1" applyAlignment="1">
      <alignment horizontal="center"/>
    </xf>
    <xf numFmtId="0" fontId="0" fillId="25" borderId="1" xfId="0" applyFont="1" applyFill="1" applyBorder="1" applyAlignment="1">
      <alignment horizontal="center"/>
    </xf>
    <xf numFmtId="0" fontId="11" fillId="25" borderId="1" xfId="0" applyFont="1" applyFill="1" applyBorder="1" applyAlignment="1">
      <alignment horizontal="center"/>
    </xf>
    <xf numFmtId="0" fontId="12" fillId="25" borderId="1" xfId="0" applyFont="1" applyFill="1" applyBorder="1" applyAlignment="1">
      <alignment horizontal="center"/>
    </xf>
    <xf numFmtId="0" fontId="17" fillId="25" borderId="1" xfId="0" applyFont="1" applyFill="1" applyBorder="1" applyAlignment="1">
      <alignment horizontal="center"/>
    </xf>
    <xf numFmtId="0" fontId="17" fillId="26" borderId="1" xfId="0" applyFont="1" applyFill="1" applyBorder="1" applyAlignment="1">
      <alignment horizontal="center"/>
    </xf>
    <xf numFmtId="0" fontId="5" fillId="26" borderId="1" xfId="0" applyFont="1" applyFill="1" applyBorder="1" applyAlignment="1">
      <alignment horizontal="center" vertical="center"/>
    </xf>
    <xf numFmtId="0" fontId="17" fillId="25" borderId="1" xfId="0" applyFont="1" applyFill="1" applyBorder="1"/>
    <xf numFmtId="0" fontId="0" fillId="25" borderId="0" xfId="0" applyFill="1" applyAlignment="1">
      <alignment horizontal="center"/>
    </xf>
    <xf numFmtId="0" fontId="11" fillId="25" borderId="1" xfId="0" applyFont="1" applyFill="1" applyBorder="1"/>
    <xf numFmtId="0" fontId="5" fillId="25" borderId="1" xfId="0" applyNumberFormat="1" applyFont="1" applyFill="1" applyBorder="1" applyAlignment="1">
      <alignment horizontal="center" vertical="top"/>
    </xf>
    <xf numFmtId="0" fontId="0" fillId="19" borderId="7" xfId="0" applyNumberFormat="1" applyFont="1" applyFill="1" applyBorder="1" applyAlignment="1">
      <alignment horizontal="center"/>
    </xf>
    <xf numFmtId="0" fontId="0" fillId="25" borderId="7" xfId="0" applyNumberFormat="1" applyFont="1" applyFill="1" applyBorder="1" applyAlignment="1">
      <alignment horizontal="center"/>
    </xf>
    <xf numFmtId="17" fontId="0" fillId="2" borderId="8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wrapText="1"/>
    </xf>
    <xf numFmtId="0" fontId="12" fillId="13" borderId="7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/>
    <xf numFmtId="0" fontId="11" fillId="0" borderId="4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" fontId="12" fillId="0" borderId="1" xfId="0" applyNumberFormat="1" applyFont="1" applyFill="1" applyBorder="1" applyAlignment="1">
      <alignment horizontal="center"/>
    </xf>
    <xf numFmtId="17" fontId="0" fillId="0" borderId="4" xfId="0" applyNumberFormat="1" applyFont="1" applyBorder="1"/>
    <xf numFmtId="0" fontId="3" fillId="2" borderId="4" xfId="0" applyNumberFormat="1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1" fontId="2" fillId="20" borderId="1" xfId="0" applyNumberFormat="1" applyFont="1" applyFill="1" applyBorder="1" applyAlignment="1">
      <alignment horizontal="center" vertical="center"/>
    </xf>
    <xf numFmtId="0" fontId="0" fillId="19" borderId="8" xfId="0" applyNumberFormat="1" applyFont="1" applyFill="1" applyBorder="1" applyAlignment="1">
      <alignment horizontal="center"/>
    </xf>
    <xf numFmtId="0" fontId="0" fillId="25" borderId="11" xfId="0" applyNumberFormat="1" applyFont="1" applyFill="1" applyBorder="1" applyAlignment="1">
      <alignment horizontal="center"/>
    </xf>
    <xf numFmtId="0" fontId="0" fillId="25" borderId="8" xfId="0" applyNumberFormat="1" applyFont="1" applyFill="1" applyBorder="1" applyAlignment="1">
      <alignment horizontal="center"/>
    </xf>
    <xf numFmtId="17" fontId="12" fillId="14" borderId="7" xfId="0" applyNumberFormat="1" applyFont="1" applyFill="1" applyBorder="1" applyAlignment="1">
      <alignment horizontal="center"/>
    </xf>
    <xf numFmtId="17" fontId="12" fillId="14" borderId="4" xfId="0" applyNumberFormat="1" applyFont="1" applyFill="1" applyBorder="1" applyAlignment="1">
      <alignment horizontal="center"/>
    </xf>
    <xf numFmtId="0" fontId="2" fillId="19" borderId="11" xfId="0" applyNumberFormat="1" applyFont="1" applyFill="1" applyBorder="1" applyAlignment="1">
      <alignment horizontal="center"/>
    </xf>
    <xf numFmtId="17" fontId="12" fillId="0" borderId="8" xfId="0" applyNumberFormat="1" applyFont="1" applyBorder="1" applyAlignment="1">
      <alignment horizontal="center"/>
    </xf>
    <xf numFmtId="17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8" fillId="0" borderId="0" xfId="0" applyFont="1"/>
    <xf numFmtId="0" fontId="0" fillId="20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20" borderId="1" xfId="0" applyFill="1" applyBorder="1" applyAlignment="1">
      <alignment textRotation="90" wrapText="1"/>
    </xf>
    <xf numFmtId="0" fontId="0" fillId="9" borderId="1" xfId="0" applyFill="1" applyBorder="1" applyAlignment="1">
      <alignment textRotation="90" wrapText="1"/>
    </xf>
    <xf numFmtId="1" fontId="2" fillId="19" borderId="3" xfId="0" applyNumberFormat="1" applyFont="1" applyFill="1" applyBorder="1" applyAlignment="1">
      <alignment horizontal="center"/>
    </xf>
    <xf numFmtId="2" fontId="2" fillId="11" borderId="4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textRotation="88" wrapText="1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1" xfId="0" applyNumberFormat="1" applyFont="1" applyFill="1" applyBorder="1" applyAlignment="1">
      <alignment horizontal="center"/>
    </xf>
    <xf numFmtId="0" fontId="0" fillId="9" borderId="1" xfId="0" applyFill="1" applyBorder="1"/>
    <xf numFmtId="0" fontId="0" fillId="9" borderId="1" xfId="0" applyNumberFormat="1" applyFill="1" applyBorder="1" applyAlignment="1">
      <alignment horizontal="center"/>
    </xf>
    <xf numFmtId="0" fontId="0" fillId="9" borderId="7" xfId="0" applyNumberFormat="1" applyFont="1" applyFill="1" applyBorder="1" applyAlignment="1">
      <alignment horizontal="center"/>
    </xf>
    <xf numFmtId="0" fontId="0" fillId="9" borderId="3" xfId="0" applyNumberForma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11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1" xfId="0" applyNumberFormat="1" applyFont="1" applyFill="1" applyBorder="1" applyAlignment="1">
      <alignment horizontal="center"/>
    </xf>
    <xf numFmtId="0" fontId="4" fillId="9" borderId="1" xfId="0" applyNumberFormat="1" applyFont="1" applyFill="1" applyBorder="1" applyAlignment="1">
      <alignment horizontal="center"/>
    </xf>
    <xf numFmtId="0" fontId="4" fillId="9" borderId="3" xfId="0" applyNumberFormat="1" applyFont="1" applyFill="1" applyBorder="1" applyAlignment="1">
      <alignment horizontal="center"/>
    </xf>
    <xf numFmtId="0" fontId="2" fillId="9" borderId="8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2" fillId="9" borderId="1" xfId="0" applyFont="1" applyFill="1" applyBorder="1"/>
    <xf numFmtId="0" fontId="2" fillId="28" borderId="1" xfId="0" applyFont="1" applyFill="1" applyBorder="1" applyAlignment="1">
      <alignment horizontal="center"/>
    </xf>
    <xf numFmtId="0" fontId="2" fillId="9" borderId="7" xfId="0" applyNumberFormat="1" applyFont="1" applyFill="1" applyBorder="1" applyAlignment="1">
      <alignment horizontal="center"/>
    </xf>
    <xf numFmtId="0" fontId="2" fillId="9" borderId="3" xfId="0" applyNumberFormat="1" applyFont="1" applyFill="1" applyBorder="1" applyAlignment="1">
      <alignment horizontal="center"/>
    </xf>
    <xf numFmtId="0" fontId="2" fillId="29" borderId="1" xfId="0" applyFont="1" applyFill="1" applyBorder="1"/>
    <xf numFmtId="1" fontId="2" fillId="29" borderId="1" xfId="0" applyNumberFormat="1" applyFont="1" applyFill="1" applyBorder="1" applyAlignment="1">
      <alignment horizontal="center"/>
    </xf>
    <xf numFmtId="1" fontId="2" fillId="30" borderId="1" xfId="0" applyNumberFormat="1" applyFont="1" applyFill="1" applyBorder="1" applyAlignment="1">
      <alignment horizontal="center" wrapText="1"/>
    </xf>
    <xf numFmtId="17" fontId="12" fillId="30" borderId="1" xfId="0" applyNumberFormat="1" applyFont="1" applyFill="1" applyBorder="1" applyAlignment="1">
      <alignment horizontal="center"/>
    </xf>
    <xf numFmtId="17" fontId="0" fillId="29" borderId="1" xfId="0" applyNumberFormat="1" applyFill="1" applyBorder="1"/>
    <xf numFmtId="17" fontId="0" fillId="29" borderId="1" xfId="0" applyNumberFormat="1" applyFont="1" applyFill="1" applyBorder="1" applyAlignment="1">
      <alignment horizontal="center"/>
    </xf>
    <xf numFmtId="1" fontId="2" fillId="30" borderId="1" xfId="0" applyNumberFormat="1" applyFont="1" applyFill="1" applyBorder="1" applyAlignment="1">
      <alignment horizontal="center"/>
    </xf>
    <xf numFmtId="17" fontId="0" fillId="0" borderId="1" xfId="0" applyNumberFormat="1" applyFill="1" applyBorder="1"/>
    <xf numFmtId="1" fontId="2" fillId="0" borderId="1" xfId="0" applyNumberFormat="1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/>
    </xf>
    <xf numFmtId="17" fontId="0" fillId="29" borderId="1" xfId="0" applyNumberFormat="1" applyFill="1" applyBorder="1" applyAlignment="1">
      <alignment horizontal="center"/>
    </xf>
    <xf numFmtId="1" fontId="5" fillId="30" borderId="1" xfId="0" applyNumberFormat="1" applyFont="1" applyFill="1" applyBorder="1" applyAlignment="1">
      <alignment horizontal="center"/>
    </xf>
    <xf numFmtId="17" fontId="5" fillId="29" borderId="1" xfId="0" applyNumberFormat="1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/>
    </xf>
    <xf numFmtId="0" fontId="2" fillId="2" borderId="4" xfId="0" applyFont="1" applyFill="1" applyBorder="1"/>
    <xf numFmtId="0" fontId="2" fillId="0" borderId="8" xfId="0" applyFont="1" applyBorder="1"/>
    <xf numFmtId="1" fontId="2" fillId="14" borderId="8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0" borderId="0" xfId="0" applyBorder="1" applyAlignment="1">
      <alignment horizontal="center"/>
    </xf>
    <xf numFmtId="0" fontId="0" fillId="5" borderId="0" xfId="0" applyFont="1" applyFill="1" applyBorder="1" applyAlignment="1">
      <alignment horizontal="right"/>
    </xf>
    <xf numFmtId="1" fontId="0" fillId="5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2" borderId="0" xfId="0" applyFill="1" applyBorder="1" applyAlignment="1">
      <alignment horizontal="right"/>
    </xf>
    <xf numFmtId="17" fontId="0" fillId="0" borderId="1" xfId="0" applyNumberFormat="1" applyFill="1" applyBorder="1" applyAlignment="1">
      <alignment horizontal="center"/>
    </xf>
    <xf numFmtId="17" fontId="0" fillId="2" borderId="4" xfId="0" applyNumberFormat="1" applyFont="1" applyFill="1" applyBorder="1"/>
    <xf numFmtId="0" fontId="0" fillId="2" borderId="1" xfId="0" applyNumberFormat="1" applyFill="1" applyBorder="1" applyAlignment="1">
      <alignment horizontal="right" vertical="center"/>
    </xf>
    <xf numFmtId="0" fontId="5" fillId="13" borderId="8" xfId="0" applyFont="1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right"/>
    </xf>
    <xf numFmtId="1" fontId="11" fillId="5" borderId="8" xfId="0" applyNumberFormat="1" applyFont="1" applyFill="1" applyBorder="1" applyAlignment="1">
      <alignment horizontal="right"/>
    </xf>
    <xf numFmtId="0" fontId="11" fillId="0" borderId="8" xfId="0" applyFont="1" applyBorder="1" applyAlignment="1">
      <alignment horizontal="center"/>
    </xf>
    <xf numFmtId="0" fontId="5" fillId="31" borderId="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 wrapText="1"/>
    </xf>
    <xf numFmtId="0" fontId="2" fillId="11" borderId="1" xfId="0" applyNumberFormat="1" applyFont="1" applyFill="1" applyBorder="1" applyAlignment="1">
      <alignment horizontal="center" wrapText="1"/>
    </xf>
    <xf numFmtId="17" fontId="3" fillId="2" borderId="4" xfId="0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/>
    </xf>
    <xf numFmtId="0" fontId="5" fillId="25" borderId="8" xfId="0" applyFont="1" applyFill="1" applyBorder="1" applyAlignment="1">
      <alignment horizontal="center"/>
    </xf>
    <xf numFmtId="0" fontId="5" fillId="19" borderId="8" xfId="0" applyNumberFormat="1" applyFont="1" applyFill="1" applyBorder="1" applyAlignment="1">
      <alignment horizontal="center" vertical="top"/>
    </xf>
    <xf numFmtId="0" fontId="5" fillId="25" borderId="8" xfId="0" applyNumberFormat="1" applyFont="1" applyFill="1" applyBorder="1" applyAlignment="1">
      <alignment horizontal="center" vertical="top"/>
    </xf>
    <xf numFmtId="0" fontId="5" fillId="19" borderId="8" xfId="0" applyNumberFormat="1" applyFont="1" applyFill="1" applyBorder="1" applyAlignment="1">
      <alignment horizontal="center"/>
    </xf>
    <xf numFmtId="0" fontId="5" fillId="25" borderId="8" xfId="0" applyNumberFormat="1" applyFont="1" applyFill="1" applyBorder="1" applyAlignment="1">
      <alignment horizontal="center"/>
    </xf>
    <xf numFmtId="0" fontId="5" fillId="9" borderId="8" xfId="0" applyNumberFormat="1" applyFont="1" applyFill="1" applyBorder="1" applyAlignment="1">
      <alignment horizontal="center" vertical="top"/>
    </xf>
    <xf numFmtId="17" fontId="11" fillId="2" borderId="0" xfId="0" applyNumberFormat="1" applyFont="1" applyFill="1" applyBorder="1"/>
    <xf numFmtId="17" fontId="11" fillId="29" borderId="1" xfId="0" applyNumberFormat="1" applyFont="1" applyFill="1" applyBorder="1" applyAlignment="1">
      <alignment horizontal="center" vertical="center"/>
    </xf>
    <xf numFmtId="17" fontId="11" fillId="2" borderId="8" xfId="0" applyNumberFormat="1" applyFont="1" applyFill="1" applyBorder="1" applyAlignment="1">
      <alignment horizontal="center"/>
    </xf>
    <xf numFmtId="0" fontId="11" fillId="2" borderId="8" xfId="0" applyNumberFormat="1" applyFont="1" applyFill="1" applyBorder="1" applyAlignment="1">
      <alignment horizontal="center"/>
    </xf>
    <xf numFmtId="0" fontId="11" fillId="2" borderId="0" xfId="0" applyNumberFormat="1" applyFont="1" applyFill="1" applyBorder="1"/>
    <xf numFmtId="0" fontId="11" fillId="2" borderId="2" xfId="0" applyNumberFormat="1" applyFont="1" applyFill="1" applyBorder="1" applyAlignment="1">
      <alignment horizontal="center"/>
    </xf>
    <xf numFmtId="17" fontId="11" fillId="0" borderId="8" xfId="0" applyNumberFormat="1" applyFont="1" applyBorder="1" applyAlignment="1">
      <alignment horizontal="center"/>
    </xf>
    <xf numFmtId="0" fontId="11" fillId="11" borderId="1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8" xfId="0" applyNumberFormat="1" applyFont="1" applyFill="1" applyBorder="1" applyAlignment="1">
      <alignment horizontal="center"/>
    </xf>
    <xf numFmtId="0" fontId="0" fillId="2" borderId="9" xfId="0" applyNumberFormat="1" applyFill="1" applyBorder="1" applyAlignment="1">
      <alignment wrapText="1"/>
    </xf>
    <xf numFmtId="0" fontId="2" fillId="2" borderId="6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1" fontId="2" fillId="32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17" fontId="0" fillId="4" borderId="1" xfId="0" applyNumberFormat="1" applyFill="1" applyBorder="1"/>
    <xf numFmtId="17" fontId="0" fillId="4" borderId="1" xfId="0" applyNumberFormat="1" applyFont="1" applyFill="1" applyBorder="1" applyAlignment="1">
      <alignment horizontal="center"/>
    </xf>
    <xf numFmtId="17" fontId="12" fillId="32" borderId="1" xfId="0" applyNumberFormat="1" applyFont="1" applyFill="1" applyBorder="1" applyAlignment="1">
      <alignment horizontal="center"/>
    </xf>
    <xf numFmtId="17" fontId="12" fillId="32" borderId="1" xfId="0" applyNumberFormat="1" applyFont="1" applyFill="1" applyBorder="1"/>
    <xf numFmtId="1" fontId="2" fillId="32" borderId="1" xfId="0" applyNumberFormat="1" applyFont="1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17" fontId="0" fillId="4" borderId="1" xfId="0" applyNumberFormat="1" applyFill="1" applyBorder="1" applyAlignment="1">
      <alignment horizontal="center" vertical="center"/>
    </xf>
    <xf numFmtId="1" fontId="2" fillId="32" borderId="2" xfId="0" applyNumberFormat="1" applyFont="1" applyFill="1" applyBorder="1" applyAlignment="1">
      <alignment horizontal="center" wrapText="1"/>
    </xf>
    <xf numFmtId="17" fontId="2" fillId="4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 wrapText="1"/>
    </xf>
    <xf numFmtId="17" fontId="2" fillId="4" borderId="1" xfId="0" applyNumberFormat="1" applyFont="1" applyFill="1" applyBorder="1" applyAlignment="1">
      <alignment wrapText="1"/>
    </xf>
    <xf numFmtId="0" fontId="2" fillId="32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32" borderId="1" xfId="0" applyFont="1" applyFill="1" applyBorder="1" applyAlignment="1">
      <alignment horizontal="center"/>
    </xf>
    <xf numFmtId="17" fontId="11" fillId="4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16" fillId="19" borderId="1" xfId="0" applyNumberFormat="1" applyFont="1" applyFill="1" applyBorder="1" applyAlignment="1">
      <alignment horizontal="center" vertical="center" wrapText="1"/>
    </xf>
    <xf numFmtId="3" fontId="2" fillId="19" borderId="1" xfId="0" applyNumberFormat="1" applyFont="1" applyFill="1" applyBorder="1" applyAlignment="1">
      <alignment horizontal="center"/>
    </xf>
    <xf numFmtId="3" fontId="2" fillId="25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7" fontId="0" fillId="2" borderId="7" xfId="0" applyNumberFormat="1" applyFont="1" applyFill="1" applyBorder="1" applyAlignment="1">
      <alignment horizontal="center"/>
    </xf>
    <xf numFmtId="1" fontId="0" fillId="5" borderId="8" xfId="0" applyNumberFormat="1" applyFont="1" applyFill="1" applyBorder="1" applyAlignment="1">
      <alignment horizontal="right"/>
    </xf>
    <xf numFmtId="0" fontId="0" fillId="25" borderId="0" xfId="0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/>
    </xf>
    <xf numFmtId="0" fontId="12" fillId="14" borderId="1" xfId="0" applyFont="1" applyFill="1" applyBorder="1"/>
    <xf numFmtId="0" fontId="2" fillId="2" borderId="5" xfId="0" applyFont="1" applyFill="1" applyBorder="1" applyAlignment="1">
      <alignment horizontal="center"/>
    </xf>
    <xf numFmtId="17" fontId="0" fillId="22" borderId="1" xfId="0" applyNumberFormat="1" applyFont="1" applyFill="1" applyBorder="1"/>
    <xf numFmtId="0" fontId="0" fillId="2" borderId="1" xfId="0" applyNumberFormat="1" applyFill="1" applyBorder="1" applyAlignment="1">
      <alignment horizontal="center" wrapText="1"/>
    </xf>
    <xf numFmtId="0" fontId="12" fillId="13" borderId="8" xfId="0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2" fillId="25" borderId="12" xfId="0" applyNumberFormat="1" applyFont="1" applyFill="1" applyBorder="1" applyAlignment="1">
      <alignment horizontal="center"/>
    </xf>
    <xf numFmtId="0" fontId="0" fillId="2" borderId="13" xfId="0" applyNumberFormat="1" applyFill="1" applyBorder="1" applyAlignment="1">
      <alignment wrapText="1"/>
    </xf>
    <xf numFmtId="17" fontId="12" fillId="13" borderId="8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wrapText="1"/>
    </xf>
    <xf numFmtId="1" fontId="2" fillId="20" borderId="1" xfId="0" applyNumberFormat="1" applyFont="1" applyFill="1" applyBorder="1" applyAlignment="1">
      <alignment horizontal="center"/>
    </xf>
    <xf numFmtId="1" fontId="2" fillId="21" borderId="1" xfId="0" applyNumberFormat="1" applyFont="1" applyFill="1" applyBorder="1" applyAlignment="1">
      <alignment horizontal="center" vertical="center"/>
    </xf>
    <xf numFmtId="1" fontId="2" fillId="20" borderId="1" xfId="0" applyNumberFormat="1" applyFont="1" applyFill="1" applyBorder="1" applyAlignment="1">
      <alignment horizontal="center" wrapText="1"/>
    </xf>
    <xf numFmtId="1" fontId="2" fillId="21" borderId="1" xfId="0" applyNumberFormat="1" applyFont="1" applyFill="1" applyBorder="1" applyAlignment="1">
      <alignment horizontal="center" wrapText="1"/>
    </xf>
    <xf numFmtId="1" fontId="5" fillId="20" borderId="1" xfId="0" applyNumberFormat="1" applyFont="1" applyFill="1" applyBorder="1" applyAlignment="1">
      <alignment horizontal="center"/>
    </xf>
    <xf numFmtId="1" fontId="5" fillId="21" borderId="1" xfId="0" applyNumberFormat="1" applyFon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/>
    </xf>
    <xf numFmtId="0" fontId="2" fillId="19" borderId="0" xfId="0" applyNumberFormat="1" applyFont="1" applyFill="1" applyBorder="1" applyAlignment="1">
      <alignment horizontal="center" vertical="center"/>
    </xf>
    <xf numFmtId="0" fontId="2" fillId="25" borderId="3" xfId="0" applyNumberFormat="1" applyFont="1" applyFill="1" applyBorder="1" applyAlignment="1">
      <alignment horizontal="center" vertical="center"/>
    </xf>
    <xf numFmtId="0" fontId="2" fillId="19" borderId="0" xfId="0" applyFont="1" applyFill="1" applyBorder="1" applyAlignment="1">
      <alignment horizontal="center" vertical="center"/>
    </xf>
    <xf numFmtId="17" fontId="2" fillId="2" borderId="5" xfId="0" applyNumberFormat="1" applyFont="1" applyFill="1" applyBorder="1" applyAlignment="1">
      <alignment horizont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5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" fontId="0" fillId="4" borderId="4" xfId="0" applyNumberForma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 wrapText="1"/>
    </xf>
    <xf numFmtId="1" fontId="2" fillId="33" borderId="1" xfId="0" applyNumberFormat="1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</cellXfs>
  <cellStyles count="9">
    <cellStyle name="Millares" xfId="3" builtinId="3"/>
    <cellStyle name="Millares 2" xfId="5"/>
    <cellStyle name="Millares 2 2" xfId="8"/>
    <cellStyle name="Millares 3" xfId="6"/>
    <cellStyle name="Moneda 2" xfId="2"/>
    <cellStyle name="Moneda 2 2" xfId="4"/>
    <cellStyle name="Moneda 2 2 2" xfId="7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F4BAEC"/>
      <color rgb="FFFF6600"/>
      <color rgb="FF99FFCC"/>
      <color rgb="FFFF99FF"/>
      <color rgb="FF00FF00"/>
      <color rgb="FFFF99CC"/>
      <color rgb="FFF4AA7C"/>
      <color rgb="FF0066FF"/>
      <color rgb="FF0099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126</xdr:row>
      <xdr:rowOff>0</xdr:rowOff>
    </xdr:from>
    <xdr:to>
      <xdr:col>9</xdr:col>
      <xdr:colOff>304800</xdr:colOff>
      <xdr:row>127</xdr:row>
      <xdr:rowOff>114300</xdr:rowOff>
    </xdr:to>
    <xdr:sp macro="" textlink="">
      <xdr:nvSpPr>
        <xdr:cNvPr id="379982" name="AutoShape 78" descr="TADALEX 20MG 2 TABLETA - Distribuidor de INFASA ETICA"/>
        <xdr:cNvSpPr>
          <a:spLocks noChangeAspect="1" noChangeArrowheads="1"/>
        </xdr:cNvSpPr>
      </xdr:nvSpPr>
      <xdr:spPr bwMode="auto">
        <a:xfrm>
          <a:off x="8724900" y="240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Q210"/>
  <sheetViews>
    <sheetView topLeftCell="A145" zoomScaleNormal="100" workbookViewId="0">
      <selection activeCell="B165" sqref="B165"/>
    </sheetView>
  </sheetViews>
  <sheetFormatPr baseColWidth="10" defaultRowHeight="15" x14ac:dyDescent="0.25"/>
  <cols>
    <col min="1" max="1" width="4.42578125" style="13" customWidth="1"/>
    <col min="2" max="2" width="53.42578125" style="16" customWidth="1"/>
    <col min="3" max="3" width="9" style="28" customWidth="1"/>
    <col min="4" max="4" width="8.5703125" style="27" customWidth="1"/>
    <col min="5" max="5" width="8" style="44" customWidth="1"/>
    <col min="6" max="6" width="8.7109375" style="26" customWidth="1"/>
    <col min="7" max="7" width="13.42578125" style="30" bestFit="1" customWidth="1"/>
    <col min="8" max="8" width="12" style="24" bestFit="1" customWidth="1"/>
    <col min="10" max="10" width="14.42578125" customWidth="1"/>
    <col min="11" max="12" width="12" bestFit="1" customWidth="1"/>
  </cols>
  <sheetData>
    <row r="1" spans="1:17" ht="30" x14ac:dyDescent="0.25">
      <c r="A1" s="128" t="s">
        <v>0</v>
      </c>
      <c r="B1" s="128" t="s">
        <v>489</v>
      </c>
      <c r="C1" s="41" t="s">
        <v>10</v>
      </c>
      <c r="D1" s="18" t="s">
        <v>9</v>
      </c>
      <c r="E1" s="43" t="s">
        <v>5</v>
      </c>
      <c r="F1" s="144" t="s">
        <v>8</v>
      </c>
      <c r="G1" s="142" t="s">
        <v>7</v>
      </c>
      <c r="H1" s="145" t="s">
        <v>6</v>
      </c>
      <c r="I1" s="146"/>
      <c r="J1" s="38"/>
      <c r="K1" s="38"/>
      <c r="L1" s="38"/>
      <c r="M1" s="38"/>
      <c r="N1" s="38"/>
      <c r="O1" s="38"/>
      <c r="P1" s="38"/>
      <c r="Q1" s="38"/>
    </row>
    <row r="2" spans="1:17" ht="15" customHeight="1" x14ac:dyDescent="0.25">
      <c r="A2" s="3">
        <v>1</v>
      </c>
      <c r="B2" s="314" t="s">
        <v>296</v>
      </c>
      <c r="C2" s="339">
        <v>5</v>
      </c>
      <c r="D2" s="10">
        <v>6.85</v>
      </c>
      <c r="E2" s="7">
        <v>12</v>
      </c>
      <c r="F2" s="141">
        <f t="shared" ref="F2:F33" si="0">(E2-D2)/(E2)</f>
        <v>0.4291666666666667</v>
      </c>
      <c r="G2" s="142">
        <f t="shared" ref="G2:G33" si="1">D2*C2</f>
        <v>34.25</v>
      </c>
      <c r="H2" s="143">
        <f t="shared" ref="H2:H33" si="2">E2*C2</f>
        <v>60</v>
      </c>
      <c r="I2" s="146"/>
      <c r="J2" s="84"/>
      <c r="K2" s="85"/>
      <c r="L2" s="86"/>
      <c r="M2" s="87"/>
      <c r="N2" s="35"/>
      <c r="O2" s="88"/>
      <c r="P2" s="89"/>
      <c r="Q2" s="38"/>
    </row>
    <row r="3" spans="1:17" ht="15" customHeight="1" x14ac:dyDescent="0.25">
      <c r="A3" s="314">
        <f t="shared" ref="A3:A66" si="3">A2+1</f>
        <v>2</v>
      </c>
      <c r="B3" s="314" t="s">
        <v>1225</v>
      </c>
      <c r="C3" s="340">
        <v>56</v>
      </c>
      <c r="D3" s="10">
        <v>1.4179999999999999</v>
      </c>
      <c r="E3" s="7">
        <v>2.5</v>
      </c>
      <c r="F3" s="141">
        <f t="shared" si="0"/>
        <v>0.43280000000000002</v>
      </c>
      <c r="G3" s="142">
        <f t="shared" si="1"/>
        <v>79.408000000000001</v>
      </c>
      <c r="H3" s="143">
        <f t="shared" si="2"/>
        <v>140</v>
      </c>
      <c r="I3" s="146"/>
      <c r="J3" s="38"/>
      <c r="K3" s="38"/>
      <c r="L3" s="38"/>
      <c r="M3" s="38"/>
      <c r="N3" s="38"/>
      <c r="O3" s="38"/>
      <c r="P3" s="38"/>
      <c r="Q3" s="38"/>
    </row>
    <row r="4" spans="1:17" ht="15" customHeight="1" x14ac:dyDescent="0.25">
      <c r="A4" s="314">
        <f t="shared" si="3"/>
        <v>3</v>
      </c>
      <c r="B4" s="314" t="s">
        <v>409</v>
      </c>
      <c r="C4" s="340">
        <v>1</v>
      </c>
      <c r="D4" s="10">
        <v>19.95</v>
      </c>
      <c r="E4" s="7">
        <v>38</v>
      </c>
      <c r="F4" s="141">
        <f t="shared" si="0"/>
        <v>0.47500000000000003</v>
      </c>
      <c r="G4" s="142">
        <f t="shared" si="1"/>
        <v>19.95</v>
      </c>
      <c r="H4" s="143">
        <f t="shared" si="2"/>
        <v>38</v>
      </c>
      <c r="I4" s="97"/>
    </row>
    <row r="5" spans="1:17" ht="15" customHeight="1" x14ac:dyDescent="0.25">
      <c r="A5" s="314">
        <f t="shared" si="3"/>
        <v>4</v>
      </c>
      <c r="B5" s="314" t="s">
        <v>1229</v>
      </c>
      <c r="C5" s="652">
        <v>5</v>
      </c>
      <c r="D5" s="404">
        <v>0.8</v>
      </c>
      <c r="E5" s="7">
        <v>2.5</v>
      </c>
      <c r="F5" s="141">
        <f t="shared" si="0"/>
        <v>0.67999999999999994</v>
      </c>
      <c r="G5" s="142">
        <f t="shared" si="1"/>
        <v>4</v>
      </c>
      <c r="H5" s="143">
        <f t="shared" si="2"/>
        <v>12.5</v>
      </c>
      <c r="I5" s="97"/>
    </row>
    <row r="6" spans="1:17" ht="15" customHeight="1" x14ac:dyDescent="0.25">
      <c r="A6" s="314">
        <f t="shared" si="3"/>
        <v>5</v>
      </c>
      <c r="B6" s="4" t="s">
        <v>1313</v>
      </c>
      <c r="C6" s="413">
        <v>11</v>
      </c>
      <c r="D6" s="404">
        <v>1.65</v>
      </c>
      <c r="E6" s="7">
        <v>5</v>
      </c>
      <c r="F6" s="141">
        <f t="shared" si="0"/>
        <v>0.67</v>
      </c>
      <c r="G6" s="142">
        <f t="shared" si="1"/>
        <v>18.149999999999999</v>
      </c>
      <c r="H6" s="143">
        <f t="shared" si="2"/>
        <v>55</v>
      </c>
      <c r="I6" s="97"/>
    </row>
    <row r="7" spans="1:17" ht="15" customHeight="1" x14ac:dyDescent="0.25">
      <c r="A7" s="314">
        <f t="shared" si="3"/>
        <v>6</v>
      </c>
      <c r="B7" s="314" t="s">
        <v>1209</v>
      </c>
      <c r="C7" s="340">
        <v>4</v>
      </c>
      <c r="D7" s="10">
        <v>3.25</v>
      </c>
      <c r="E7" s="7">
        <v>7</v>
      </c>
      <c r="F7" s="141">
        <f t="shared" si="0"/>
        <v>0.5357142857142857</v>
      </c>
      <c r="G7" s="142">
        <f t="shared" si="1"/>
        <v>13</v>
      </c>
      <c r="H7" s="143">
        <f t="shared" si="2"/>
        <v>28</v>
      </c>
      <c r="I7" s="97"/>
      <c r="K7" s="180"/>
    </row>
    <row r="8" spans="1:17" ht="15" customHeight="1" x14ac:dyDescent="0.25">
      <c r="A8" s="314">
        <f t="shared" si="3"/>
        <v>7</v>
      </c>
      <c r="B8" s="314" t="s">
        <v>1230</v>
      </c>
      <c r="C8" s="340">
        <v>9</v>
      </c>
      <c r="D8" s="10">
        <v>1.2</v>
      </c>
      <c r="E8" s="7">
        <v>5</v>
      </c>
      <c r="F8" s="141">
        <f t="shared" si="0"/>
        <v>0.76</v>
      </c>
      <c r="G8" s="142">
        <f t="shared" si="1"/>
        <v>10.799999999999999</v>
      </c>
      <c r="H8" s="143">
        <f t="shared" si="2"/>
        <v>45</v>
      </c>
      <c r="I8" s="97"/>
    </row>
    <row r="9" spans="1:17" ht="15" customHeight="1" x14ac:dyDescent="0.25">
      <c r="A9" s="314">
        <f t="shared" si="3"/>
        <v>8</v>
      </c>
      <c r="B9" s="314" t="s">
        <v>1231</v>
      </c>
      <c r="C9" s="340">
        <v>2</v>
      </c>
      <c r="D9" s="10">
        <v>9.9</v>
      </c>
      <c r="E9" s="7">
        <v>17</v>
      </c>
      <c r="F9" s="141">
        <f t="shared" si="0"/>
        <v>0.41764705882352937</v>
      </c>
      <c r="G9" s="142">
        <f t="shared" si="1"/>
        <v>19.8</v>
      </c>
      <c r="H9" s="143">
        <f t="shared" si="2"/>
        <v>34</v>
      </c>
      <c r="I9" s="97"/>
    </row>
    <row r="10" spans="1:17" ht="15" customHeight="1" x14ac:dyDescent="0.25">
      <c r="A10" s="314">
        <f t="shared" si="3"/>
        <v>9</v>
      </c>
      <c r="B10" s="314" t="s">
        <v>1232</v>
      </c>
      <c r="C10" s="341">
        <v>3</v>
      </c>
      <c r="D10" s="18">
        <v>4.55</v>
      </c>
      <c r="E10" s="44">
        <v>8</v>
      </c>
      <c r="F10" s="141">
        <f t="shared" si="0"/>
        <v>0.43125000000000002</v>
      </c>
      <c r="G10" s="142">
        <f t="shared" si="1"/>
        <v>13.649999999999999</v>
      </c>
      <c r="H10" s="143">
        <f t="shared" si="2"/>
        <v>24</v>
      </c>
      <c r="I10" s="97"/>
    </row>
    <row r="11" spans="1:17" ht="15" customHeight="1" x14ac:dyDescent="0.25">
      <c r="A11" s="314">
        <f t="shared" si="3"/>
        <v>10</v>
      </c>
      <c r="B11" s="314" t="s">
        <v>1233</v>
      </c>
      <c r="C11" s="340">
        <v>34</v>
      </c>
      <c r="D11" s="10">
        <v>3</v>
      </c>
      <c r="E11" s="7">
        <v>5</v>
      </c>
      <c r="F11" s="141">
        <f t="shared" si="0"/>
        <v>0.4</v>
      </c>
      <c r="G11" s="142">
        <f t="shared" si="1"/>
        <v>102</v>
      </c>
      <c r="H11" s="143">
        <f t="shared" si="2"/>
        <v>170</v>
      </c>
      <c r="I11" s="97"/>
    </row>
    <row r="12" spans="1:17" ht="15" customHeight="1" x14ac:dyDescent="0.25">
      <c r="A12" s="314">
        <f t="shared" si="3"/>
        <v>11</v>
      </c>
      <c r="B12" s="314" t="s">
        <v>1234</v>
      </c>
      <c r="C12" s="340">
        <v>23</v>
      </c>
      <c r="D12" s="10">
        <v>2.23</v>
      </c>
      <c r="E12" s="7">
        <v>5</v>
      </c>
      <c r="F12" s="141">
        <f t="shared" si="0"/>
        <v>0.55400000000000005</v>
      </c>
      <c r="G12" s="142">
        <f t="shared" si="1"/>
        <v>51.29</v>
      </c>
      <c r="H12" s="143">
        <f t="shared" si="2"/>
        <v>115</v>
      </c>
      <c r="I12" s="97"/>
    </row>
    <row r="13" spans="1:17" ht="15" customHeight="1" x14ac:dyDescent="0.25">
      <c r="A13" s="314">
        <f t="shared" si="3"/>
        <v>12</v>
      </c>
      <c r="B13" s="314" t="s">
        <v>1235</v>
      </c>
      <c r="C13" s="341">
        <v>23</v>
      </c>
      <c r="D13" s="18">
        <v>1.62</v>
      </c>
      <c r="E13" s="44">
        <v>4</v>
      </c>
      <c r="F13" s="141">
        <f t="shared" si="0"/>
        <v>0.59499999999999997</v>
      </c>
      <c r="G13" s="142">
        <f t="shared" si="1"/>
        <v>37.260000000000005</v>
      </c>
      <c r="H13" s="143">
        <f t="shared" si="2"/>
        <v>92</v>
      </c>
      <c r="I13" s="97"/>
    </row>
    <row r="14" spans="1:17" ht="15" customHeight="1" x14ac:dyDescent="0.25">
      <c r="A14" s="314">
        <f t="shared" si="3"/>
        <v>13</v>
      </c>
      <c r="B14" s="314" t="s">
        <v>1236</v>
      </c>
      <c r="C14" s="340">
        <v>1</v>
      </c>
      <c r="D14" s="10">
        <v>51.95</v>
      </c>
      <c r="E14" s="7">
        <v>85</v>
      </c>
      <c r="F14" s="141">
        <f t="shared" si="0"/>
        <v>0.38882352941176468</v>
      </c>
      <c r="G14" s="142">
        <f t="shared" si="1"/>
        <v>51.95</v>
      </c>
      <c r="H14" s="143">
        <f t="shared" si="2"/>
        <v>85</v>
      </c>
      <c r="I14" s="97"/>
    </row>
    <row r="15" spans="1:17" ht="15" customHeight="1" x14ac:dyDescent="0.25">
      <c r="A15" s="314">
        <f t="shared" si="3"/>
        <v>14</v>
      </c>
      <c r="B15" s="314" t="s">
        <v>1237</v>
      </c>
      <c r="C15" s="340">
        <v>23</v>
      </c>
      <c r="D15" s="10">
        <v>2.895</v>
      </c>
      <c r="E15" s="7">
        <v>6</v>
      </c>
      <c r="F15" s="141">
        <f t="shared" si="0"/>
        <v>0.51749999999999996</v>
      </c>
      <c r="G15" s="142">
        <f t="shared" si="1"/>
        <v>66.584999999999994</v>
      </c>
      <c r="H15" s="143">
        <f t="shared" si="2"/>
        <v>138</v>
      </c>
      <c r="I15" s="97"/>
    </row>
    <row r="16" spans="1:17" ht="15" customHeight="1" x14ac:dyDescent="0.25">
      <c r="A16" s="314">
        <f t="shared" si="3"/>
        <v>15</v>
      </c>
      <c r="B16" s="314" t="s">
        <v>1238</v>
      </c>
      <c r="C16" s="340">
        <v>0</v>
      </c>
      <c r="D16" s="10">
        <v>4.63</v>
      </c>
      <c r="E16" s="7">
        <v>10</v>
      </c>
      <c r="F16" s="141">
        <f t="shared" si="0"/>
        <v>0.53700000000000003</v>
      </c>
      <c r="G16" s="142">
        <f t="shared" si="1"/>
        <v>0</v>
      </c>
      <c r="H16" s="143">
        <f t="shared" si="2"/>
        <v>0</v>
      </c>
      <c r="I16" s="97"/>
    </row>
    <row r="17" spans="1:12" ht="15" customHeight="1" x14ac:dyDescent="0.25">
      <c r="A17" s="314">
        <f t="shared" si="3"/>
        <v>16</v>
      </c>
      <c r="B17" s="314" t="s">
        <v>317</v>
      </c>
      <c r="C17" s="340">
        <v>1</v>
      </c>
      <c r="D17" s="10">
        <v>16.600000000000001</v>
      </c>
      <c r="E17" s="7">
        <v>29</v>
      </c>
      <c r="F17" s="141">
        <f t="shared" si="0"/>
        <v>0.42758620689655169</v>
      </c>
      <c r="G17" s="142">
        <f t="shared" si="1"/>
        <v>16.600000000000001</v>
      </c>
      <c r="H17" s="143">
        <f t="shared" si="2"/>
        <v>29</v>
      </c>
      <c r="I17" s="97"/>
    </row>
    <row r="18" spans="1:12" ht="15" customHeight="1" x14ac:dyDescent="0.25">
      <c r="A18" s="314">
        <f t="shared" si="3"/>
        <v>17</v>
      </c>
      <c r="B18" s="314" t="s">
        <v>1432</v>
      </c>
      <c r="C18" s="340">
        <v>12</v>
      </c>
      <c r="D18" s="10">
        <v>1.7</v>
      </c>
      <c r="E18" s="7">
        <v>5</v>
      </c>
      <c r="F18" s="141">
        <f t="shared" si="0"/>
        <v>0.65999999999999992</v>
      </c>
      <c r="G18" s="142">
        <f t="shared" si="1"/>
        <v>20.399999999999999</v>
      </c>
      <c r="H18" s="143">
        <f t="shared" si="2"/>
        <v>60</v>
      </c>
      <c r="I18" s="97"/>
    </row>
    <row r="19" spans="1:12" ht="15" customHeight="1" x14ac:dyDescent="0.25">
      <c r="A19" s="314">
        <f t="shared" si="3"/>
        <v>18</v>
      </c>
      <c r="B19" s="314" t="s">
        <v>1433</v>
      </c>
      <c r="C19" s="340">
        <v>0</v>
      </c>
      <c r="D19" s="10">
        <v>29.95</v>
      </c>
      <c r="E19" s="7">
        <v>50</v>
      </c>
      <c r="F19" s="141">
        <f t="shared" si="0"/>
        <v>0.40100000000000002</v>
      </c>
      <c r="G19" s="142">
        <f t="shared" si="1"/>
        <v>0</v>
      </c>
      <c r="H19" s="143">
        <f t="shared" si="2"/>
        <v>0</v>
      </c>
      <c r="I19" s="97"/>
    </row>
    <row r="20" spans="1:12" ht="15" customHeight="1" x14ac:dyDescent="0.25">
      <c r="A20" s="314">
        <f t="shared" si="3"/>
        <v>19</v>
      </c>
      <c r="B20" s="314" t="s">
        <v>1240</v>
      </c>
      <c r="C20" s="340">
        <v>3</v>
      </c>
      <c r="D20" s="10">
        <v>12</v>
      </c>
      <c r="E20" s="7">
        <v>23</v>
      </c>
      <c r="F20" s="141">
        <f t="shared" si="0"/>
        <v>0.47826086956521741</v>
      </c>
      <c r="G20" s="142">
        <f t="shared" si="1"/>
        <v>36</v>
      </c>
      <c r="H20" s="143">
        <f t="shared" si="2"/>
        <v>69</v>
      </c>
      <c r="I20" s="97"/>
    </row>
    <row r="21" spans="1:12" ht="15" customHeight="1" x14ac:dyDescent="0.25">
      <c r="A21" s="314">
        <f t="shared" si="3"/>
        <v>20</v>
      </c>
      <c r="B21" s="314" t="s">
        <v>1241</v>
      </c>
      <c r="C21" s="340">
        <v>3</v>
      </c>
      <c r="D21" s="15">
        <v>14.65</v>
      </c>
      <c r="E21" s="7">
        <v>25</v>
      </c>
      <c r="F21" s="141">
        <f t="shared" si="0"/>
        <v>0.41399999999999998</v>
      </c>
      <c r="G21" s="142">
        <f t="shared" si="1"/>
        <v>43.95</v>
      </c>
      <c r="H21" s="143">
        <f t="shared" si="2"/>
        <v>75</v>
      </c>
      <c r="I21" s="97"/>
    </row>
    <row r="22" spans="1:12" ht="15" customHeight="1" x14ac:dyDescent="0.25">
      <c r="A22" s="314">
        <f t="shared" si="3"/>
        <v>21</v>
      </c>
      <c r="B22" s="314" t="s">
        <v>893</v>
      </c>
      <c r="C22" s="340">
        <v>9</v>
      </c>
      <c r="D22" s="10">
        <v>8.0399999999999991</v>
      </c>
      <c r="E22" s="7">
        <v>18</v>
      </c>
      <c r="F22" s="141">
        <f t="shared" si="0"/>
        <v>0.55333333333333334</v>
      </c>
      <c r="G22" s="142">
        <f t="shared" si="1"/>
        <v>72.359999999999985</v>
      </c>
      <c r="H22" s="143">
        <f t="shared" si="2"/>
        <v>162</v>
      </c>
      <c r="I22" s="97"/>
    </row>
    <row r="23" spans="1:12" s="97" customFormat="1" ht="15" customHeight="1" x14ac:dyDescent="0.25">
      <c r="A23" s="314">
        <f t="shared" si="3"/>
        <v>22</v>
      </c>
      <c r="B23" s="314" t="s">
        <v>1242</v>
      </c>
      <c r="C23" s="340">
        <v>3</v>
      </c>
      <c r="D23" s="10">
        <v>10.8</v>
      </c>
      <c r="E23" s="7">
        <v>19</v>
      </c>
      <c r="F23" s="141">
        <f t="shared" si="0"/>
        <v>0.43157894736842101</v>
      </c>
      <c r="G23" s="142">
        <f t="shared" si="1"/>
        <v>32.400000000000006</v>
      </c>
      <c r="H23" s="143">
        <f t="shared" si="2"/>
        <v>57</v>
      </c>
      <c r="J23"/>
      <c r="K23"/>
      <c r="L23"/>
    </row>
    <row r="24" spans="1:12" s="97" customFormat="1" ht="15" customHeight="1" x14ac:dyDescent="0.25">
      <c r="A24" s="314">
        <f t="shared" si="3"/>
        <v>23</v>
      </c>
      <c r="B24" s="4" t="s">
        <v>681</v>
      </c>
      <c r="C24" s="340">
        <v>4</v>
      </c>
      <c r="D24" s="10">
        <v>4.4000000000000004</v>
      </c>
      <c r="E24" s="7">
        <v>9</v>
      </c>
      <c r="F24" s="141">
        <f t="shared" si="0"/>
        <v>0.51111111111111107</v>
      </c>
      <c r="G24" s="142">
        <f t="shared" si="1"/>
        <v>17.600000000000001</v>
      </c>
      <c r="H24" s="143">
        <f t="shared" si="2"/>
        <v>36</v>
      </c>
      <c r="J24"/>
      <c r="K24"/>
      <c r="L24"/>
    </row>
    <row r="25" spans="1:12" ht="15" customHeight="1" x14ac:dyDescent="0.25">
      <c r="A25" s="314">
        <f t="shared" si="3"/>
        <v>24</v>
      </c>
      <c r="B25" s="314" t="s">
        <v>1243</v>
      </c>
      <c r="C25" s="340">
        <v>14</v>
      </c>
      <c r="D25" s="10">
        <v>3.56</v>
      </c>
      <c r="E25" s="7">
        <v>6</v>
      </c>
      <c r="F25" s="141">
        <f t="shared" si="0"/>
        <v>0.40666666666666668</v>
      </c>
      <c r="G25" s="142">
        <f t="shared" si="1"/>
        <v>49.84</v>
      </c>
      <c r="H25" s="143">
        <f t="shared" si="2"/>
        <v>84</v>
      </c>
      <c r="I25" s="97"/>
      <c r="J25" s="97"/>
      <c r="K25" s="97"/>
      <c r="L25" s="97"/>
    </row>
    <row r="26" spans="1:12" ht="15" customHeight="1" x14ac:dyDescent="0.25">
      <c r="A26" s="314">
        <f t="shared" si="3"/>
        <v>25</v>
      </c>
      <c r="B26" s="314" t="s">
        <v>1245</v>
      </c>
      <c r="C26" s="340">
        <v>16</v>
      </c>
      <c r="D26" s="10">
        <v>5</v>
      </c>
      <c r="E26" s="7">
        <v>9</v>
      </c>
      <c r="F26" s="141">
        <f t="shared" si="0"/>
        <v>0.44444444444444442</v>
      </c>
      <c r="G26" s="142">
        <f t="shared" si="1"/>
        <v>80</v>
      </c>
      <c r="H26" s="143">
        <f t="shared" si="2"/>
        <v>144</v>
      </c>
      <c r="I26" s="97"/>
    </row>
    <row r="27" spans="1:12" ht="15" customHeight="1" x14ac:dyDescent="0.25">
      <c r="A27" s="314">
        <f t="shared" si="3"/>
        <v>26</v>
      </c>
      <c r="B27" s="314" t="s">
        <v>1244</v>
      </c>
      <c r="C27" s="340">
        <v>13</v>
      </c>
      <c r="D27" s="10">
        <v>2.5950000000000002</v>
      </c>
      <c r="E27" s="7">
        <v>5</v>
      </c>
      <c r="F27" s="141">
        <f t="shared" si="0"/>
        <v>0.48099999999999998</v>
      </c>
      <c r="G27" s="142">
        <f t="shared" si="1"/>
        <v>33.734999999999999</v>
      </c>
      <c r="H27" s="143">
        <f t="shared" si="2"/>
        <v>65</v>
      </c>
      <c r="I27" s="97"/>
    </row>
    <row r="28" spans="1:12" ht="15" customHeight="1" x14ac:dyDescent="0.25">
      <c r="A28" s="314">
        <f t="shared" si="3"/>
        <v>27</v>
      </c>
      <c r="B28" s="314" t="s">
        <v>1210</v>
      </c>
      <c r="C28" s="340">
        <v>2</v>
      </c>
      <c r="D28" s="10">
        <v>19.95</v>
      </c>
      <c r="E28" s="7">
        <v>37</v>
      </c>
      <c r="F28" s="141">
        <f t="shared" si="0"/>
        <v>0.46081081081081082</v>
      </c>
      <c r="G28" s="142">
        <f t="shared" si="1"/>
        <v>39.9</v>
      </c>
      <c r="H28" s="143">
        <f t="shared" si="2"/>
        <v>74</v>
      </c>
      <c r="I28" s="97"/>
    </row>
    <row r="29" spans="1:12" ht="15" customHeight="1" x14ac:dyDescent="0.25">
      <c r="A29" s="314">
        <f t="shared" si="3"/>
        <v>28</v>
      </c>
      <c r="B29" s="314" t="s">
        <v>1211</v>
      </c>
      <c r="C29" s="589">
        <v>5</v>
      </c>
      <c r="D29" s="10">
        <v>4.3</v>
      </c>
      <c r="E29" s="7">
        <v>7</v>
      </c>
      <c r="F29" s="141">
        <f t="shared" si="0"/>
        <v>0.38571428571428573</v>
      </c>
      <c r="G29" s="142">
        <f t="shared" si="1"/>
        <v>21.5</v>
      </c>
      <c r="H29" s="143">
        <f t="shared" si="2"/>
        <v>35</v>
      </c>
      <c r="I29" s="97"/>
    </row>
    <row r="30" spans="1:12" ht="15" customHeight="1" x14ac:dyDescent="0.25">
      <c r="A30" s="314">
        <f t="shared" si="3"/>
        <v>29</v>
      </c>
      <c r="B30" s="314" t="s">
        <v>1246</v>
      </c>
      <c r="C30" s="340">
        <v>8</v>
      </c>
      <c r="D30" s="10">
        <v>4.5949999999999998</v>
      </c>
      <c r="E30" s="7">
        <v>10</v>
      </c>
      <c r="F30" s="141">
        <f t="shared" si="0"/>
        <v>0.54049999999999998</v>
      </c>
      <c r="G30" s="142">
        <f t="shared" si="1"/>
        <v>36.76</v>
      </c>
      <c r="H30" s="143">
        <f t="shared" si="2"/>
        <v>80</v>
      </c>
      <c r="I30" s="97"/>
    </row>
    <row r="31" spans="1:12" ht="15" customHeight="1" x14ac:dyDescent="0.25">
      <c r="A31" s="314">
        <f t="shared" si="3"/>
        <v>30</v>
      </c>
      <c r="B31" s="314" t="s">
        <v>894</v>
      </c>
      <c r="C31" s="340">
        <v>40</v>
      </c>
      <c r="D31" s="10">
        <v>0.69499999999999995</v>
      </c>
      <c r="E31" s="7">
        <v>1.5</v>
      </c>
      <c r="F31" s="141">
        <f t="shared" si="0"/>
        <v>0.53666666666666674</v>
      </c>
      <c r="G31" s="142">
        <f t="shared" si="1"/>
        <v>27.799999999999997</v>
      </c>
      <c r="H31" s="143">
        <f t="shared" si="2"/>
        <v>60</v>
      </c>
      <c r="I31" s="97"/>
    </row>
    <row r="32" spans="1:12" ht="15" customHeight="1" x14ac:dyDescent="0.25">
      <c r="A32" s="314">
        <f t="shared" si="3"/>
        <v>31</v>
      </c>
      <c r="B32" s="314" t="s">
        <v>1247</v>
      </c>
      <c r="C32" s="340">
        <v>4</v>
      </c>
      <c r="D32" s="10">
        <v>17.55</v>
      </c>
      <c r="E32" s="7">
        <v>30</v>
      </c>
      <c r="F32" s="141">
        <f t="shared" si="0"/>
        <v>0.41499999999999998</v>
      </c>
      <c r="G32" s="142">
        <f t="shared" si="1"/>
        <v>70.2</v>
      </c>
      <c r="H32" s="143">
        <f t="shared" si="2"/>
        <v>120</v>
      </c>
      <c r="I32" s="97"/>
    </row>
    <row r="33" spans="1:17" ht="15" customHeight="1" x14ac:dyDescent="0.25">
      <c r="A33" s="314">
        <f t="shared" si="3"/>
        <v>32</v>
      </c>
      <c r="B33" s="314" t="s">
        <v>1455</v>
      </c>
      <c r="C33" s="195">
        <v>8</v>
      </c>
      <c r="D33" s="10">
        <v>8.3149999999999995</v>
      </c>
      <c r="E33" s="7">
        <v>17</v>
      </c>
      <c r="F33" s="141">
        <f t="shared" si="0"/>
        <v>0.51088235294117645</v>
      </c>
      <c r="G33" s="142">
        <f t="shared" si="1"/>
        <v>66.52</v>
      </c>
      <c r="H33" s="143">
        <f t="shared" si="2"/>
        <v>136</v>
      </c>
      <c r="I33" s="97"/>
    </row>
    <row r="34" spans="1:17" ht="15" customHeight="1" x14ac:dyDescent="0.25">
      <c r="A34" s="314">
        <f t="shared" si="3"/>
        <v>33</v>
      </c>
      <c r="B34" s="314" t="s">
        <v>1213</v>
      </c>
      <c r="C34" s="340">
        <v>2</v>
      </c>
      <c r="D34" s="10">
        <v>9.75</v>
      </c>
      <c r="E34" s="7">
        <v>17</v>
      </c>
      <c r="F34" s="141">
        <f t="shared" ref="F34:F65" si="4">(E34-D34)/(E34)</f>
        <v>0.4264705882352941</v>
      </c>
      <c r="G34" s="142">
        <f t="shared" ref="G34:G65" si="5">D34*C34</f>
        <v>19.5</v>
      </c>
      <c r="H34" s="143">
        <f t="shared" ref="H34:H65" si="6">E34*C34</f>
        <v>34</v>
      </c>
      <c r="I34" s="97"/>
    </row>
    <row r="35" spans="1:17" ht="15" customHeight="1" x14ac:dyDescent="0.25">
      <c r="A35" s="314">
        <f t="shared" si="3"/>
        <v>34</v>
      </c>
      <c r="B35" s="314" t="s">
        <v>1212</v>
      </c>
      <c r="C35" s="340">
        <v>2</v>
      </c>
      <c r="D35" s="10">
        <v>8.75</v>
      </c>
      <c r="E35" s="7">
        <v>16</v>
      </c>
      <c r="F35" s="141">
        <f t="shared" si="4"/>
        <v>0.453125</v>
      </c>
      <c r="G35" s="142">
        <f t="shared" si="5"/>
        <v>17.5</v>
      </c>
      <c r="H35" s="143">
        <f t="shared" si="6"/>
        <v>32</v>
      </c>
      <c r="I35" s="97"/>
    </row>
    <row r="36" spans="1:17" s="115" customFormat="1" ht="14.25" customHeight="1" x14ac:dyDescent="0.25">
      <c r="A36" s="314">
        <f t="shared" si="3"/>
        <v>35</v>
      </c>
      <c r="B36" s="314" t="s">
        <v>1248</v>
      </c>
      <c r="C36" s="340">
        <v>89</v>
      </c>
      <c r="D36" s="10">
        <v>5.44</v>
      </c>
      <c r="E36" s="7">
        <v>9</v>
      </c>
      <c r="F36" s="141">
        <f t="shared" si="4"/>
        <v>0.39555555555555549</v>
      </c>
      <c r="G36" s="142">
        <f t="shared" si="5"/>
        <v>484.16</v>
      </c>
      <c r="H36" s="143">
        <f t="shared" si="6"/>
        <v>801</v>
      </c>
      <c r="I36" s="97"/>
      <c r="J36" s="97"/>
      <c r="K36" s="97"/>
      <c r="L36" s="97"/>
      <c r="M36" s="289"/>
      <c r="N36" s="289"/>
      <c r="O36" s="286"/>
      <c r="P36" s="287"/>
      <c r="Q36" s="288"/>
    </row>
    <row r="37" spans="1:17" s="115" customFormat="1" ht="15" customHeight="1" x14ac:dyDescent="0.25">
      <c r="A37" s="314">
        <f t="shared" si="3"/>
        <v>36</v>
      </c>
      <c r="B37" s="314" t="s">
        <v>1224</v>
      </c>
      <c r="C37" s="340">
        <v>15</v>
      </c>
      <c r="D37" s="10">
        <v>0.8</v>
      </c>
      <c r="E37" s="7">
        <v>2</v>
      </c>
      <c r="F37" s="141">
        <f t="shared" si="4"/>
        <v>0.6</v>
      </c>
      <c r="G37" s="142">
        <f t="shared" si="5"/>
        <v>12</v>
      </c>
      <c r="H37" s="143">
        <f t="shared" si="6"/>
        <v>30</v>
      </c>
      <c r="I37" s="97"/>
      <c r="J37" s="97"/>
      <c r="K37" s="97"/>
      <c r="L37" s="97"/>
      <c r="M37" s="97"/>
      <c r="N37" s="97"/>
    </row>
    <row r="38" spans="1:17" ht="15" customHeight="1" x14ac:dyDescent="0.25">
      <c r="A38" s="314">
        <f t="shared" si="3"/>
        <v>37</v>
      </c>
      <c r="B38" s="314" t="s">
        <v>1249</v>
      </c>
      <c r="C38" s="340">
        <v>1</v>
      </c>
      <c r="D38" s="10">
        <v>22.95</v>
      </c>
      <c r="E38" s="7">
        <v>40</v>
      </c>
      <c r="F38" s="141">
        <f t="shared" si="4"/>
        <v>0.42625000000000002</v>
      </c>
      <c r="G38" s="142">
        <f t="shared" si="5"/>
        <v>22.95</v>
      </c>
      <c r="H38" s="143">
        <f t="shared" si="6"/>
        <v>40</v>
      </c>
      <c r="I38" s="97"/>
    </row>
    <row r="39" spans="1:17" ht="15" customHeight="1" x14ac:dyDescent="0.25">
      <c r="A39" s="314">
        <f t="shared" si="3"/>
        <v>38</v>
      </c>
      <c r="B39" s="314" t="s">
        <v>1250</v>
      </c>
      <c r="C39" s="340">
        <v>1</v>
      </c>
      <c r="D39" s="10">
        <v>23.85</v>
      </c>
      <c r="E39" s="7">
        <v>39</v>
      </c>
      <c r="F39" s="141">
        <f t="shared" si="4"/>
        <v>0.38846153846153841</v>
      </c>
      <c r="G39" s="142">
        <f t="shared" si="5"/>
        <v>23.85</v>
      </c>
      <c r="H39" s="143">
        <f t="shared" si="6"/>
        <v>39</v>
      </c>
      <c r="I39" s="97"/>
    </row>
    <row r="40" spans="1:17" ht="15" customHeight="1" x14ac:dyDescent="0.25">
      <c r="A40" s="314">
        <f t="shared" si="3"/>
        <v>39</v>
      </c>
      <c r="B40" s="314" t="s">
        <v>1322</v>
      </c>
      <c r="C40" s="340">
        <v>3</v>
      </c>
      <c r="D40" s="10">
        <v>13.45</v>
      </c>
      <c r="E40" s="7">
        <v>23</v>
      </c>
      <c r="F40" s="141">
        <f t="shared" si="4"/>
        <v>0.41521739130434787</v>
      </c>
      <c r="G40" s="142">
        <f t="shared" si="5"/>
        <v>40.349999999999994</v>
      </c>
      <c r="H40" s="143">
        <f t="shared" si="6"/>
        <v>69</v>
      </c>
      <c r="I40" s="97"/>
    </row>
    <row r="41" spans="1:17" s="97" customFormat="1" ht="15" customHeight="1" x14ac:dyDescent="0.25">
      <c r="A41" s="314">
        <f t="shared" si="3"/>
        <v>40</v>
      </c>
      <c r="B41" s="314" t="s">
        <v>1417</v>
      </c>
      <c r="C41" s="340">
        <v>33</v>
      </c>
      <c r="D41" s="10">
        <v>5.62</v>
      </c>
      <c r="E41" s="7">
        <v>15</v>
      </c>
      <c r="F41" s="141">
        <f t="shared" si="4"/>
        <v>0.6253333333333333</v>
      </c>
      <c r="G41" s="142">
        <f t="shared" si="5"/>
        <v>185.46</v>
      </c>
      <c r="H41" s="143">
        <f t="shared" si="6"/>
        <v>495</v>
      </c>
      <c r="J41"/>
      <c r="K41"/>
      <c r="L41"/>
    </row>
    <row r="42" spans="1:17" s="97" customFormat="1" ht="15" customHeight="1" x14ac:dyDescent="0.25">
      <c r="A42" s="314">
        <f t="shared" si="3"/>
        <v>41</v>
      </c>
      <c r="B42" s="314" t="s">
        <v>1251</v>
      </c>
      <c r="C42" s="340">
        <v>13</v>
      </c>
      <c r="D42" s="10">
        <v>2.78</v>
      </c>
      <c r="E42" s="7">
        <v>5</v>
      </c>
      <c r="F42" s="141">
        <f t="shared" si="4"/>
        <v>0.44400000000000006</v>
      </c>
      <c r="G42" s="142">
        <f t="shared" si="5"/>
        <v>36.14</v>
      </c>
      <c r="H42" s="143">
        <f t="shared" si="6"/>
        <v>65</v>
      </c>
    </row>
    <row r="43" spans="1:17" s="97" customFormat="1" ht="15" customHeight="1" x14ac:dyDescent="0.25">
      <c r="A43" s="314">
        <f t="shared" si="3"/>
        <v>42</v>
      </c>
      <c r="B43" s="314" t="s">
        <v>1252</v>
      </c>
      <c r="C43" s="340">
        <v>13</v>
      </c>
      <c r="D43" s="10">
        <v>4.4000000000000004</v>
      </c>
      <c r="E43" s="7">
        <v>8</v>
      </c>
      <c r="F43" s="141">
        <f t="shared" si="4"/>
        <v>0.44999999999999996</v>
      </c>
      <c r="G43" s="142">
        <f t="shared" si="5"/>
        <v>57.2</v>
      </c>
      <c r="H43" s="143">
        <f t="shared" si="6"/>
        <v>104</v>
      </c>
    </row>
    <row r="44" spans="1:17" s="97" customFormat="1" ht="15" customHeight="1" x14ac:dyDescent="0.25">
      <c r="A44" s="314">
        <f t="shared" si="3"/>
        <v>43</v>
      </c>
      <c r="B44" s="314" t="s">
        <v>1253</v>
      </c>
      <c r="C44" s="340">
        <v>4</v>
      </c>
      <c r="D44" s="10">
        <v>22.95</v>
      </c>
      <c r="E44" s="7">
        <v>39</v>
      </c>
      <c r="F44" s="141">
        <f t="shared" si="4"/>
        <v>0.41153846153846158</v>
      </c>
      <c r="G44" s="142">
        <f t="shared" si="5"/>
        <v>91.8</v>
      </c>
      <c r="H44" s="143">
        <f t="shared" si="6"/>
        <v>156</v>
      </c>
    </row>
    <row r="45" spans="1:17" s="97" customFormat="1" ht="15" customHeight="1" x14ac:dyDescent="0.25">
      <c r="A45" s="314">
        <f t="shared" si="3"/>
        <v>44</v>
      </c>
      <c r="B45" s="314" t="s">
        <v>1254</v>
      </c>
      <c r="C45" s="340">
        <v>11</v>
      </c>
      <c r="D45" s="10">
        <v>4</v>
      </c>
      <c r="E45" s="7">
        <v>7</v>
      </c>
      <c r="F45" s="141">
        <f t="shared" si="4"/>
        <v>0.42857142857142855</v>
      </c>
      <c r="G45" s="142">
        <f t="shared" si="5"/>
        <v>44</v>
      </c>
      <c r="H45" s="143">
        <f t="shared" si="6"/>
        <v>77</v>
      </c>
    </row>
    <row r="46" spans="1:17" ht="15" customHeight="1" x14ac:dyDescent="0.25">
      <c r="A46" s="314">
        <f t="shared" si="3"/>
        <v>45</v>
      </c>
      <c r="B46" s="314" t="s">
        <v>780</v>
      </c>
      <c r="C46" s="340">
        <v>63</v>
      </c>
      <c r="D46" s="10">
        <v>0.43</v>
      </c>
      <c r="E46" s="7">
        <v>0.95</v>
      </c>
      <c r="F46" s="141">
        <f t="shared" si="4"/>
        <v>0.54736842105263162</v>
      </c>
      <c r="G46" s="142">
        <f t="shared" si="5"/>
        <v>27.09</v>
      </c>
      <c r="H46" s="143">
        <f t="shared" si="6"/>
        <v>59.849999999999994</v>
      </c>
      <c r="I46" s="97"/>
      <c r="J46" s="97"/>
      <c r="K46" s="97"/>
      <c r="L46" s="97"/>
    </row>
    <row r="47" spans="1:17" ht="15" customHeight="1" x14ac:dyDescent="0.25">
      <c r="A47" s="314">
        <f t="shared" si="3"/>
        <v>46</v>
      </c>
      <c r="B47" s="314" t="s">
        <v>542</v>
      </c>
      <c r="C47" s="341">
        <v>4</v>
      </c>
      <c r="D47" s="18">
        <v>9.85</v>
      </c>
      <c r="E47" s="44">
        <v>17</v>
      </c>
      <c r="F47" s="141">
        <f t="shared" si="4"/>
        <v>0.42058823529411765</v>
      </c>
      <c r="G47" s="142">
        <f t="shared" si="5"/>
        <v>39.4</v>
      </c>
      <c r="H47" s="143">
        <f t="shared" si="6"/>
        <v>68</v>
      </c>
      <c r="I47" s="97"/>
    </row>
    <row r="48" spans="1:17" ht="15" customHeight="1" x14ac:dyDescent="0.25">
      <c r="A48" s="314">
        <f t="shared" si="3"/>
        <v>47</v>
      </c>
      <c r="B48" s="314" t="s">
        <v>1256</v>
      </c>
      <c r="C48" s="341">
        <v>9</v>
      </c>
      <c r="D48" s="18">
        <v>2.875</v>
      </c>
      <c r="E48" s="44">
        <v>7</v>
      </c>
      <c r="F48" s="141">
        <f t="shared" si="4"/>
        <v>0.5892857142857143</v>
      </c>
      <c r="G48" s="142">
        <f t="shared" si="5"/>
        <v>25.875</v>
      </c>
      <c r="H48" s="143">
        <f t="shared" si="6"/>
        <v>63</v>
      </c>
      <c r="I48" s="97"/>
    </row>
    <row r="49" spans="1:12" ht="15" customHeight="1" x14ac:dyDescent="0.25">
      <c r="A49" s="314">
        <f t="shared" si="3"/>
        <v>48</v>
      </c>
      <c r="B49" s="314" t="s">
        <v>1255</v>
      </c>
      <c r="C49" s="340">
        <v>8</v>
      </c>
      <c r="D49" s="10">
        <v>4.4000000000000004</v>
      </c>
      <c r="E49" s="7">
        <v>9</v>
      </c>
      <c r="F49" s="141">
        <f t="shared" si="4"/>
        <v>0.51111111111111107</v>
      </c>
      <c r="G49" s="142">
        <f t="shared" si="5"/>
        <v>35.200000000000003</v>
      </c>
      <c r="H49" s="143">
        <f t="shared" si="6"/>
        <v>72</v>
      </c>
      <c r="I49" s="97"/>
    </row>
    <row r="50" spans="1:12" ht="15" customHeight="1" x14ac:dyDescent="0.25">
      <c r="A50" s="314">
        <f t="shared" si="3"/>
        <v>49</v>
      </c>
      <c r="B50" s="314" t="s">
        <v>1257</v>
      </c>
      <c r="C50" s="340">
        <v>49</v>
      </c>
      <c r="D50" s="10">
        <v>0.43</v>
      </c>
      <c r="E50" s="7">
        <v>0.8</v>
      </c>
      <c r="F50" s="141">
        <f t="shared" si="4"/>
        <v>0.46250000000000002</v>
      </c>
      <c r="G50" s="142">
        <f t="shared" si="5"/>
        <v>21.07</v>
      </c>
      <c r="H50" s="143">
        <f t="shared" si="6"/>
        <v>39.200000000000003</v>
      </c>
      <c r="I50" s="97"/>
    </row>
    <row r="51" spans="1:12" ht="15" customHeight="1" x14ac:dyDescent="0.25">
      <c r="A51" s="314">
        <f t="shared" si="3"/>
        <v>50</v>
      </c>
      <c r="B51" s="314" t="s">
        <v>1258</v>
      </c>
      <c r="C51" s="340">
        <v>24</v>
      </c>
      <c r="D51" s="10">
        <v>0.94</v>
      </c>
      <c r="E51" s="7">
        <v>2.5</v>
      </c>
      <c r="F51" s="141">
        <f t="shared" si="4"/>
        <v>0.624</v>
      </c>
      <c r="G51" s="142">
        <f t="shared" si="5"/>
        <v>22.56</v>
      </c>
      <c r="H51" s="143">
        <f t="shared" si="6"/>
        <v>60</v>
      </c>
      <c r="I51" s="97"/>
    </row>
    <row r="52" spans="1:12" ht="14.25" customHeight="1" x14ac:dyDescent="0.25">
      <c r="A52" s="314">
        <f t="shared" si="3"/>
        <v>51</v>
      </c>
      <c r="B52" s="314" t="s">
        <v>1259</v>
      </c>
      <c r="C52" s="340">
        <v>12</v>
      </c>
      <c r="D52" s="10">
        <v>1.2649999999999999</v>
      </c>
      <c r="E52" s="7">
        <v>2.5</v>
      </c>
      <c r="F52" s="141">
        <f t="shared" si="4"/>
        <v>0.49400000000000005</v>
      </c>
      <c r="G52" s="142">
        <f t="shared" si="5"/>
        <v>15.18</v>
      </c>
      <c r="H52" s="143">
        <f t="shared" si="6"/>
        <v>30</v>
      </c>
      <c r="I52" s="97"/>
    </row>
    <row r="53" spans="1:12" ht="15" customHeight="1" x14ac:dyDescent="0.25">
      <c r="A53" s="314">
        <f t="shared" si="3"/>
        <v>52</v>
      </c>
      <c r="B53" s="314" t="s">
        <v>895</v>
      </c>
      <c r="C53" s="340">
        <v>9</v>
      </c>
      <c r="D53" s="10">
        <v>8.35</v>
      </c>
      <c r="E53" s="7">
        <v>17</v>
      </c>
      <c r="F53" s="141">
        <f t="shared" si="4"/>
        <v>0.50882352941176467</v>
      </c>
      <c r="G53" s="142">
        <f t="shared" si="5"/>
        <v>75.149999999999991</v>
      </c>
      <c r="H53" s="143">
        <f t="shared" si="6"/>
        <v>153</v>
      </c>
      <c r="I53" s="97"/>
    </row>
    <row r="54" spans="1:12" ht="15" customHeight="1" x14ac:dyDescent="0.25">
      <c r="A54" s="314">
        <f t="shared" si="3"/>
        <v>53</v>
      </c>
      <c r="B54" s="314" t="s">
        <v>1223</v>
      </c>
      <c r="C54" s="340">
        <v>11</v>
      </c>
      <c r="D54" s="10">
        <v>1.75</v>
      </c>
      <c r="E54" s="7">
        <v>3</v>
      </c>
      <c r="F54" s="141">
        <f t="shared" si="4"/>
        <v>0.41666666666666669</v>
      </c>
      <c r="G54" s="142">
        <f t="shared" si="5"/>
        <v>19.25</v>
      </c>
      <c r="H54" s="143">
        <f t="shared" si="6"/>
        <v>33</v>
      </c>
      <c r="I54" s="97"/>
    </row>
    <row r="55" spans="1:12" ht="15" customHeight="1" x14ac:dyDescent="0.25">
      <c r="A55" s="314">
        <f t="shared" si="3"/>
        <v>54</v>
      </c>
      <c r="B55" s="314" t="s">
        <v>1260</v>
      </c>
      <c r="C55" s="340">
        <v>10</v>
      </c>
      <c r="D55" s="10">
        <v>6.5</v>
      </c>
      <c r="E55" s="7">
        <v>12</v>
      </c>
      <c r="F55" s="141">
        <f t="shared" si="4"/>
        <v>0.45833333333333331</v>
      </c>
      <c r="G55" s="142">
        <f t="shared" si="5"/>
        <v>65</v>
      </c>
      <c r="H55" s="143">
        <f t="shared" si="6"/>
        <v>120</v>
      </c>
      <c r="I55" s="97"/>
    </row>
    <row r="56" spans="1:12" ht="15" customHeight="1" x14ac:dyDescent="0.25">
      <c r="A56" s="314">
        <f t="shared" si="3"/>
        <v>55</v>
      </c>
      <c r="B56" s="314" t="s">
        <v>1261</v>
      </c>
      <c r="C56" s="340">
        <v>3</v>
      </c>
      <c r="D56" s="10">
        <v>6.75</v>
      </c>
      <c r="E56" s="7">
        <v>13</v>
      </c>
      <c r="F56" s="141">
        <f t="shared" si="4"/>
        <v>0.48076923076923078</v>
      </c>
      <c r="G56" s="142">
        <f t="shared" si="5"/>
        <v>20.25</v>
      </c>
      <c r="H56" s="143">
        <f t="shared" si="6"/>
        <v>39</v>
      </c>
      <c r="I56" s="97"/>
    </row>
    <row r="57" spans="1:12" ht="15" customHeight="1" x14ac:dyDescent="0.25">
      <c r="A57" s="314">
        <f t="shared" si="3"/>
        <v>56</v>
      </c>
      <c r="B57" s="314" t="s">
        <v>1262</v>
      </c>
      <c r="C57" s="340">
        <v>3</v>
      </c>
      <c r="D57" s="10">
        <v>4.04</v>
      </c>
      <c r="E57" s="7">
        <v>7</v>
      </c>
      <c r="F57" s="141">
        <f t="shared" si="4"/>
        <v>0.42285714285714288</v>
      </c>
      <c r="G57" s="142">
        <f t="shared" si="5"/>
        <v>12.120000000000001</v>
      </c>
      <c r="H57" s="143">
        <f t="shared" si="6"/>
        <v>21</v>
      </c>
      <c r="I57" s="97"/>
    </row>
    <row r="58" spans="1:12" ht="15" customHeight="1" x14ac:dyDescent="0.25">
      <c r="A58" s="314">
        <f t="shared" si="3"/>
        <v>57</v>
      </c>
      <c r="B58" s="314" t="s">
        <v>80</v>
      </c>
      <c r="C58" s="340">
        <v>6</v>
      </c>
      <c r="D58" s="15">
        <v>10.68</v>
      </c>
      <c r="E58" s="7">
        <v>19</v>
      </c>
      <c r="F58" s="141">
        <f t="shared" si="4"/>
        <v>0.43789473684210528</v>
      </c>
      <c r="G58" s="142">
        <f t="shared" si="5"/>
        <v>64.08</v>
      </c>
      <c r="H58" s="143">
        <f t="shared" si="6"/>
        <v>114</v>
      </c>
      <c r="I58" s="97"/>
      <c r="L58" s="97"/>
    </row>
    <row r="59" spans="1:12" ht="15" customHeight="1" x14ac:dyDescent="0.25">
      <c r="A59" s="314">
        <f t="shared" si="3"/>
        <v>58</v>
      </c>
      <c r="B59" s="314" t="s">
        <v>1263</v>
      </c>
      <c r="C59" s="653">
        <v>66</v>
      </c>
      <c r="D59" s="10">
        <v>1.25</v>
      </c>
      <c r="E59" s="7">
        <v>4</v>
      </c>
      <c r="F59" s="141">
        <f t="shared" si="4"/>
        <v>0.6875</v>
      </c>
      <c r="G59" s="142">
        <f t="shared" si="5"/>
        <v>82.5</v>
      </c>
      <c r="H59" s="143">
        <f t="shared" si="6"/>
        <v>264</v>
      </c>
      <c r="I59" s="148"/>
    </row>
    <row r="60" spans="1:12" ht="15" customHeight="1" x14ac:dyDescent="0.25">
      <c r="A60" s="314">
        <f t="shared" si="3"/>
        <v>59</v>
      </c>
      <c r="B60" s="314" t="s">
        <v>1384</v>
      </c>
      <c r="C60" s="340">
        <v>32</v>
      </c>
      <c r="D60" s="10">
        <v>2.5</v>
      </c>
      <c r="E60" s="7">
        <v>4.5</v>
      </c>
      <c r="F60" s="141">
        <f t="shared" si="4"/>
        <v>0.44444444444444442</v>
      </c>
      <c r="G60" s="142">
        <f t="shared" si="5"/>
        <v>80</v>
      </c>
      <c r="H60" s="143">
        <f t="shared" si="6"/>
        <v>144</v>
      </c>
      <c r="I60" s="147"/>
      <c r="K60" s="97"/>
    </row>
    <row r="61" spans="1:12" ht="15" customHeight="1" x14ac:dyDescent="0.25">
      <c r="A61" s="314">
        <f t="shared" si="3"/>
        <v>60</v>
      </c>
      <c r="B61" s="314" t="s">
        <v>891</v>
      </c>
      <c r="C61" s="340">
        <v>16</v>
      </c>
      <c r="D61" s="10">
        <v>4.37</v>
      </c>
      <c r="E61" s="7">
        <v>8</v>
      </c>
      <c r="F61" s="141">
        <f t="shared" si="4"/>
        <v>0.45374999999999999</v>
      </c>
      <c r="G61" s="142">
        <f t="shared" si="5"/>
        <v>69.92</v>
      </c>
      <c r="H61" s="143">
        <f t="shared" si="6"/>
        <v>128</v>
      </c>
      <c r="I61" s="97"/>
    </row>
    <row r="62" spans="1:12" ht="15" customHeight="1" x14ac:dyDescent="0.25">
      <c r="A62" s="314">
        <f t="shared" si="3"/>
        <v>61</v>
      </c>
      <c r="B62" s="314" t="s">
        <v>187</v>
      </c>
      <c r="C62" s="340">
        <v>5</v>
      </c>
      <c r="D62" s="10">
        <v>8.0299999999999994</v>
      </c>
      <c r="E62" s="7">
        <v>15</v>
      </c>
      <c r="F62" s="141">
        <f t="shared" si="4"/>
        <v>0.46466666666666673</v>
      </c>
      <c r="G62" s="142">
        <f t="shared" si="5"/>
        <v>40.15</v>
      </c>
      <c r="H62" s="143">
        <f t="shared" si="6"/>
        <v>75</v>
      </c>
      <c r="I62" s="97"/>
    </row>
    <row r="63" spans="1:12" ht="15" customHeight="1" x14ac:dyDescent="0.25">
      <c r="A63" s="314">
        <f t="shared" si="3"/>
        <v>62</v>
      </c>
      <c r="B63" s="314" t="s">
        <v>1265</v>
      </c>
      <c r="C63" s="340">
        <v>14</v>
      </c>
      <c r="D63" s="10">
        <v>7.92</v>
      </c>
      <c r="E63" s="7">
        <v>13</v>
      </c>
      <c r="F63" s="141">
        <f t="shared" si="4"/>
        <v>0.39076923076923076</v>
      </c>
      <c r="G63" s="142">
        <f t="shared" si="5"/>
        <v>110.88</v>
      </c>
      <c r="H63" s="143">
        <f t="shared" si="6"/>
        <v>182</v>
      </c>
      <c r="I63" s="97"/>
    </row>
    <row r="64" spans="1:12" ht="15" customHeight="1" x14ac:dyDescent="0.25">
      <c r="A64" s="314">
        <f t="shared" si="3"/>
        <v>63</v>
      </c>
      <c r="B64" s="314" t="s">
        <v>1336</v>
      </c>
      <c r="C64" s="340">
        <v>2</v>
      </c>
      <c r="D64" s="10">
        <v>11.46</v>
      </c>
      <c r="E64" s="7">
        <v>20</v>
      </c>
      <c r="F64" s="141">
        <f t="shared" si="4"/>
        <v>0.42699999999999994</v>
      </c>
      <c r="G64" s="142">
        <f t="shared" si="5"/>
        <v>22.92</v>
      </c>
      <c r="H64" s="143">
        <f t="shared" si="6"/>
        <v>40</v>
      </c>
      <c r="I64" s="97"/>
    </row>
    <row r="65" spans="1:12" ht="15" customHeight="1" x14ac:dyDescent="0.25">
      <c r="A65" s="314">
        <f t="shared" si="3"/>
        <v>64</v>
      </c>
      <c r="B65" s="314" t="s">
        <v>1266</v>
      </c>
      <c r="C65" s="340">
        <v>1</v>
      </c>
      <c r="D65" s="10">
        <v>12.15</v>
      </c>
      <c r="E65" s="44">
        <v>22</v>
      </c>
      <c r="F65" s="141">
        <f t="shared" si="4"/>
        <v>0.4477272727272727</v>
      </c>
      <c r="G65" s="142">
        <f t="shared" si="5"/>
        <v>12.15</v>
      </c>
      <c r="H65" s="143">
        <f t="shared" si="6"/>
        <v>22</v>
      </c>
      <c r="I65" s="97"/>
    </row>
    <row r="66" spans="1:12" ht="15" customHeight="1" x14ac:dyDescent="0.25">
      <c r="A66" s="314">
        <f t="shared" si="3"/>
        <v>65</v>
      </c>
      <c r="B66" s="314" t="s">
        <v>873</v>
      </c>
      <c r="C66" s="589">
        <v>1</v>
      </c>
      <c r="D66" s="10">
        <v>50.55</v>
      </c>
      <c r="E66" s="7">
        <v>85</v>
      </c>
      <c r="F66" s="141">
        <f t="shared" ref="F66:F97" si="7">(E66-D66)/(E66)</f>
        <v>0.40529411764705886</v>
      </c>
      <c r="G66" s="142">
        <f t="shared" ref="G66:G97" si="8">D66*C66</f>
        <v>50.55</v>
      </c>
      <c r="H66" s="143">
        <f t="shared" ref="H66:H97" si="9">E66*C66</f>
        <v>85</v>
      </c>
      <c r="I66" s="97"/>
    </row>
    <row r="67" spans="1:12" ht="15" customHeight="1" x14ac:dyDescent="0.25">
      <c r="A67" s="314">
        <f t="shared" ref="A67:A81" si="10">A66+1</f>
        <v>66</v>
      </c>
      <c r="B67" s="314" t="s">
        <v>1267</v>
      </c>
      <c r="C67" s="340">
        <v>11</v>
      </c>
      <c r="D67" s="10">
        <v>11.5</v>
      </c>
      <c r="E67" s="7">
        <v>20</v>
      </c>
      <c r="F67" s="141">
        <f t="shared" si="7"/>
        <v>0.42499999999999999</v>
      </c>
      <c r="G67" s="142">
        <f t="shared" si="8"/>
        <v>126.5</v>
      </c>
      <c r="H67" s="143">
        <f t="shared" si="9"/>
        <v>220</v>
      </c>
      <c r="I67" s="97"/>
    </row>
    <row r="68" spans="1:12" ht="15" customHeight="1" x14ac:dyDescent="0.25">
      <c r="A68" s="314">
        <f t="shared" si="10"/>
        <v>67</v>
      </c>
      <c r="B68" s="314" t="s">
        <v>1268</v>
      </c>
      <c r="C68" s="340">
        <v>10</v>
      </c>
      <c r="D68" s="10">
        <v>10.856999999999999</v>
      </c>
      <c r="E68" s="7">
        <v>20</v>
      </c>
      <c r="F68" s="141">
        <f t="shared" si="7"/>
        <v>0.45715000000000006</v>
      </c>
      <c r="G68" s="142">
        <f t="shared" si="8"/>
        <v>108.57</v>
      </c>
      <c r="H68" s="143">
        <f t="shared" si="9"/>
        <v>200</v>
      </c>
      <c r="I68" s="97"/>
    </row>
    <row r="69" spans="1:12" ht="15" customHeight="1" x14ac:dyDescent="0.25">
      <c r="A69" s="314">
        <f t="shared" si="10"/>
        <v>68</v>
      </c>
      <c r="B69" s="314" t="s">
        <v>897</v>
      </c>
      <c r="C69" s="340">
        <v>25</v>
      </c>
      <c r="D69" s="10">
        <v>5</v>
      </c>
      <c r="E69" s="7">
        <v>8.3000000000000007</v>
      </c>
      <c r="F69" s="141">
        <f t="shared" si="7"/>
        <v>0.39759036144578319</v>
      </c>
      <c r="G69" s="142">
        <f t="shared" si="8"/>
        <v>125</v>
      </c>
      <c r="H69" s="143">
        <f t="shared" si="9"/>
        <v>207.50000000000003</v>
      </c>
      <c r="I69" s="97"/>
      <c r="J69" s="97"/>
    </row>
    <row r="70" spans="1:12" ht="15" customHeight="1" x14ac:dyDescent="0.25">
      <c r="A70" s="314">
        <f t="shared" si="10"/>
        <v>69</v>
      </c>
      <c r="B70" s="314" t="s">
        <v>1321</v>
      </c>
      <c r="C70" s="340">
        <v>1</v>
      </c>
      <c r="D70" s="10">
        <v>18.95</v>
      </c>
      <c r="E70" s="7">
        <v>32</v>
      </c>
      <c r="F70" s="141">
        <f t="shared" si="7"/>
        <v>0.40781250000000002</v>
      </c>
      <c r="G70" s="142">
        <f t="shared" si="8"/>
        <v>18.95</v>
      </c>
      <c r="H70" s="143">
        <f t="shared" si="9"/>
        <v>32</v>
      </c>
      <c r="I70" s="97"/>
    </row>
    <row r="71" spans="1:12" ht="15" customHeight="1" x14ac:dyDescent="0.25">
      <c r="A71" s="314">
        <f t="shared" si="10"/>
        <v>70</v>
      </c>
      <c r="B71" s="314" t="s">
        <v>1359</v>
      </c>
      <c r="C71" s="340">
        <v>5</v>
      </c>
      <c r="D71" s="10">
        <v>11.65</v>
      </c>
      <c r="E71" s="7">
        <v>20</v>
      </c>
      <c r="F71" s="141">
        <f t="shared" si="7"/>
        <v>0.41749999999999998</v>
      </c>
      <c r="G71" s="142">
        <f t="shared" si="8"/>
        <v>58.25</v>
      </c>
      <c r="H71" s="143">
        <f t="shared" si="9"/>
        <v>100</v>
      </c>
      <c r="I71" s="97"/>
    </row>
    <row r="72" spans="1:12" s="97" customFormat="1" ht="15" customHeight="1" x14ac:dyDescent="0.25">
      <c r="A72" s="314">
        <f t="shared" si="10"/>
        <v>71</v>
      </c>
      <c r="B72" s="314" t="s">
        <v>757</v>
      </c>
      <c r="C72" s="340">
        <v>1</v>
      </c>
      <c r="D72" s="10">
        <v>59.95</v>
      </c>
      <c r="E72" s="7">
        <v>94</v>
      </c>
      <c r="F72" s="141">
        <f t="shared" si="7"/>
        <v>0.36223404255319147</v>
      </c>
      <c r="G72" s="142">
        <f t="shared" si="8"/>
        <v>59.95</v>
      </c>
      <c r="H72" s="143">
        <f t="shared" si="9"/>
        <v>94</v>
      </c>
      <c r="J72"/>
      <c r="K72"/>
    </row>
    <row r="73" spans="1:12" s="97" customFormat="1" ht="15" customHeight="1" x14ac:dyDescent="0.25">
      <c r="A73" s="314">
        <f t="shared" si="10"/>
        <v>72</v>
      </c>
      <c r="B73" s="314" t="s">
        <v>1270</v>
      </c>
      <c r="C73" s="340">
        <v>5</v>
      </c>
      <c r="D73" s="10">
        <v>3.25</v>
      </c>
      <c r="E73" s="7">
        <v>6</v>
      </c>
      <c r="F73" s="141">
        <f t="shared" si="7"/>
        <v>0.45833333333333331</v>
      </c>
      <c r="G73" s="142">
        <f t="shared" si="8"/>
        <v>16.25</v>
      </c>
      <c r="H73" s="143">
        <f t="shared" si="9"/>
        <v>30</v>
      </c>
    </row>
    <row r="74" spans="1:12" s="97" customFormat="1" ht="15" customHeight="1" x14ac:dyDescent="0.25">
      <c r="A74" s="314">
        <f t="shared" si="10"/>
        <v>73</v>
      </c>
      <c r="B74" s="314" t="s">
        <v>1100</v>
      </c>
      <c r="C74" s="340">
        <v>12</v>
      </c>
      <c r="D74" s="10">
        <v>8.65</v>
      </c>
      <c r="E74" s="7">
        <v>15</v>
      </c>
      <c r="F74" s="141">
        <f t="shared" si="7"/>
        <v>0.42333333333333328</v>
      </c>
      <c r="G74" s="142">
        <f t="shared" si="8"/>
        <v>103.80000000000001</v>
      </c>
      <c r="H74" s="143">
        <f t="shared" si="9"/>
        <v>180</v>
      </c>
    </row>
    <row r="75" spans="1:12" s="97" customFormat="1" ht="15" customHeight="1" x14ac:dyDescent="0.25">
      <c r="A75" s="314">
        <f t="shared" si="10"/>
        <v>74</v>
      </c>
      <c r="B75" s="314" t="s">
        <v>898</v>
      </c>
      <c r="C75" s="340">
        <v>46</v>
      </c>
      <c r="D75" s="10">
        <v>1.7</v>
      </c>
      <c r="E75" s="7">
        <v>3</v>
      </c>
      <c r="F75" s="141">
        <f t="shared" si="7"/>
        <v>0.43333333333333335</v>
      </c>
      <c r="G75" s="142">
        <f t="shared" si="8"/>
        <v>78.2</v>
      </c>
      <c r="H75" s="143">
        <f t="shared" si="9"/>
        <v>138</v>
      </c>
    </row>
    <row r="76" spans="1:12" s="97" customFormat="1" ht="15" customHeight="1" x14ac:dyDescent="0.25">
      <c r="A76" s="314">
        <f t="shared" si="10"/>
        <v>75</v>
      </c>
      <c r="B76" s="314" t="s">
        <v>1271</v>
      </c>
      <c r="C76" s="340">
        <v>14</v>
      </c>
      <c r="D76" s="10">
        <v>5.8949999999999996</v>
      </c>
      <c r="E76" s="7">
        <v>12</v>
      </c>
      <c r="F76" s="141">
        <f t="shared" si="7"/>
        <v>0.50875000000000004</v>
      </c>
      <c r="G76" s="142">
        <f t="shared" si="8"/>
        <v>82.53</v>
      </c>
      <c r="H76" s="143">
        <f t="shared" si="9"/>
        <v>168</v>
      </c>
    </row>
    <row r="77" spans="1:12" s="97" customFormat="1" ht="15" customHeight="1" x14ac:dyDescent="0.25">
      <c r="A77" s="314">
        <f t="shared" si="10"/>
        <v>76</v>
      </c>
      <c r="B77" s="314" t="s">
        <v>1272</v>
      </c>
      <c r="C77" s="341">
        <v>2</v>
      </c>
      <c r="D77" s="18">
        <v>13.95</v>
      </c>
      <c r="E77" s="44">
        <v>24</v>
      </c>
      <c r="F77" s="141">
        <f t="shared" si="7"/>
        <v>0.41875000000000001</v>
      </c>
      <c r="G77" s="142">
        <f t="shared" si="8"/>
        <v>27.9</v>
      </c>
      <c r="H77" s="143">
        <f t="shared" si="9"/>
        <v>48</v>
      </c>
    </row>
    <row r="78" spans="1:12" s="97" customFormat="1" ht="15" customHeight="1" x14ac:dyDescent="0.25">
      <c r="A78" s="314">
        <f t="shared" si="10"/>
        <v>77</v>
      </c>
      <c r="B78" s="314" t="s">
        <v>1273</v>
      </c>
      <c r="C78" s="340">
        <v>9</v>
      </c>
      <c r="D78" s="10">
        <v>5.8550000000000004</v>
      </c>
      <c r="E78" s="7">
        <v>12</v>
      </c>
      <c r="F78" s="141">
        <f t="shared" si="7"/>
        <v>0.51208333333333333</v>
      </c>
      <c r="G78" s="142">
        <f t="shared" si="8"/>
        <v>52.695000000000007</v>
      </c>
      <c r="H78" s="143">
        <f t="shared" si="9"/>
        <v>108</v>
      </c>
    </row>
    <row r="79" spans="1:12" ht="15" customHeight="1" x14ac:dyDescent="0.25">
      <c r="A79" s="314">
        <f t="shared" si="10"/>
        <v>78</v>
      </c>
      <c r="B79" s="314" t="s">
        <v>1274</v>
      </c>
      <c r="C79" s="340">
        <v>39</v>
      </c>
      <c r="D79" s="10">
        <v>1.1200000000000001</v>
      </c>
      <c r="E79" s="7">
        <v>2</v>
      </c>
      <c r="F79" s="141">
        <f t="shared" si="7"/>
        <v>0.43999999999999995</v>
      </c>
      <c r="G79" s="142">
        <f t="shared" si="8"/>
        <v>43.680000000000007</v>
      </c>
      <c r="H79" s="143">
        <f t="shared" si="9"/>
        <v>78</v>
      </c>
      <c r="I79" s="97"/>
      <c r="J79" s="97"/>
      <c r="K79" s="97"/>
      <c r="L79" s="97"/>
    </row>
    <row r="80" spans="1:12" ht="15" customHeight="1" x14ac:dyDescent="0.25">
      <c r="A80" s="314">
        <f t="shared" si="10"/>
        <v>79</v>
      </c>
      <c r="B80" s="314" t="s">
        <v>1275</v>
      </c>
      <c r="C80" s="340">
        <v>1</v>
      </c>
      <c r="D80" s="10">
        <v>18.8</v>
      </c>
      <c r="E80" s="7">
        <v>35</v>
      </c>
      <c r="F80" s="141">
        <f t="shared" si="7"/>
        <v>0.46285714285714286</v>
      </c>
      <c r="G80" s="142">
        <f t="shared" si="8"/>
        <v>18.8</v>
      </c>
      <c r="H80" s="143">
        <f t="shared" si="9"/>
        <v>35</v>
      </c>
      <c r="I80" s="97"/>
      <c r="J80" s="97"/>
      <c r="K80" s="97"/>
    </row>
    <row r="81" spans="1:11" ht="15" customHeight="1" x14ac:dyDescent="0.25">
      <c r="A81" s="314">
        <f t="shared" si="10"/>
        <v>80</v>
      </c>
      <c r="B81" s="314" t="s">
        <v>1276</v>
      </c>
      <c r="C81" s="340">
        <v>5</v>
      </c>
      <c r="D81" s="15">
        <v>10.65</v>
      </c>
      <c r="E81" s="7">
        <v>19</v>
      </c>
      <c r="F81" s="141">
        <f t="shared" si="7"/>
        <v>0.43947368421052629</v>
      </c>
      <c r="G81" s="142">
        <f t="shared" si="8"/>
        <v>53.25</v>
      </c>
      <c r="H81" s="143">
        <f t="shared" si="9"/>
        <v>95</v>
      </c>
      <c r="I81" s="97"/>
      <c r="J81" s="97"/>
      <c r="K81" s="97"/>
    </row>
    <row r="82" spans="1:11" ht="15" customHeight="1" x14ac:dyDescent="0.25">
      <c r="A82" s="314">
        <f>A81+1</f>
        <v>81</v>
      </c>
      <c r="B82" s="314" t="s">
        <v>1277</v>
      </c>
      <c r="C82" s="340">
        <v>14</v>
      </c>
      <c r="D82" s="10">
        <v>5.34</v>
      </c>
      <c r="E82" s="7">
        <v>9</v>
      </c>
      <c r="F82" s="141">
        <f t="shared" si="7"/>
        <v>0.40666666666666668</v>
      </c>
      <c r="G82" s="142">
        <f t="shared" si="8"/>
        <v>74.759999999999991</v>
      </c>
      <c r="H82" s="143">
        <f t="shared" si="9"/>
        <v>126</v>
      </c>
      <c r="I82" s="97"/>
    </row>
    <row r="83" spans="1:11" ht="15" customHeight="1" x14ac:dyDescent="0.25">
      <c r="A83" s="314">
        <f t="shared" ref="A83:A146" si="11">A82+1</f>
        <v>82</v>
      </c>
      <c r="B83" s="314" t="s">
        <v>1278</v>
      </c>
      <c r="C83" s="340">
        <v>1</v>
      </c>
      <c r="D83" s="10">
        <v>44.95</v>
      </c>
      <c r="E83" s="7">
        <v>75</v>
      </c>
      <c r="F83" s="141">
        <f t="shared" si="7"/>
        <v>0.40066666666666662</v>
      </c>
      <c r="G83" s="142">
        <f t="shared" si="8"/>
        <v>44.95</v>
      </c>
      <c r="H83" s="143">
        <f t="shared" si="9"/>
        <v>75</v>
      </c>
      <c r="I83" s="97"/>
    </row>
    <row r="84" spans="1:11" ht="15" customHeight="1" x14ac:dyDescent="0.25">
      <c r="A84" s="314">
        <f t="shared" si="11"/>
        <v>83</v>
      </c>
      <c r="B84" s="314" t="s">
        <v>1279</v>
      </c>
      <c r="C84" s="340">
        <v>4</v>
      </c>
      <c r="D84" s="10">
        <v>8.1</v>
      </c>
      <c r="E84" s="7">
        <v>13</v>
      </c>
      <c r="F84" s="141">
        <f t="shared" si="7"/>
        <v>0.37692307692307697</v>
      </c>
      <c r="G84" s="142">
        <f t="shared" si="8"/>
        <v>32.4</v>
      </c>
      <c r="H84" s="143">
        <f t="shared" si="9"/>
        <v>52</v>
      </c>
      <c r="I84" s="97"/>
    </row>
    <row r="85" spans="1:11" ht="15" customHeight="1" x14ac:dyDescent="0.25">
      <c r="A85" s="314">
        <f t="shared" si="11"/>
        <v>84</v>
      </c>
      <c r="B85" s="314" t="s">
        <v>1280</v>
      </c>
      <c r="C85" s="340">
        <v>13</v>
      </c>
      <c r="D85" s="10">
        <v>2.5</v>
      </c>
      <c r="E85" s="7">
        <v>5</v>
      </c>
      <c r="F85" s="141">
        <f t="shared" si="7"/>
        <v>0.5</v>
      </c>
      <c r="G85" s="142">
        <f t="shared" si="8"/>
        <v>32.5</v>
      </c>
      <c r="H85" s="143">
        <f t="shared" si="9"/>
        <v>65</v>
      </c>
      <c r="I85" s="97"/>
    </row>
    <row r="86" spans="1:11" ht="15" customHeight="1" x14ac:dyDescent="0.25">
      <c r="A86" s="314">
        <f t="shared" si="11"/>
        <v>85</v>
      </c>
      <c r="B86" s="314" t="s">
        <v>1281</v>
      </c>
      <c r="C86" s="340">
        <v>14</v>
      </c>
      <c r="D86" s="10">
        <v>1.79</v>
      </c>
      <c r="E86" s="7">
        <v>4</v>
      </c>
      <c r="F86" s="141">
        <f t="shared" si="7"/>
        <v>0.55249999999999999</v>
      </c>
      <c r="G86" s="142">
        <f t="shared" si="8"/>
        <v>25.060000000000002</v>
      </c>
      <c r="H86" s="143">
        <f t="shared" si="9"/>
        <v>56</v>
      </c>
      <c r="I86" s="97"/>
    </row>
    <row r="87" spans="1:11" ht="15" customHeight="1" x14ac:dyDescent="0.25">
      <c r="A87" s="314">
        <f t="shared" si="11"/>
        <v>86</v>
      </c>
      <c r="B87" s="314" t="s">
        <v>1282</v>
      </c>
      <c r="C87" s="340">
        <v>20</v>
      </c>
      <c r="D87" s="10">
        <v>2.23</v>
      </c>
      <c r="E87" s="7">
        <v>5</v>
      </c>
      <c r="F87" s="141">
        <f t="shared" si="7"/>
        <v>0.55400000000000005</v>
      </c>
      <c r="G87" s="142">
        <f t="shared" si="8"/>
        <v>44.6</v>
      </c>
      <c r="H87" s="143">
        <f t="shared" si="9"/>
        <v>100</v>
      </c>
      <c r="I87" s="97"/>
    </row>
    <row r="88" spans="1:11" ht="15" customHeight="1" x14ac:dyDescent="0.25">
      <c r="A88" s="314">
        <f t="shared" si="11"/>
        <v>87</v>
      </c>
      <c r="B88" s="314" t="s">
        <v>1283</v>
      </c>
      <c r="C88" s="340">
        <v>24</v>
      </c>
      <c r="D88" s="10">
        <v>3.4</v>
      </c>
      <c r="E88" s="7">
        <v>7</v>
      </c>
      <c r="F88" s="141">
        <f t="shared" si="7"/>
        <v>0.51428571428571435</v>
      </c>
      <c r="G88" s="142">
        <f t="shared" si="8"/>
        <v>81.599999999999994</v>
      </c>
      <c r="H88" s="143">
        <f t="shared" si="9"/>
        <v>168</v>
      </c>
      <c r="I88" s="97"/>
    </row>
    <row r="89" spans="1:11" ht="15" customHeight="1" x14ac:dyDescent="0.25">
      <c r="A89" s="314">
        <f t="shared" si="11"/>
        <v>88</v>
      </c>
      <c r="B89" s="314" t="s">
        <v>1285</v>
      </c>
      <c r="C89" s="340">
        <v>83</v>
      </c>
      <c r="D89" s="10">
        <v>0.47</v>
      </c>
      <c r="E89" s="7">
        <v>1</v>
      </c>
      <c r="F89" s="141">
        <f t="shared" si="7"/>
        <v>0.53</v>
      </c>
      <c r="G89" s="142">
        <f t="shared" si="8"/>
        <v>39.01</v>
      </c>
      <c r="H89" s="143">
        <f t="shared" si="9"/>
        <v>83</v>
      </c>
      <c r="I89" s="97"/>
    </row>
    <row r="90" spans="1:11" ht="15" customHeight="1" x14ac:dyDescent="0.25">
      <c r="A90" s="314">
        <f t="shared" si="11"/>
        <v>89</v>
      </c>
      <c r="B90" s="314" t="s">
        <v>1284</v>
      </c>
      <c r="C90" s="340">
        <v>144</v>
      </c>
      <c r="D90" s="10">
        <v>0.78</v>
      </c>
      <c r="E90" s="7">
        <v>1.4</v>
      </c>
      <c r="F90" s="141">
        <f t="shared" si="7"/>
        <v>0.44285714285714278</v>
      </c>
      <c r="G90" s="142">
        <f t="shared" si="8"/>
        <v>112.32000000000001</v>
      </c>
      <c r="H90" s="143">
        <f t="shared" si="9"/>
        <v>201.6</v>
      </c>
      <c r="I90" s="97"/>
    </row>
    <row r="91" spans="1:11" ht="15" customHeight="1" x14ac:dyDescent="0.25">
      <c r="A91" s="314">
        <f t="shared" si="11"/>
        <v>90</v>
      </c>
      <c r="B91" s="314" t="s">
        <v>1286</v>
      </c>
      <c r="C91" s="340">
        <v>10</v>
      </c>
      <c r="D91" s="10">
        <v>9.92</v>
      </c>
      <c r="E91" s="7">
        <v>20</v>
      </c>
      <c r="F91" s="141">
        <f t="shared" si="7"/>
        <v>0.504</v>
      </c>
      <c r="G91" s="142">
        <f t="shared" si="8"/>
        <v>99.2</v>
      </c>
      <c r="H91" s="143">
        <f t="shared" si="9"/>
        <v>200</v>
      </c>
      <c r="I91" s="97"/>
    </row>
    <row r="92" spans="1:11" ht="15" customHeight="1" x14ac:dyDescent="0.25">
      <c r="A92" s="314">
        <f t="shared" si="11"/>
        <v>91</v>
      </c>
      <c r="B92" s="314" t="s">
        <v>1287</v>
      </c>
      <c r="C92" s="340">
        <v>4</v>
      </c>
      <c r="D92" s="10">
        <v>38.33</v>
      </c>
      <c r="E92" s="7">
        <v>61</v>
      </c>
      <c r="F92" s="141">
        <f t="shared" si="7"/>
        <v>0.37163934426229511</v>
      </c>
      <c r="G92" s="142">
        <f t="shared" si="8"/>
        <v>153.32</v>
      </c>
      <c r="H92" s="143">
        <f t="shared" si="9"/>
        <v>244</v>
      </c>
      <c r="I92" s="97"/>
    </row>
    <row r="93" spans="1:11" ht="15" customHeight="1" x14ac:dyDescent="0.25">
      <c r="A93" s="314">
        <f t="shared" si="11"/>
        <v>92</v>
      </c>
      <c r="B93" s="314" t="s">
        <v>1288</v>
      </c>
      <c r="C93" s="340">
        <v>3</v>
      </c>
      <c r="D93" s="10">
        <v>24.98</v>
      </c>
      <c r="E93" s="7">
        <v>39.6</v>
      </c>
      <c r="F93" s="141">
        <f t="shared" si="7"/>
        <v>0.36919191919191918</v>
      </c>
      <c r="G93" s="142">
        <f t="shared" si="8"/>
        <v>74.94</v>
      </c>
      <c r="H93" s="143">
        <f t="shared" si="9"/>
        <v>118.80000000000001</v>
      </c>
      <c r="I93" s="97"/>
    </row>
    <row r="94" spans="1:11" ht="15" customHeight="1" x14ac:dyDescent="0.25">
      <c r="A94" s="314">
        <f t="shared" si="11"/>
        <v>93</v>
      </c>
      <c r="B94" s="314" t="s">
        <v>1289</v>
      </c>
      <c r="C94" s="340">
        <v>6</v>
      </c>
      <c r="D94" s="10">
        <v>26.65</v>
      </c>
      <c r="E94" s="7">
        <v>42</v>
      </c>
      <c r="F94" s="141">
        <f t="shared" si="7"/>
        <v>0.36547619047619051</v>
      </c>
      <c r="G94" s="142">
        <f t="shared" si="8"/>
        <v>159.89999999999998</v>
      </c>
      <c r="H94" s="143">
        <f t="shared" si="9"/>
        <v>252</v>
      </c>
      <c r="I94" s="97"/>
    </row>
    <row r="95" spans="1:11" ht="15" customHeight="1" x14ac:dyDescent="0.25">
      <c r="A95" s="314">
        <f t="shared" si="11"/>
        <v>94</v>
      </c>
      <c r="B95" s="314" t="s">
        <v>1290</v>
      </c>
      <c r="C95" s="340">
        <v>0</v>
      </c>
      <c r="D95" s="10">
        <v>0.65</v>
      </c>
      <c r="E95" s="7">
        <v>1.5</v>
      </c>
      <c r="F95" s="141">
        <f t="shared" si="7"/>
        <v>0.56666666666666665</v>
      </c>
      <c r="G95" s="142">
        <f t="shared" si="8"/>
        <v>0</v>
      </c>
      <c r="H95" s="143">
        <f t="shared" si="9"/>
        <v>0</v>
      </c>
      <c r="I95" s="97"/>
    </row>
    <row r="96" spans="1:11" ht="15" customHeight="1" x14ac:dyDescent="0.25">
      <c r="A96" s="314">
        <f t="shared" si="11"/>
        <v>95</v>
      </c>
      <c r="B96" s="314" t="s">
        <v>1291</v>
      </c>
      <c r="C96" s="340">
        <v>67</v>
      </c>
      <c r="D96" s="10">
        <v>0.6</v>
      </c>
      <c r="E96" s="7">
        <v>1.5</v>
      </c>
      <c r="F96" s="141">
        <f t="shared" si="7"/>
        <v>0.6</v>
      </c>
      <c r="G96" s="142">
        <f t="shared" si="8"/>
        <v>40.199999999999996</v>
      </c>
      <c r="H96" s="143">
        <f t="shared" si="9"/>
        <v>100.5</v>
      </c>
      <c r="I96" s="97"/>
    </row>
    <row r="97" spans="1:9" ht="15" customHeight="1" x14ac:dyDescent="0.25">
      <c r="A97" s="314">
        <f t="shared" si="11"/>
        <v>96</v>
      </c>
      <c r="B97" s="314" t="s">
        <v>899</v>
      </c>
      <c r="C97" s="589">
        <v>66</v>
      </c>
      <c r="D97" s="10">
        <v>0.5</v>
      </c>
      <c r="E97" s="7">
        <v>1</v>
      </c>
      <c r="F97" s="141">
        <f t="shared" si="7"/>
        <v>0.5</v>
      </c>
      <c r="G97" s="142">
        <f t="shared" si="8"/>
        <v>33</v>
      </c>
      <c r="H97" s="143">
        <f t="shared" si="9"/>
        <v>66</v>
      </c>
      <c r="I97" s="97"/>
    </row>
    <row r="98" spans="1:9" ht="15" customHeight="1" x14ac:dyDescent="0.25">
      <c r="A98" s="314">
        <f t="shared" si="11"/>
        <v>97</v>
      </c>
      <c r="B98" s="314" t="s">
        <v>1308</v>
      </c>
      <c r="C98" s="340">
        <v>55</v>
      </c>
      <c r="D98" s="10">
        <v>0.36</v>
      </c>
      <c r="E98" s="7">
        <v>1</v>
      </c>
      <c r="F98" s="141">
        <f t="shared" ref="F98:F129" si="12">(E98-D98)/(E98)</f>
        <v>0.64</v>
      </c>
      <c r="G98" s="142">
        <f t="shared" ref="G98:G129" si="13">D98*C98</f>
        <v>19.8</v>
      </c>
      <c r="H98" s="143">
        <f t="shared" ref="H98:H129" si="14">E98*C98</f>
        <v>55</v>
      </c>
      <c r="I98" s="97"/>
    </row>
    <row r="99" spans="1:9" ht="15" customHeight="1" x14ac:dyDescent="0.25">
      <c r="A99" s="314">
        <f t="shared" si="11"/>
        <v>98</v>
      </c>
      <c r="B99" s="314" t="s">
        <v>900</v>
      </c>
      <c r="C99" s="340">
        <v>116</v>
      </c>
      <c r="D99" s="10">
        <v>0.34</v>
      </c>
      <c r="E99" s="7">
        <v>1</v>
      </c>
      <c r="F99" s="141">
        <f t="shared" si="12"/>
        <v>0.65999999999999992</v>
      </c>
      <c r="G99" s="142">
        <f t="shared" si="13"/>
        <v>39.440000000000005</v>
      </c>
      <c r="H99" s="143">
        <f t="shared" si="14"/>
        <v>116</v>
      </c>
      <c r="I99" s="97"/>
    </row>
    <row r="100" spans="1:9" ht="15" customHeight="1" x14ac:dyDescent="0.25">
      <c r="A100" s="314">
        <f t="shared" si="11"/>
        <v>99</v>
      </c>
      <c r="B100" s="314" t="s">
        <v>901</v>
      </c>
      <c r="C100" s="340">
        <v>87</v>
      </c>
      <c r="D100" s="10">
        <v>0.4</v>
      </c>
      <c r="E100" s="7">
        <v>1</v>
      </c>
      <c r="F100" s="141">
        <f t="shared" si="12"/>
        <v>0.6</v>
      </c>
      <c r="G100" s="142">
        <f t="shared" si="13"/>
        <v>34.800000000000004</v>
      </c>
      <c r="H100" s="143">
        <f t="shared" si="14"/>
        <v>87</v>
      </c>
      <c r="I100" s="97"/>
    </row>
    <row r="101" spans="1:9" ht="15" customHeight="1" x14ac:dyDescent="0.25">
      <c r="A101" s="314">
        <f t="shared" si="11"/>
        <v>100</v>
      </c>
      <c r="B101" s="314" t="s">
        <v>1293</v>
      </c>
      <c r="C101" s="415">
        <v>23</v>
      </c>
      <c r="D101" s="10">
        <v>0.35499999999999998</v>
      </c>
      <c r="E101" s="7">
        <v>1</v>
      </c>
      <c r="F101" s="141">
        <f t="shared" si="12"/>
        <v>0.64500000000000002</v>
      </c>
      <c r="G101" s="142">
        <f t="shared" si="13"/>
        <v>8.1649999999999991</v>
      </c>
      <c r="H101" s="143">
        <f t="shared" si="14"/>
        <v>23</v>
      </c>
      <c r="I101" s="97"/>
    </row>
    <row r="102" spans="1:9" ht="15" customHeight="1" x14ac:dyDescent="0.25">
      <c r="A102" s="314">
        <f t="shared" si="11"/>
        <v>101</v>
      </c>
      <c r="B102" s="314" t="s">
        <v>298</v>
      </c>
      <c r="C102" s="340">
        <v>2</v>
      </c>
      <c r="D102" s="10">
        <v>4.6500000000000004</v>
      </c>
      <c r="E102" s="7">
        <v>10</v>
      </c>
      <c r="F102" s="141">
        <f t="shared" si="12"/>
        <v>0.53499999999999992</v>
      </c>
      <c r="G102" s="142">
        <f t="shared" si="13"/>
        <v>9.3000000000000007</v>
      </c>
      <c r="H102" s="143">
        <f t="shared" si="14"/>
        <v>20</v>
      </c>
      <c r="I102" s="97"/>
    </row>
    <row r="103" spans="1:9" ht="15" customHeight="1" x14ac:dyDescent="0.25">
      <c r="A103" s="314">
        <f t="shared" si="11"/>
        <v>102</v>
      </c>
      <c r="B103" s="314" t="s">
        <v>823</v>
      </c>
      <c r="C103" s="341">
        <v>74</v>
      </c>
      <c r="D103" s="10">
        <v>0.97</v>
      </c>
      <c r="E103" s="7">
        <v>2</v>
      </c>
      <c r="F103" s="141">
        <f t="shared" si="12"/>
        <v>0.51500000000000001</v>
      </c>
      <c r="G103" s="142">
        <f t="shared" si="13"/>
        <v>71.78</v>
      </c>
      <c r="H103" s="143">
        <f t="shared" si="14"/>
        <v>148</v>
      </c>
      <c r="I103" s="97"/>
    </row>
    <row r="104" spans="1:9" ht="15" customHeight="1" x14ac:dyDescent="0.25">
      <c r="A104" s="314">
        <f t="shared" si="11"/>
        <v>103</v>
      </c>
      <c r="B104" s="314" t="s">
        <v>521</v>
      </c>
      <c r="C104" s="341">
        <v>80</v>
      </c>
      <c r="D104" s="18">
        <v>0.84</v>
      </c>
      <c r="E104" s="44">
        <v>1.4</v>
      </c>
      <c r="F104" s="141">
        <f t="shared" si="12"/>
        <v>0.39999999999999997</v>
      </c>
      <c r="G104" s="142">
        <f t="shared" si="13"/>
        <v>67.2</v>
      </c>
      <c r="H104" s="143">
        <f t="shared" si="14"/>
        <v>112</v>
      </c>
      <c r="I104" s="97"/>
    </row>
    <row r="105" spans="1:9" ht="15" customHeight="1" x14ac:dyDescent="0.25">
      <c r="A105" s="314">
        <f t="shared" si="11"/>
        <v>104</v>
      </c>
      <c r="B105" s="314" t="s">
        <v>335</v>
      </c>
      <c r="C105" s="340">
        <v>1</v>
      </c>
      <c r="D105" s="10">
        <v>13.75</v>
      </c>
      <c r="E105" s="7">
        <v>25</v>
      </c>
      <c r="F105" s="141">
        <f t="shared" si="12"/>
        <v>0.45</v>
      </c>
      <c r="G105" s="142">
        <f t="shared" si="13"/>
        <v>13.75</v>
      </c>
      <c r="H105" s="143">
        <f t="shared" si="14"/>
        <v>25</v>
      </c>
      <c r="I105" s="146"/>
    </row>
    <row r="106" spans="1:9" ht="15" customHeight="1" x14ac:dyDescent="0.25">
      <c r="A106" s="314">
        <f t="shared" si="11"/>
        <v>105</v>
      </c>
      <c r="B106" s="314" t="s">
        <v>168</v>
      </c>
      <c r="C106" s="340">
        <v>1</v>
      </c>
      <c r="D106" s="10">
        <v>15.95</v>
      </c>
      <c r="E106" s="7">
        <v>27</v>
      </c>
      <c r="F106" s="141">
        <f t="shared" si="12"/>
        <v>0.40925925925925927</v>
      </c>
      <c r="G106" s="142">
        <f t="shared" si="13"/>
        <v>15.95</v>
      </c>
      <c r="H106" s="143">
        <f t="shared" si="14"/>
        <v>27</v>
      </c>
      <c r="I106" s="97"/>
    </row>
    <row r="107" spans="1:9" ht="13.5" customHeight="1" x14ac:dyDescent="0.25">
      <c r="A107" s="314">
        <f t="shared" si="11"/>
        <v>106</v>
      </c>
      <c r="B107" s="314" t="s">
        <v>902</v>
      </c>
      <c r="C107" s="340">
        <v>18</v>
      </c>
      <c r="D107" s="10">
        <v>4.16</v>
      </c>
      <c r="E107" s="7">
        <v>9</v>
      </c>
      <c r="F107" s="141">
        <f t="shared" si="12"/>
        <v>0.5377777777777778</v>
      </c>
      <c r="G107" s="142">
        <f t="shared" si="13"/>
        <v>74.88</v>
      </c>
      <c r="H107" s="143">
        <f t="shared" si="14"/>
        <v>162</v>
      </c>
      <c r="I107" s="97"/>
    </row>
    <row r="108" spans="1:9" ht="13.5" customHeight="1" x14ac:dyDescent="0.25">
      <c r="A108" s="314">
        <f t="shared" si="11"/>
        <v>107</v>
      </c>
      <c r="B108" s="314" t="s">
        <v>1101</v>
      </c>
      <c r="C108" s="340">
        <v>37</v>
      </c>
      <c r="D108" s="10">
        <v>0.56999999999999995</v>
      </c>
      <c r="E108" s="7">
        <v>1</v>
      </c>
      <c r="F108" s="141">
        <f t="shared" si="12"/>
        <v>0.43000000000000005</v>
      </c>
      <c r="G108" s="142">
        <f t="shared" si="13"/>
        <v>21.09</v>
      </c>
      <c r="H108" s="143">
        <f t="shared" si="14"/>
        <v>37</v>
      </c>
      <c r="I108" s="97"/>
    </row>
    <row r="109" spans="1:9" ht="13.5" customHeight="1" x14ac:dyDescent="0.25">
      <c r="A109" s="314">
        <f t="shared" si="11"/>
        <v>108</v>
      </c>
      <c r="B109" s="314" t="s">
        <v>1102</v>
      </c>
      <c r="C109" s="340">
        <v>6</v>
      </c>
      <c r="D109" s="10">
        <v>6.4</v>
      </c>
      <c r="E109" s="7">
        <v>13</v>
      </c>
      <c r="F109" s="141">
        <f t="shared" si="12"/>
        <v>0.50769230769230766</v>
      </c>
      <c r="G109" s="142">
        <f t="shared" si="13"/>
        <v>38.400000000000006</v>
      </c>
      <c r="H109" s="143">
        <f t="shared" si="14"/>
        <v>78</v>
      </c>
      <c r="I109" s="97"/>
    </row>
    <row r="110" spans="1:9" ht="13.5" customHeight="1" x14ac:dyDescent="0.25">
      <c r="A110" s="314">
        <f t="shared" si="11"/>
        <v>109</v>
      </c>
      <c r="B110" s="314" t="s">
        <v>892</v>
      </c>
      <c r="C110" s="340">
        <v>11</v>
      </c>
      <c r="D110" s="10">
        <v>1.57</v>
      </c>
      <c r="E110" s="7">
        <v>5</v>
      </c>
      <c r="F110" s="141">
        <f t="shared" si="12"/>
        <v>0.68599999999999994</v>
      </c>
      <c r="G110" s="142">
        <f t="shared" si="13"/>
        <v>17.27</v>
      </c>
      <c r="H110" s="143">
        <f t="shared" si="14"/>
        <v>55</v>
      </c>
      <c r="I110" s="97"/>
    </row>
    <row r="111" spans="1:9" ht="13.5" customHeight="1" x14ac:dyDescent="0.25">
      <c r="A111" s="314">
        <f t="shared" si="11"/>
        <v>110</v>
      </c>
      <c r="B111" s="314" t="s">
        <v>1103</v>
      </c>
      <c r="C111" s="340">
        <v>22</v>
      </c>
      <c r="D111" s="10">
        <v>4.1900000000000004</v>
      </c>
      <c r="E111" s="7">
        <v>8</v>
      </c>
      <c r="F111" s="141">
        <f t="shared" si="12"/>
        <v>0.47624999999999995</v>
      </c>
      <c r="G111" s="142">
        <f t="shared" si="13"/>
        <v>92.18</v>
      </c>
      <c r="H111" s="143">
        <f t="shared" si="14"/>
        <v>176</v>
      </c>
      <c r="I111" s="97"/>
    </row>
    <row r="112" spans="1:9" ht="13.5" customHeight="1" x14ac:dyDescent="0.25">
      <c r="A112" s="314">
        <f t="shared" si="11"/>
        <v>111</v>
      </c>
      <c r="B112" s="314" t="s">
        <v>971</v>
      </c>
      <c r="C112" s="340">
        <v>3</v>
      </c>
      <c r="D112" s="10">
        <v>8.09</v>
      </c>
      <c r="E112" s="7">
        <v>15</v>
      </c>
      <c r="F112" s="141">
        <f t="shared" si="12"/>
        <v>0.46066666666666667</v>
      </c>
      <c r="G112" s="142">
        <f t="shared" si="13"/>
        <v>24.27</v>
      </c>
      <c r="H112" s="143">
        <f t="shared" si="14"/>
        <v>45</v>
      </c>
      <c r="I112" s="97"/>
    </row>
    <row r="113" spans="1:9" x14ac:dyDescent="0.25">
      <c r="A113" s="314">
        <f t="shared" si="11"/>
        <v>112</v>
      </c>
      <c r="B113" s="314" t="s">
        <v>745</v>
      </c>
      <c r="C113" s="340">
        <v>2</v>
      </c>
      <c r="D113" s="10">
        <v>25.35</v>
      </c>
      <c r="E113" s="7">
        <v>40</v>
      </c>
      <c r="F113" s="141">
        <f t="shared" si="12"/>
        <v>0.36624999999999996</v>
      </c>
      <c r="G113" s="142">
        <f t="shared" si="13"/>
        <v>50.7</v>
      </c>
      <c r="H113" s="143">
        <f t="shared" si="14"/>
        <v>80</v>
      </c>
      <c r="I113" s="97"/>
    </row>
    <row r="114" spans="1:9" ht="15" customHeight="1" x14ac:dyDescent="0.25">
      <c r="A114" s="314">
        <f t="shared" si="11"/>
        <v>113</v>
      </c>
      <c r="B114" s="314" t="s">
        <v>744</v>
      </c>
      <c r="C114" s="340">
        <v>1</v>
      </c>
      <c r="D114" s="10">
        <v>25.35</v>
      </c>
      <c r="E114" s="7">
        <v>40</v>
      </c>
      <c r="F114" s="141">
        <f t="shared" si="12"/>
        <v>0.36624999999999996</v>
      </c>
      <c r="G114" s="142">
        <f t="shared" si="13"/>
        <v>25.35</v>
      </c>
      <c r="H114" s="143">
        <f t="shared" si="14"/>
        <v>40</v>
      </c>
      <c r="I114" s="97"/>
    </row>
    <row r="115" spans="1:9" ht="15" customHeight="1" x14ac:dyDescent="0.25">
      <c r="A115" s="314">
        <f t="shared" si="11"/>
        <v>114</v>
      </c>
      <c r="B115" s="105" t="s">
        <v>982</v>
      </c>
      <c r="C115" s="340">
        <v>21</v>
      </c>
      <c r="D115" s="10">
        <v>8.35</v>
      </c>
      <c r="E115" s="7">
        <v>15</v>
      </c>
      <c r="F115" s="141">
        <f t="shared" si="12"/>
        <v>0.44333333333333336</v>
      </c>
      <c r="G115" s="142">
        <f t="shared" si="13"/>
        <v>175.35</v>
      </c>
      <c r="H115" s="143">
        <f t="shared" si="14"/>
        <v>315</v>
      </c>
      <c r="I115" s="97"/>
    </row>
    <row r="116" spans="1:9" ht="15" customHeight="1" x14ac:dyDescent="0.25">
      <c r="A116" s="314">
        <f t="shared" si="11"/>
        <v>115</v>
      </c>
      <c r="B116" s="314" t="s">
        <v>904</v>
      </c>
      <c r="C116" s="340">
        <v>10</v>
      </c>
      <c r="D116" s="10">
        <v>5.9950000000000001</v>
      </c>
      <c r="E116" s="7">
        <v>10</v>
      </c>
      <c r="F116" s="141">
        <f t="shared" si="12"/>
        <v>0.40049999999999997</v>
      </c>
      <c r="G116" s="142">
        <f t="shared" si="13"/>
        <v>59.95</v>
      </c>
      <c r="H116" s="143">
        <f t="shared" si="14"/>
        <v>100</v>
      </c>
      <c r="I116" s="97"/>
    </row>
    <row r="117" spans="1:9" ht="15" customHeight="1" x14ac:dyDescent="0.25">
      <c r="A117" s="314">
        <f t="shared" si="11"/>
        <v>116</v>
      </c>
      <c r="B117" s="314" t="s">
        <v>694</v>
      </c>
      <c r="C117" s="280">
        <v>10</v>
      </c>
      <c r="D117" s="15">
        <v>6.63</v>
      </c>
      <c r="E117" s="7">
        <v>10.5</v>
      </c>
      <c r="F117" s="141">
        <f t="shared" si="12"/>
        <v>0.36857142857142861</v>
      </c>
      <c r="G117" s="142">
        <f t="shared" si="13"/>
        <v>66.3</v>
      </c>
      <c r="H117" s="143">
        <f t="shared" si="14"/>
        <v>105</v>
      </c>
      <c r="I117" s="97"/>
    </row>
    <row r="118" spans="1:9" ht="15" customHeight="1" x14ac:dyDescent="0.25">
      <c r="A118" s="314">
        <f t="shared" si="11"/>
        <v>117</v>
      </c>
      <c r="B118" s="314" t="s">
        <v>905</v>
      </c>
      <c r="C118" s="340">
        <v>6</v>
      </c>
      <c r="D118" s="15">
        <v>3.33</v>
      </c>
      <c r="E118" s="7">
        <v>6</v>
      </c>
      <c r="F118" s="141">
        <f t="shared" si="12"/>
        <v>0.44500000000000001</v>
      </c>
      <c r="G118" s="142">
        <f t="shared" si="13"/>
        <v>19.98</v>
      </c>
      <c r="H118" s="143">
        <f t="shared" si="14"/>
        <v>36</v>
      </c>
      <c r="I118" s="97"/>
    </row>
    <row r="119" spans="1:9" ht="15" customHeight="1" x14ac:dyDescent="0.25">
      <c r="A119" s="314">
        <f t="shared" si="11"/>
        <v>118</v>
      </c>
      <c r="B119" s="314" t="s">
        <v>696</v>
      </c>
      <c r="C119" s="413">
        <v>9</v>
      </c>
      <c r="D119" s="15">
        <v>4.18</v>
      </c>
      <c r="E119" s="7">
        <v>7</v>
      </c>
      <c r="F119" s="141">
        <f t="shared" si="12"/>
        <v>0.40285714285714291</v>
      </c>
      <c r="G119" s="142">
        <f t="shared" si="13"/>
        <v>37.619999999999997</v>
      </c>
      <c r="H119" s="143">
        <f t="shared" si="14"/>
        <v>63</v>
      </c>
      <c r="I119" s="97"/>
    </row>
    <row r="120" spans="1:9" ht="15" customHeight="1" x14ac:dyDescent="0.25">
      <c r="A120" s="314">
        <f t="shared" si="11"/>
        <v>119</v>
      </c>
      <c r="B120" s="314" t="s">
        <v>907</v>
      </c>
      <c r="C120" s="341">
        <v>7</v>
      </c>
      <c r="D120" s="18">
        <v>3.3</v>
      </c>
      <c r="E120" s="44">
        <v>8</v>
      </c>
      <c r="F120" s="141">
        <f t="shared" si="12"/>
        <v>0.58750000000000002</v>
      </c>
      <c r="G120" s="142">
        <f t="shared" si="13"/>
        <v>23.099999999999998</v>
      </c>
      <c r="H120" s="143">
        <f t="shared" si="14"/>
        <v>56</v>
      </c>
      <c r="I120" s="97"/>
    </row>
    <row r="121" spans="1:9" ht="15" customHeight="1" x14ac:dyDescent="0.25">
      <c r="A121" s="314">
        <f t="shared" si="11"/>
        <v>120</v>
      </c>
      <c r="B121" s="314" t="s">
        <v>908</v>
      </c>
      <c r="C121" s="340">
        <v>14</v>
      </c>
      <c r="D121" s="10">
        <v>4.5</v>
      </c>
      <c r="E121" s="7">
        <v>8</v>
      </c>
      <c r="F121" s="141">
        <f t="shared" si="12"/>
        <v>0.4375</v>
      </c>
      <c r="G121" s="142">
        <f t="shared" si="13"/>
        <v>63</v>
      </c>
      <c r="H121" s="143">
        <f t="shared" si="14"/>
        <v>112</v>
      </c>
      <c r="I121" s="97"/>
    </row>
    <row r="122" spans="1:9" ht="15" customHeight="1" x14ac:dyDescent="0.25">
      <c r="A122" s="314">
        <f t="shared" si="11"/>
        <v>121</v>
      </c>
      <c r="B122" s="314" t="s">
        <v>341</v>
      </c>
      <c r="C122" s="340">
        <v>2</v>
      </c>
      <c r="D122" s="15">
        <v>10.51</v>
      </c>
      <c r="E122" s="7">
        <v>19</v>
      </c>
      <c r="F122" s="141">
        <f t="shared" si="12"/>
        <v>0.44684210526315793</v>
      </c>
      <c r="G122" s="142">
        <f t="shared" si="13"/>
        <v>21.02</v>
      </c>
      <c r="H122" s="143">
        <f t="shared" si="14"/>
        <v>38</v>
      </c>
      <c r="I122" s="97"/>
    </row>
    <row r="123" spans="1:9" ht="15" customHeight="1" x14ac:dyDescent="0.25">
      <c r="A123" s="314">
        <f t="shared" si="11"/>
        <v>122</v>
      </c>
      <c r="B123" s="314" t="s">
        <v>910</v>
      </c>
      <c r="C123" s="340">
        <v>3</v>
      </c>
      <c r="D123" s="10">
        <v>10.26</v>
      </c>
      <c r="E123" s="7">
        <v>17</v>
      </c>
      <c r="F123" s="141">
        <f t="shared" si="12"/>
        <v>0.39647058823529413</v>
      </c>
      <c r="G123" s="142">
        <f t="shared" si="13"/>
        <v>30.78</v>
      </c>
      <c r="H123" s="143">
        <f t="shared" si="14"/>
        <v>51</v>
      </c>
      <c r="I123" s="97"/>
    </row>
    <row r="124" spans="1:9" ht="15" customHeight="1" x14ac:dyDescent="0.25">
      <c r="A124" s="314">
        <f t="shared" si="11"/>
        <v>123</v>
      </c>
      <c r="B124" s="314" t="s">
        <v>909</v>
      </c>
      <c r="C124" s="340">
        <v>11</v>
      </c>
      <c r="D124" s="10">
        <v>8</v>
      </c>
      <c r="E124" s="7">
        <v>15</v>
      </c>
      <c r="F124" s="141">
        <f t="shared" si="12"/>
        <v>0.46666666666666667</v>
      </c>
      <c r="G124" s="142">
        <f t="shared" si="13"/>
        <v>88</v>
      </c>
      <c r="H124" s="143">
        <f t="shared" si="14"/>
        <v>165</v>
      </c>
      <c r="I124" s="97"/>
    </row>
    <row r="125" spans="1:9" ht="15" customHeight="1" x14ac:dyDescent="0.25">
      <c r="A125" s="314">
        <f t="shared" si="11"/>
        <v>124</v>
      </c>
      <c r="B125" s="314" t="s">
        <v>30</v>
      </c>
      <c r="C125" s="340">
        <v>2</v>
      </c>
      <c r="D125" s="10">
        <v>18.25</v>
      </c>
      <c r="E125" s="7">
        <v>32</v>
      </c>
      <c r="F125" s="141">
        <f t="shared" si="12"/>
        <v>0.4296875</v>
      </c>
      <c r="G125" s="142">
        <f t="shared" si="13"/>
        <v>36.5</v>
      </c>
      <c r="H125" s="143">
        <f t="shared" si="14"/>
        <v>64</v>
      </c>
      <c r="I125" s="97"/>
    </row>
    <row r="126" spans="1:9" ht="15" customHeight="1" x14ac:dyDescent="0.25">
      <c r="A126" s="314">
        <f t="shared" si="11"/>
        <v>125</v>
      </c>
      <c r="B126" s="314" t="s">
        <v>1104</v>
      </c>
      <c r="C126" s="340">
        <v>65</v>
      </c>
      <c r="D126" s="10">
        <v>0.89</v>
      </c>
      <c r="E126" s="7">
        <v>1.5</v>
      </c>
      <c r="F126" s="141">
        <f t="shared" si="12"/>
        <v>0.40666666666666668</v>
      </c>
      <c r="G126" s="142">
        <f t="shared" si="13"/>
        <v>57.85</v>
      </c>
      <c r="H126" s="143">
        <f t="shared" si="14"/>
        <v>97.5</v>
      </c>
      <c r="I126" s="97"/>
    </row>
    <row r="127" spans="1:9" ht="15" customHeight="1" x14ac:dyDescent="0.25">
      <c r="A127" s="314">
        <f t="shared" si="11"/>
        <v>126</v>
      </c>
      <c r="B127" s="314" t="s">
        <v>872</v>
      </c>
      <c r="C127" s="340">
        <v>3</v>
      </c>
      <c r="D127" s="10">
        <v>9.9499999999999993</v>
      </c>
      <c r="E127" s="7">
        <v>18</v>
      </c>
      <c r="F127" s="141">
        <f t="shared" si="12"/>
        <v>0.44722222222222224</v>
      </c>
      <c r="G127" s="142">
        <f t="shared" si="13"/>
        <v>29.849999999999998</v>
      </c>
      <c r="H127" s="143">
        <f t="shared" si="14"/>
        <v>54</v>
      </c>
      <c r="I127" s="97"/>
    </row>
    <row r="128" spans="1:9" ht="15" customHeight="1" x14ac:dyDescent="0.25">
      <c r="A128" s="314">
        <f t="shared" si="11"/>
        <v>127</v>
      </c>
      <c r="B128" s="314" t="s">
        <v>677</v>
      </c>
      <c r="C128" s="340">
        <v>1</v>
      </c>
      <c r="D128" s="10">
        <v>10.95</v>
      </c>
      <c r="E128" s="7">
        <v>19</v>
      </c>
      <c r="F128" s="141">
        <f t="shared" si="12"/>
        <v>0.42368421052631583</v>
      </c>
      <c r="G128" s="142">
        <f t="shared" si="13"/>
        <v>10.95</v>
      </c>
      <c r="H128" s="143">
        <f t="shared" si="14"/>
        <v>19</v>
      </c>
      <c r="I128" s="97"/>
    </row>
    <row r="129" spans="1:12" ht="15" customHeight="1" x14ac:dyDescent="0.25">
      <c r="A129" s="314">
        <f t="shared" si="11"/>
        <v>128</v>
      </c>
      <c r="B129" s="314" t="s">
        <v>1105</v>
      </c>
      <c r="C129" s="340">
        <v>2</v>
      </c>
      <c r="D129" s="10">
        <v>8.9499999999999993</v>
      </c>
      <c r="E129" s="7">
        <v>16</v>
      </c>
      <c r="F129" s="141">
        <f t="shared" si="12"/>
        <v>0.44062500000000004</v>
      </c>
      <c r="G129" s="142">
        <f t="shared" si="13"/>
        <v>17.899999999999999</v>
      </c>
      <c r="H129" s="143">
        <f t="shared" si="14"/>
        <v>32</v>
      </c>
      <c r="I129" s="97"/>
    </row>
    <row r="130" spans="1:12" ht="15" customHeight="1" x14ac:dyDescent="0.25">
      <c r="A130" s="314">
        <f t="shared" si="11"/>
        <v>129</v>
      </c>
      <c r="B130" s="314" t="s">
        <v>969</v>
      </c>
      <c r="C130" s="340">
        <v>3</v>
      </c>
      <c r="D130" s="10">
        <v>25.95</v>
      </c>
      <c r="E130" s="7">
        <v>45</v>
      </c>
      <c r="F130" s="141">
        <f t="shared" ref="F130:F161" si="15">(E130-D130)/(E130)</f>
        <v>0.42333333333333334</v>
      </c>
      <c r="G130" s="142">
        <f t="shared" ref="G130:G161" si="16">D130*C130</f>
        <v>77.849999999999994</v>
      </c>
      <c r="H130" s="143">
        <f t="shared" ref="H130:H161" si="17">E130*C130</f>
        <v>135</v>
      </c>
      <c r="I130" s="97"/>
    </row>
    <row r="131" spans="1:12" ht="15" customHeight="1" x14ac:dyDescent="0.25">
      <c r="A131" s="314">
        <f t="shared" si="11"/>
        <v>130</v>
      </c>
      <c r="B131" s="314" t="s">
        <v>970</v>
      </c>
      <c r="C131" s="340">
        <v>8</v>
      </c>
      <c r="D131" s="10">
        <v>17.850000000000001</v>
      </c>
      <c r="E131" s="7">
        <v>32</v>
      </c>
      <c r="F131" s="141">
        <f t="shared" si="15"/>
        <v>0.44218749999999996</v>
      </c>
      <c r="G131" s="142">
        <f t="shared" si="16"/>
        <v>142.80000000000001</v>
      </c>
      <c r="H131" s="143">
        <f t="shared" si="17"/>
        <v>256</v>
      </c>
      <c r="I131" s="97"/>
    </row>
    <row r="132" spans="1:12" ht="15" customHeight="1" x14ac:dyDescent="0.25">
      <c r="A132" s="314">
        <f t="shared" si="11"/>
        <v>131</v>
      </c>
      <c r="B132" s="314" t="s">
        <v>1106</v>
      </c>
      <c r="C132" s="340">
        <v>6</v>
      </c>
      <c r="D132" s="10">
        <v>2.0950000000000002</v>
      </c>
      <c r="E132" s="7">
        <v>5</v>
      </c>
      <c r="F132" s="141">
        <f t="shared" si="15"/>
        <v>0.58099999999999996</v>
      </c>
      <c r="G132" s="142">
        <f t="shared" si="16"/>
        <v>12.57</v>
      </c>
      <c r="H132" s="143">
        <f t="shared" si="17"/>
        <v>30</v>
      </c>
      <c r="I132" s="97"/>
    </row>
    <row r="133" spans="1:12" ht="15" customHeight="1" x14ac:dyDescent="0.25">
      <c r="A133" s="314">
        <f t="shared" si="11"/>
        <v>132</v>
      </c>
      <c r="B133" s="314" t="s">
        <v>49</v>
      </c>
      <c r="C133" s="653">
        <v>2</v>
      </c>
      <c r="D133" s="10">
        <v>29.95</v>
      </c>
      <c r="E133" s="7">
        <v>49</v>
      </c>
      <c r="F133" s="141">
        <f t="shared" si="15"/>
        <v>0.38877551020408163</v>
      </c>
      <c r="G133" s="142">
        <f t="shared" si="16"/>
        <v>59.9</v>
      </c>
      <c r="H133" s="143">
        <f t="shared" si="17"/>
        <v>98</v>
      </c>
      <c r="I133" s="97"/>
    </row>
    <row r="134" spans="1:12" ht="15" customHeight="1" x14ac:dyDescent="0.25">
      <c r="A134" s="314">
        <f t="shared" si="11"/>
        <v>133</v>
      </c>
      <c r="B134" s="314" t="s">
        <v>336</v>
      </c>
      <c r="C134" s="683">
        <v>1</v>
      </c>
      <c r="D134" s="18">
        <v>30.65</v>
      </c>
      <c r="E134" s="44">
        <v>52</v>
      </c>
      <c r="F134" s="141">
        <f t="shared" si="15"/>
        <v>0.41057692307692312</v>
      </c>
      <c r="G134" s="142">
        <f t="shared" si="16"/>
        <v>30.65</v>
      </c>
      <c r="H134" s="143">
        <f t="shared" si="17"/>
        <v>52</v>
      </c>
      <c r="I134" s="97"/>
    </row>
    <row r="135" spans="1:12" ht="15" customHeight="1" x14ac:dyDescent="0.25">
      <c r="A135" s="314">
        <f t="shared" si="11"/>
        <v>134</v>
      </c>
      <c r="B135" s="314" t="s">
        <v>1107</v>
      </c>
      <c r="C135" s="340">
        <v>22</v>
      </c>
      <c r="D135" s="10">
        <v>1.879</v>
      </c>
      <c r="E135" s="7">
        <v>4.2</v>
      </c>
      <c r="F135" s="141">
        <f t="shared" si="15"/>
        <v>0.55261904761904768</v>
      </c>
      <c r="G135" s="142">
        <f t="shared" si="16"/>
        <v>41.338000000000001</v>
      </c>
      <c r="H135" s="143">
        <f t="shared" si="17"/>
        <v>92.4</v>
      </c>
      <c r="I135" s="97"/>
    </row>
    <row r="136" spans="1:12" ht="15" customHeight="1" x14ac:dyDescent="0.25">
      <c r="A136" s="314">
        <f t="shared" si="11"/>
        <v>135</v>
      </c>
      <c r="B136" s="314" t="s">
        <v>684</v>
      </c>
      <c r="C136" s="340">
        <v>1</v>
      </c>
      <c r="D136" s="10">
        <v>6.0949999999999998</v>
      </c>
      <c r="E136" s="7">
        <v>10</v>
      </c>
      <c r="F136" s="141">
        <f t="shared" si="15"/>
        <v>0.39050000000000001</v>
      </c>
      <c r="G136" s="142">
        <f t="shared" si="16"/>
        <v>6.0949999999999998</v>
      </c>
      <c r="H136" s="143">
        <f t="shared" si="17"/>
        <v>10</v>
      </c>
      <c r="I136" s="97"/>
    </row>
    <row r="137" spans="1:12" s="97" customFormat="1" ht="15" customHeight="1" x14ac:dyDescent="0.25">
      <c r="A137" s="314">
        <f t="shared" si="11"/>
        <v>136</v>
      </c>
      <c r="B137" s="314" t="s">
        <v>252</v>
      </c>
      <c r="C137" s="340">
        <v>12</v>
      </c>
      <c r="D137" s="10">
        <v>6.57</v>
      </c>
      <c r="E137" s="7">
        <v>11</v>
      </c>
      <c r="F137" s="141">
        <f t="shared" si="15"/>
        <v>0.40272727272727271</v>
      </c>
      <c r="G137" s="142">
        <f t="shared" si="16"/>
        <v>78.84</v>
      </c>
      <c r="H137" s="143">
        <f t="shared" si="17"/>
        <v>132</v>
      </c>
      <c r="J137"/>
      <c r="K137"/>
      <c r="L137"/>
    </row>
    <row r="138" spans="1:12" s="97" customFormat="1" ht="15" customHeight="1" x14ac:dyDescent="0.25">
      <c r="A138" s="314">
        <f t="shared" si="11"/>
        <v>137</v>
      </c>
      <c r="B138" s="314" t="s">
        <v>1314</v>
      </c>
      <c r="C138" s="340">
        <v>3</v>
      </c>
      <c r="D138" s="10">
        <v>11.833</v>
      </c>
      <c r="E138" s="7">
        <v>20</v>
      </c>
      <c r="F138" s="141">
        <f t="shared" si="15"/>
        <v>0.40834999999999999</v>
      </c>
      <c r="G138" s="142">
        <f t="shared" si="16"/>
        <v>35.499000000000002</v>
      </c>
      <c r="H138" s="143">
        <f t="shared" si="17"/>
        <v>60</v>
      </c>
      <c r="J138"/>
      <c r="K138"/>
    </row>
    <row r="139" spans="1:12" s="97" customFormat="1" ht="15" customHeight="1" x14ac:dyDescent="0.25">
      <c r="A139" s="314">
        <f t="shared" si="11"/>
        <v>138</v>
      </c>
      <c r="B139" s="314" t="s">
        <v>959</v>
      </c>
      <c r="C139" s="340">
        <v>1</v>
      </c>
      <c r="D139" s="10">
        <v>14.9</v>
      </c>
      <c r="E139" s="7">
        <v>25</v>
      </c>
      <c r="F139" s="141">
        <f t="shared" si="15"/>
        <v>0.40399999999999997</v>
      </c>
      <c r="G139" s="142">
        <f t="shared" si="16"/>
        <v>14.9</v>
      </c>
      <c r="H139" s="143">
        <f t="shared" si="17"/>
        <v>25</v>
      </c>
      <c r="J139"/>
      <c r="K139"/>
    </row>
    <row r="140" spans="1:12" s="97" customFormat="1" ht="15" customHeight="1" x14ac:dyDescent="0.25">
      <c r="A140" s="314">
        <f t="shared" si="11"/>
        <v>139</v>
      </c>
      <c r="B140" s="314" t="s">
        <v>955</v>
      </c>
      <c r="C140" s="340">
        <v>5</v>
      </c>
      <c r="D140" s="18">
        <v>14.15</v>
      </c>
      <c r="E140" s="44">
        <v>24</v>
      </c>
      <c r="F140" s="141">
        <f t="shared" si="15"/>
        <v>0.41041666666666665</v>
      </c>
      <c r="G140" s="142">
        <f t="shared" si="16"/>
        <v>70.75</v>
      </c>
      <c r="H140" s="143">
        <f t="shared" si="17"/>
        <v>120</v>
      </c>
    </row>
    <row r="141" spans="1:12" ht="15" customHeight="1" x14ac:dyDescent="0.25">
      <c r="A141" s="314">
        <f t="shared" si="11"/>
        <v>140</v>
      </c>
      <c r="B141" s="314" t="s">
        <v>956</v>
      </c>
      <c r="C141" s="340">
        <v>1</v>
      </c>
      <c r="D141" s="10">
        <v>11.75</v>
      </c>
      <c r="E141" s="7">
        <v>20</v>
      </c>
      <c r="F141" s="141">
        <f t="shared" si="15"/>
        <v>0.41249999999999998</v>
      </c>
      <c r="G141" s="142">
        <f t="shared" si="16"/>
        <v>11.75</v>
      </c>
      <c r="H141" s="143">
        <f t="shared" si="17"/>
        <v>20</v>
      </c>
      <c r="I141" s="97"/>
      <c r="J141" s="97"/>
      <c r="K141" s="97"/>
    </row>
    <row r="142" spans="1:12" ht="15" customHeight="1" x14ac:dyDescent="0.25">
      <c r="A142" s="314">
        <f t="shared" si="11"/>
        <v>141</v>
      </c>
      <c r="B142" s="314" t="s">
        <v>957</v>
      </c>
      <c r="C142" s="340">
        <v>1</v>
      </c>
      <c r="D142" s="10">
        <v>20.95</v>
      </c>
      <c r="E142" s="7">
        <v>35</v>
      </c>
      <c r="F142" s="141">
        <f t="shared" si="15"/>
        <v>0.40142857142857147</v>
      </c>
      <c r="G142" s="142">
        <f t="shared" si="16"/>
        <v>20.95</v>
      </c>
      <c r="H142" s="143">
        <f t="shared" si="17"/>
        <v>35</v>
      </c>
      <c r="I142" s="97"/>
      <c r="J142" s="97"/>
      <c r="K142" s="97"/>
    </row>
    <row r="143" spans="1:12" ht="15" customHeight="1" x14ac:dyDescent="0.25">
      <c r="A143" s="314">
        <f t="shared" si="11"/>
        <v>142</v>
      </c>
      <c r="B143" s="314" t="s">
        <v>958</v>
      </c>
      <c r="C143" s="340">
        <v>1</v>
      </c>
      <c r="D143" s="10">
        <v>16.100000000000001</v>
      </c>
      <c r="E143" s="7">
        <v>27</v>
      </c>
      <c r="F143" s="141">
        <f t="shared" si="15"/>
        <v>0.40370370370370368</v>
      </c>
      <c r="G143" s="142">
        <f t="shared" si="16"/>
        <v>16.100000000000001</v>
      </c>
      <c r="H143" s="143">
        <f t="shared" si="17"/>
        <v>27</v>
      </c>
      <c r="I143" s="97"/>
    </row>
    <row r="144" spans="1:12" ht="15" customHeight="1" x14ac:dyDescent="0.25">
      <c r="A144" s="314">
        <f t="shared" si="11"/>
        <v>143</v>
      </c>
      <c r="B144" s="314" t="s">
        <v>1109</v>
      </c>
      <c r="C144" s="340">
        <v>68</v>
      </c>
      <c r="D144" s="10">
        <v>0.88</v>
      </c>
      <c r="E144" s="7">
        <v>1.5</v>
      </c>
      <c r="F144" s="141">
        <f t="shared" si="15"/>
        <v>0.41333333333333333</v>
      </c>
      <c r="G144" s="142">
        <f t="shared" si="16"/>
        <v>59.84</v>
      </c>
      <c r="H144" s="143">
        <f t="shared" si="17"/>
        <v>102</v>
      </c>
      <c r="I144" s="97"/>
    </row>
    <row r="145" spans="1:9" ht="15" customHeight="1" x14ac:dyDescent="0.25">
      <c r="A145" s="314">
        <f t="shared" si="11"/>
        <v>144</v>
      </c>
      <c r="B145" s="314" t="s">
        <v>843</v>
      </c>
      <c r="C145" s="340">
        <v>34</v>
      </c>
      <c r="D145" s="10">
        <v>0.33</v>
      </c>
      <c r="E145" s="7">
        <v>1</v>
      </c>
      <c r="F145" s="141">
        <f t="shared" si="15"/>
        <v>0.66999999999999993</v>
      </c>
      <c r="G145" s="142">
        <f t="shared" si="16"/>
        <v>11.22</v>
      </c>
      <c r="H145" s="143">
        <f t="shared" si="17"/>
        <v>34</v>
      </c>
      <c r="I145" s="97"/>
    </row>
    <row r="146" spans="1:9" ht="15" customHeight="1" x14ac:dyDescent="0.25">
      <c r="A146" s="314">
        <f t="shared" si="11"/>
        <v>145</v>
      </c>
      <c r="B146" s="314" t="s">
        <v>513</v>
      </c>
      <c r="C146" s="653">
        <v>2</v>
      </c>
      <c r="D146" s="18">
        <v>13.4</v>
      </c>
      <c r="E146" s="44">
        <v>23</v>
      </c>
      <c r="F146" s="141">
        <f t="shared" si="15"/>
        <v>0.41739130434782606</v>
      </c>
      <c r="G146" s="142">
        <f t="shared" si="16"/>
        <v>26.8</v>
      </c>
      <c r="H146" s="143">
        <f t="shared" si="17"/>
        <v>46</v>
      </c>
      <c r="I146" s="97"/>
    </row>
    <row r="147" spans="1:9" ht="15" customHeight="1" x14ac:dyDescent="0.25">
      <c r="A147" s="314">
        <f t="shared" ref="A147:A173" si="18">A146+1</f>
        <v>146</v>
      </c>
      <c r="B147" s="314" t="s">
        <v>90</v>
      </c>
      <c r="C147" s="340">
        <v>5</v>
      </c>
      <c r="D147" s="10">
        <v>3.54</v>
      </c>
      <c r="E147" s="7">
        <v>9</v>
      </c>
      <c r="F147" s="141">
        <f t="shared" si="15"/>
        <v>0.60666666666666669</v>
      </c>
      <c r="G147" s="142">
        <f t="shared" si="16"/>
        <v>17.7</v>
      </c>
      <c r="H147" s="143">
        <f t="shared" si="17"/>
        <v>45</v>
      </c>
      <c r="I147" s="97"/>
    </row>
    <row r="148" spans="1:9" ht="15" customHeight="1" x14ac:dyDescent="0.25">
      <c r="A148" s="314">
        <f t="shared" si="18"/>
        <v>147</v>
      </c>
      <c r="B148" s="314" t="s">
        <v>13</v>
      </c>
      <c r="C148" s="341">
        <v>3</v>
      </c>
      <c r="D148" s="10">
        <v>4.43</v>
      </c>
      <c r="E148" s="7">
        <v>8</v>
      </c>
      <c r="F148" s="141">
        <f t="shared" si="15"/>
        <v>0.44625000000000004</v>
      </c>
      <c r="G148" s="142">
        <f t="shared" si="16"/>
        <v>13.29</v>
      </c>
      <c r="H148" s="143">
        <f t="shared" si="17"/>
        <v>24</v>
      </c>
      <c r="I148" s="97"/>
    </row>
    <row r="149" spans="1:9" ht="15" customHeight="1" x14ac:dyDescent="0.25">
      <c r="A149" s="314">
        <f t="shared" si="18"/>
        <v>148</v>
      </c>
      <c r="B149" s="314" t="s">
        <v>639</v>
      </c>
      <c r="C149" s="340">
        <v>3</v>
      </c>
      <c r="D149" s="10">
        <v>11</v>
      </c>
      <c r="E149" s="7">
        <v>20</v>
      </c>
      <c r="F149" s="141">
        <f t="shared" si="15"/>
        <v>0.45</v>
      </c>
      <c r="G149" s="142">
        <f t="shared" si="16"/>
        <v>33</v>
      </c>
      <c r="H149" s="143">
        <f t="shared" si="17"/>
        <v>60</v>
      </c>
      <c r="I149" s="97"/>
    </row>
    <row r="150" spans="1:9" ht="15" customHeight="1" x14ac:dyDescent="0.25">
      <c r="A150" s="314">
        <f t="shared" si="18"/>
        <v>149</v>
      </c>
      <c r="B150" s="314" t="s">
        <v>911</v>
      </c>
      <c r="C150" s="341">
        <v>2</v>
      </c>
      <c r="D150" s="18">
        <v>13.2</v>
      </c>
      <c r="E150" s="44">
        <v>23</v>
      </c>
      <c r="F150" s="141">
        <f t="shared" si="15"/>
        <v>0.42608695652173917</v>
      </c>
      <c r="G150" s="142">
        <f t="shared" si="16"/>
        <v>26.4</v>
      </c>
      <c r="H150" s="143">
        <f t="shared" si="17"/>
        <v>46</v>
      </c>
      <c r="I150" s="97"/>
    </row>
    <row r="151" spans="1:9" ht="15" customHeight="1" x14ac:dyDescent="0.25">
      <c r="A151" s="314">
        <f t="shared" si="18"/>
        <v>150</v>
      </c>
      <c r="B151" s="314" t="s">
        <v>1110</v>
      </c>
      <c r="C151" s="340">
        <v>73</v>
      </c>
      <c r="D151" s="10">
        <v>0.56999999999999995</v>
      </c>
      <c r="E151" s="7">
        <v>1</v>
      </c>
      <c r="F151" s="141">
        <f t="shared" si="15"/>
        <v>0.43000000000000005</v>
      </c>
      <c r="G151" s="142">
        <f t="shared" si="16"/>
        <v>41.61</v>
      </c>
      <c r="H151" s="143">
        <f t="shared" si="17"/>
        <v>73</v>
      </c>
      <c r="I151" s="97"/>
    </row>
    <row r="152" spans="1:9" ht="15" customHeight="1" x14ac:dyDescent="0.25">
      <c r="A152" s="314">
        <f t="shared" si="18"/>
        <v>151</v>
      </c>
      <c r="B152" s="314" t="s">
        <v>1111</v>
      </c>
      <c r="C152" s="340">
        <v>6</v>
      </c>
      <c r="D152" s="10">
        <v>4.92</v>
      </c>
      <c r="E152" s="7">
        <v>10</v>
      </c>
      <c r="F152" s="141">
        <f t="shared" si="15"/>
        <v>0.50800000000000001</v>
      </c>
      <c r="G152" s="142">
        <f t="shared" si="16"/>
        <v>29.52</v>
      </c>
      <c r="H152" s="143">
        <f t="shared" si="17"/>
        <v>60</v>
      </c>
      <c r="I152" s="97"/>
    </row>
    <row r="153" spans="1:9" ht="15" customHeight="1" x14ac:dyDescent="0.25">
      <c r="A153" s="314">
        <f t="shared" si="18"/>
        <v>152</v>
      </c>
      <c r="B153" s="314" t="s">
        <v>1003</v>
      </c>
      <c r="C153" s="340">
        <v>107</v>
      </c>
      <c r="D153" s="10">
        <v>0.93899999999999995</v>
      </c>
      <c r="E153" s="7">
        <v>1.6</v>
      </c>
      <c r="F153" s="141">
        <f t="shared" si="15"/>
        <v>0.41312500000000008</v>
      </c>
      <c r="G153" s="142">
        <f t="shared" si="16"/>
        <v>100.473</v>
      </c>
      <c r="H153" s="143">
        <f t="shared" si="17"/>
        <v>171.20000000000002</v>
      </c>
      <c r="I153" s="97"/>
    </row>
    <row r="154" spans="1:9" ht="15" customHeight="1" x14ac:dyDescent="0.25">
      <c r="A154" s="314">
        <f t="shared" si="18"/>
        <v>153</v>
      </c>
      <c r="B154" s="314" t="s">
        <v>357</v>
      </c>
      <c r="C154" s="340">
        <v>1</v>
      </c>
      <c r="D154" s="10">
        <v>11.25</v>
      </c>
      <c r="E154" s="7">
        <v>20</v>
      </c>
      <c r="F154" s="141">
        <f t="shared" si="15"/>
        <v>0.4375</v>
      </c>
      <c r="G154" s="142">
        <f t="shared" si="16"/>
        <v>11.25</v>
      </c>
      <c r="H154" s="143">
        <f t="shared" si="17"/>
        <v>20</v>
      </c>
      <c r="I154" s="97"/>
    </row>
    <row r="155" spans="1:9" ht="15" customHeight="1" x14ac:dyDescent="0.25">
      <c r="A155" s="314">
        <f t="shared" si="18"/>
        <v>154</v>
      </c>
      <c r="B155" s="314" t="s">
        <v>311</v>
      </c>
      <c r="C155" s="340">
        <v>0</v>
      </c>
      <c r="D155" s="10">
        <v>0.28000000000000003</v>
      </c>
      <c r="E155" s="7">
        <v>0.5</v>
      </c>
      <c r="F155" s="141">
        <f t="shared" si="15"/>
        <v>0.43999999999999995</v>
      </c>
      <c r="G155" s="142">
        <f t="shared" si="16"/>
        <v>0</v>
      </c>
      <c r="H155" s="143">
        <f t="shared" si="17"/>
        <v>0</v>
      </c>
      <c r="I155" s="97"/>
    </row>
    <row r="156" spans="1:9" ht="15" customHeight="1" x14ac:dyDescent="0.25">
      <c r="A156" s="314">
        <f t="shared" si="18"/>
        <v>155</v>
      </c>
      <c r="B156" s="314" t="s">
        <v>11</v>
      </c>
      <c r="C156" s="340">
        <v>10</v>
      </c>
      <c r="D156" s="10">
        <v>1.62</v>
      </c>
      <c r="E156" s="7">
        <v>3</v>
      </c>
      <c r="F156" s="141">
        <f t="shared" si="15"/>
        <v>0.45999999999999996</v>
      </c>
      <c r="G156" s="142">
        <f t="shared" si="16"/>
        <v>16.200000000000003</v>
      </c>
      <c r="H156" s="143">
        <f t="shared" si="17"/>
        <v>30</v>
      </c>
      <c r="I156" s="97"/>
    </row>
    <row r="157" spans="1:9" ht="15" customHeight="1" x14ac:dyDescent="0.25">
      <c r="A157" s="314">
        <f t="shared" si="18"/>
        <v>156</v>
      </c>
      <c r="B157" s="314" t="s">
        <v>293</v>
      </c>
      <c r="C157" s="653">
        <v>2</v>
      </c>
      <c r="D157" s="10">
        <v>1.44</v>
      </c>
      <c r="E157" s="7">
        <v>3</v>
      </c>
      <c r="F157" s="141">
        <f t="shared" si="15"/>
        <v>0.52</v>
      </c>
      <c r="G157" s="142">
        <f t="shared" si="16"/>
        <v>2.88</v>
      </c>
      <c r="H157" s="143">
        <f t="shared" si="17"/>
        <v>6</v>
      </c>
      <c r="I157" s="97"/>
    </row>
    <row r="158" spans="1:9" ht="15" customHeight="1" x14ac:dyDescent="0.25">
      <c r="A158" s="314">
        <f t="shared" si="18"/>
        <v>157</v>
      </c>
      <c r="B158" s="314" t="s">
        <v>912</v>
      </c>
      <c r="C158" s="340">
        <v>6</v>
      </c>
      <c r="D158" s="10">
        <v>26.72</v>
      </c>
      <c r="E158" s="7">
        <v>44</v>
      </c>
      <c r="F158" s="141">
        <f t="shared" si="15"/>
        <v>0.39272727272727276</v>
      </c>
      <c r="G158" s="142">
        <f t="shared" si="16"/>
        <v>160.32</v>
      </c>
      <c r="H158" s="143">
        <f t="shared" si="17"/>
        <v>264</v>
      </c>
      <c r="I158" s="97"/>
    </row>
    <row r="159" spans="1:9" ht="15" customHeight="1" x14ac:dyDescent="0.25">
      <c r="A159" s="314">
        <f t="shared" si="18"/>
        <v>158</v>
      </c>
      <c r="B159" s="449" t="s">
        <v>913</v>
      </c>
      <c r="C159" s="465">
        <v>14</v>
      </c>
      <c r="D159" s="10">
        <v>3.04</v>
      </c>
      <c r="E159" s="7">
        <v>7</v>
      </c>
      <c r="F159" s="141">
        <f t="shared" si="15"/>
        <v>0.56571428571428573</v>
      </c>
      <c r="G159" s="142">
        <f t="shared" si="16"/>
        <v>42.56</v>
      </c>
      <c r="H159" s="143">
        <f t="shared" si="17"/>
        <v>98</v>
      </c>
      <c r="I159" s="97"/>
    </row>
    <row r="160" spans="1:9" ht="15" customHeight="1" x14ac:dyDescent="0.25">
      <c r="A160" s="314">
        <f t="shared" si="18"/>
        <v>159</v>
      </c>
      <c r="B160" s="314" t="s">
        <v>507</v>
      </c>
      <c r="C160" s="340">
        <v>4</v>
      </c>
      <c r="D160" s="10">
        <v>21.95</v>
      </c>
      <c r="E160" s="7">
        <v>35</v>
      </c>
      <c r="F160" s="141">
        <f t="shared" si="15"/>
        <v>0.37285714285714289</v>
      </c>
      <c r="G160" s="142">
        <f t="shared" si="16"/>
        <v>87.8</v>
      </c>
      <c r="H160" s="143">
        <f t="shared" si="17"/>
        <v>140</v>
      </c>
    </row>
    <row r="161" spans="1:8" ht="15" customHeight="1" x14ac:dyDescent="0.25">
      <c r="A161" s="314">
        <f t="shared" si="18"/>
        <v>160</v>
      </c>
      <c r="B161" s="314" t="s">
        <v>983</v>
      </c>
      <c r="C161" s="340">
        <v>7</v>
      </c>
      <c r="D161" s="10">
        <v>8.298</v>
      </c>
      <c r="E161" s="7">
        <v>15</v>
      </c>
      <c r="F161" s="141">
        <f t="shared" si="15"/>
        <v>0.44679999999999997</v>
      </c>
      <c r="G161" s="142">
        <f t="shared" si="16"/>
        <v>58.085999999999999</v>
      </c>
      <c r="H161" s="143">
        <f t="shared" si="17"/>
        <v>105</v>
      </c>
    </row>
    <row r="162" spans="1:8" ht="15" customHeight="1" x14ac:dyDescent="0.25">
      <c r="A162" s="314">
        <f t="shared" si="18"/>
        <v>161</v>
      </c>
      <c r="B162" s="314" t="s">
        <v>18</v>
      </c>
      <c r="C162" s="340">
        <v>2</v>
      </c>
      <c r="D162" s="15">
        <v>19.940000000000001</v>
      </c>
      <c r="E162" s="7">
        <v>36</v>
      </c>
      <c r="F162" s="141">
        <f t="shared" ref="F162:F176" si="19">(E162-D162)/(E162)</f>
        <v>0.44611111111111107</v>
      </c>
      <c r="G162" s="142">
        <f t="shared" ref="G162:G176" si="20">D162*C162</f>
        <v>39.880000000000003</v>
      </c>
      <c r="H162" s="143">
        <f t="shared" ref="H162:H176" si="21">E162*C162</f>
        <v>72</v>
      </c>
    </row>
    <row r="163" spans="1:8" ht="15" customHeight="1" x14ac:dyDescent="0.25">
      <c r="A163" s="314">
        <f t="shared" si="18"/>
        <v>162</v>
      </c>
      <c r="B163" s="314" t="s">
        <v>152</v>
      </c>
      <c r="C163" s="340">
        <v>2</v>
      </c>
      <c r="D163" s="10">
        <v>33.299999999999997</v>
      </c>
      <c r="E163" s="7">
        <v>60</v>
      </c>
      <c r="F163" s="141">
        <f t="shared" si="19"/>
        <v>0.44500000000000006</v>
      </c>
      <c r="G163" s="142">
        <f t="shared" si="20"/>
        <v>66.599999999999994</v>
      </c>
      <c r="H163" s="143">
        <f t="shared" si="21"/>
        <v>120</v>
      </c>
    </row>
    <row r="164" spans="1:8" ht="15" customHeight="1" x14ac:dyDescent="0.25">
      <c r="A164" s="314">
        <f t="shared" si="18"/>
        <v>163</v>
      </c>
      <c r="B164" s="314" t="s">
        <v>180</v>
      </c>
      <c r="C164" s="340">
        <v>35</v>
      </c>
      <c r="D164" s="10">
        <v>2.81</v>
      </c>
      <c r="E164" s="7">
        <v>5</v>
      </c>
      <c r="F164" s="141">
        <f t="shared" si="19"/>
        <v>0.438</v>
      </c>
      <c r="G164" s="142">
        <f t="shared" si="20"/>
        <v>98.350000000000009</v>
      </c>
      <c r="H164" s="143">
        <f t="shared" si="21"/>
        <v>175</v>
      </c>
    </row>
    <row r="165" spans="1:8" ht="15" customHeight="1" x14ac:dyDescent="0.25">
      <c r="A165" s="314">
        <f t="shared" si="18"/>
        <v>164</v>
      </c>
      <c r="B165" s="314" t="s">
        <v>95</v>
      </c>
      <c r="C165" s="340">
        <v>0</v>
      </c>
      <c r="D165" s="10">
        <v>0</v>
      </c>
      <c r="E165" s="7">
        <v>0</v>
      </c>
      <c r="F165" s="141" t="e">
        <f t="shared" si="19"/>
        <v>#DIV/0!</v>
      </c>
      <c r="G165" s="142">
        <f t="shared" si="20"/>
        <v>0</v>
      </c>
      <c r="H165" s="143">
        <f t="shared" si="21"/>
        <v>0</v>
      </c>
    </row>
    <row r="166" spans="1:8" ht="15" customHeight="1" x14ac:dyDescent="0.25">
      <c r="A166" s="314">
        <f t="shared" si="18"/>
        <v>165</v>
      </c>
      <c r="B166" s="314" t="s">
        <v>181</v>
      </c>
      <c r="C166" s="340">
        <v>47</v>
      </c>
      <c r="D166" s="10">
        <v>2.81</v>
      </c>
      <c r="E166" s="7">
        <v>5</v>
      </c>
      <c r="F166" s="141">
        <f t="shared" si="19"/>
        <v>0.438</v>
      </c>
      <c r="G166" s="142">
        <f t="shared" si="20"/>
        <v>132.07</v>
      </c>
      <c r="H166" s="143">
        <f t="shared" si="21"/>
        <v>235</v>
      </c>
    </row>
    <row r="167" spans="1:8" ht="15" customHeight="1" x14ac:dyDescent="0.25">
      <c r="A167" s="314">
        <f t="shared" si="18"/>
        <v>166</v>
      </c>
      <c r="B167" s="314" t="s">
        <v>253</v>
      </c>
      <c r="C167" s="340">
        <v>31</v>
      </c>
      <c r="D167" s="10">
        <v>3.0470000000000002</v>
      </c>
      <c r="E167" s="7">
        <v>5</v>
      </c>
      <c r="F167" s="141">
        <f t="shared" si="19"/>
        <v>0.39059999999999995</v>
      </c>
      <c r="G167" s="142">
        <f t="shared" si="20"/>
        <v>94.457000000000008</v>
      </c>
      <c r="H167" s="143">
        <f t="shared" si="21"/>
        <v>155</v>
      </c>
    </row>
    <row r="168" spans="1:8" ht="15" customHeight="1" x14ac:dyDescent="0.25">
      <c r="A168" s="314">
        <f t="shared" si="18"/>
        <v>167</v>
      </c>
      <c r="B168" s="314" t="s">
        <v>135</v>
      </c>
      <c r="C168" s="340">
        <v>19</v>
      </c>
      <c r="D168" s="10">
        <v>3.13</v>
      </c>
      <c r="E168" s="7">
        <v>5</v>
      </c>
      <c r="F168" s="141">
        <f t="shared" si="19"/>
        <v>0.374</v>
      </c>
      <c r="G168" s="142">
        <f t="shared" si="20"/>
        <v>59.47</v>
      </c>
      <c r="H168" s="143">
        <f t="shared" si="21"/>
        <v>95</v>
      </c>
    </row>
    <row r="169" spans="1:8" ht="15" customHeight="1" x14ac:dyDescent="0.25">
      <c r="A169" s="314">
        <f t="shared" si="18"/>
        <v>168</v>
      </c>
      <c r="B169" s="314" t="s">
        <v>29</v>
      </c>
      <c r="C169" s="340">
        <v>7</v>
      </c>
      <c r="D169" s="10">
        <v>4.3</v>
      </c>
      <c r="E169" s="7">
        <v>8</v>
      </c>
      <c r="F169" s="141">
        <f t="shared" si="19"/>
        <v>0.46250000000000002</v>
      </c>
      <c r="G169" s="142">
        <f t="shared" si="20"/>
        <v>30.099999999999998</v>
      </c>
      <c r="H169" s="143">
        <f t="shared" si="21"/>
        <v>56</v>
      </c>
    </row>
    <row r="170" spans="1:8" ht="15" customHeight="1" x14ac:dyDescent="0.25">
      <c r="A170" s="314">
        <f t="shared" si="18"/>
        <v>169</v>
      </c>
      <c r="B170" s="281" t="s">
        <v>1113</v>
      </c>
      <c r="C170" s="340">
        <v>4</v>
      </c>
      <c r="D170" s="10">
        <v>15.38</v>
      </c>
      <c r="E170" s="7">
        <v>25</v>
      </c>
      <c r="F170" s="141">
        <f t="shared" si="19"/>
        <v>0.38479999999999998</v>
      </c>
      <c r="G170" s="142">
        <f t="shared" si="20"/>
        <v>61.52</v>
      </c>
      <c r="H170" s="143">
        <f t="shared" si="21"/>
        <v>100</v>
      </c>
    </row>
    <row r="171" spans="1:8" ht="15" customHeight="1" x14ac:dyDescent="0.25">
      <c r="A171" s="314">
        <f t="shared" si="18"/>
        <v>170</v>
      </c>
      <c r="B171" s="314" t="s">
        <v>849</v>
      </c>
      <c r="C171" s="340">
        <v>20</v>
      </c>
      <c r="D171" s="10">
        <v>1.1950000000000001</v>
      </c>
      <c r="E171" s="7">
        <v>2.5</v>
      </c>
      <c r="F171" s="141">
        <f t="shared" si="19"/>
        <v>0.52200000000000002</v>
      </c>
      <c r="G171" s="142">
        <f t="shared" si="20"/>
        <v>23.900000000000002</v>
      </c>
      <c r="H171" s="143">
        <f t="shared" si="21"/>
        <v>50</v>
      </c>
    </row>
    <row r="172" spans="1:8" ht="15" customHeight="1" x14ac:dyDescent="0.25">
      <c r="A172" s="314">
        <f t="shared" si="18"/>
        <v>171</v>
      </c>
      <c r="B172" s="314" t="s">
        <v>943</v>
      </c>
      <c r="C172" s="340">
        <v>9</v>
      </c>
      <c r="D172" s="10">
        <v>3.3370000000000002</v>
      </c>
      <c r="E172" s="7">
        <v>5.7</v>
      </c>
      <c r="F172" s="141">
        <f t="shared" si="19"/>
        <v>0.41456140350877191</v>
      </c>
      <c r="G172" s="142">
        <f t="shared" si="20"/>
        <v>30.033000000000001</v>
      </c>
      <c r="H172" s="143">
        <f t="shared" si="21"/>
        <v>51.300000000000004</v>
      </c>
    </row>
    <row r="173" spans="1:8" ht="15" customHeight="1" x14ac:dyDescent="0.25">
      <c r="A173" s="314">
        <f t="shared" si="18"/>
        <v>172</v>
      </c>
      <c r="B173" s="314" t="s">
        <v>442</v>
      </c>
      <c r="C173" s="340">
        <v>7</v>
      </c>
      <c r="D173" s="10">
        <v>3.95</v>
      </c>
      <c r="E173" s="7">
        <v>7</v>
      </c>
      <c r="F173" s="141">
        <f t="shared" si="19"/>
        <v>0.43571428571428567</v>
      </c>
      <c r="G173" s="142">
        <f t="shared" si="20"/>
        <v>27.650000000000002</v>
      </c>
      <c r="H173" s="143">
        <f t="shared" si="21"/>
        <v>49</v>
      </c>
    </row>
    <row r="174" spans="1:8" ht="15" customHeight="1" x14ac:dyDescent="0.25">
      <c r="A174" s="314">
        <f t="shared" ref="A174:A200" si="22">A173+1</f>
        <v>173</v>
      </c>
      <c r="B174" s="314" t="s">
        <v>1114</v>
      </c>
      <c r="C174" s="653">
        <v>8</v>
      </c>
      <c r="D174" s="10">
        <v>2.5</v>
      </c>
      <c r="E174" s="7">
        <v>4</v>
      </c>
      <c r="F174" s="141">
        <f t="shared" si="19"/>
        <v>0.375</v>
      </c>
      <c r="G174" s="142">
        <f t="shared" si="20"/>
        <v>20</v>
      </c>
      <c r="H174" s="143">
        <f t="shared" si="21"/>
        <v>32</v>
      </c>
    </row>
    <row r="175" spans="1:8" ht="15" customHeight="1" x14ac:dyDescent="0.25">
      <c r="A175" s="314">
        <f t="shared" si="22"/>
        <v>174</v>
      </c>
      <c r="B175" s="314" t="s">
        <v>754</v>
      </c>
      <c r="C175" s="195">
        <v>1</v>
      </c>
      <c r="D175" s="10">
        <v>41.05</v>
      </c>
      <c r="E175" s="7">
        <v>69</v>
      </c>
      <c r="F175" s="141">
        <f t="shared" si="19"/>
        <v>0.40507246376811601</v>
      </c>
      <c r="G175" s="142">
        <f t="shared" si="20"/>
        <v>41.05</v>
      </c>
      <c r="H175" s="143">
        <f t="shared" si="21"/>
        <v>69</v>
      </c>
    </row>
    <row r="176" spans="1:8" ht="15" customHeight="1" x14ac:dyDescent="0.25">
      <c r="A176" s="314">
        <f t="shared" si="22"/>
        <v>175</v>
      </c>
      <c r="B176" s="314" t="s">
        <v>470</v>
      </c>
      <c r="C176" s="340">
        <v>2</v>
      </c>
      <c r="D176" s="10">
        <v>20.95</v>
      </c>
      <c r="E176" s="7">
        <v>33</v>
      </c>
      <c r="F176" s="141">
        <f t="shared" si="19"/>
        <v>0.36515151515151517</v>
      </c>
      <c r="G176" s="142">
        <f t="shared" si="20"/>
        <v>41.9</v>
      </c>
      <c r="H176" s="143">
        <f t="shared" si="21"/>
        <v>66</v>
      </c>
    </row>
    <row r="177" spans="1:8" ht="15" customHeight="1" x14ac:dyDescent="0.25">
      <c r="A177" s="314">
        <f t="shared" si="22"/>
        <v>176</v>
      </c>
      <c r="B177" s="314"/>
      <c r="C177" s="340"/>
      <c r="D177" s="10"/>
      <c r="E177" s="7"/>
      <c r="F177" s="141"/>
      <c r="G177" s="142"/>
      <c r="H177" s="417"/>
    </row>
    <row r="178" spans="1:8" ht="15" customHeight="1" x14ac:dyDescent="0.25">
      <c r="A178" s="314">
        <f t="shared" si="22"/>
        <v>177</v>
      </c>
      <c r="B178" s="314"/>
      <c r="C178" s="340"/>
      <c r="D178" s="10"/>
      <c r="E178" s="7"/>
      <c r="F178" s="141"/>
      <c r="G178" s="142"/>
      <c r="H178" s="417"/>
    </row>
    <row r="179" spans="1:8" ht="15" customHeight="1" x14ac:dyDescent="0.25">
      <c r="A179" s="314">
        <f t="shared" si="22"/>
        <v>178</v>
      </c>
      <c r="B179" s="314"/>
      <c r="C179" s="340"/>
      <c r="D179" s="10"/>
      <c r="E179" s="7"/>
      <c r="F179" s="141"/>
      <c r="G179" s="142"/>
      <c r="H179" s="417"/>
    </row>
    <row r="180" spans="1:8" ht="15" customHeight="1" x14ac:dyDescent="0.25">
      <c r="A180" s="314">
        <f t="shared" si="22"/>
        <v>179</v>
      </c>
      <c r="B180" s="314"/>
      <c r="C180" s="340"/>
      <c r="D180" s="10"/>
      <c r="E180" s="7"/>
      <c r="F180" s="141"/>
      <c r="G180" s="142"/>
      <c r="H180" s="417"/>
    </row>
    <row r="181" spans="1:8" ht="15" customHeight="1" x14ac:dyDescent="0.25">
      <c r="A181" s="314">
        <f t="shared" si="22"/>
        <v>180</v>
      </c>
      <c r="B181" s="314"/>
      <c r="C181" s="413"/>
      <c r="D181" s="404"/>
      <c r="E181" s="7"/>
      <c r="F181" s="354"/>
      <c r="G181" s="355"/>
      <c r="H181" s="416"/>
    </row>
    <row r="182" spans="1:8" ht="15" customHeight="1" x14ac:dyDescent="0.25">
      <c r="A182" s="314">
        <f t="shared" si="22"/>
        <v>181</v>
      </c>
      <c r="B182" s="13"/>
      <c r="C182" s="47"/>
      <c r="D182" s="18"/>
      <c r="F182" s="141"/>
      <c r="G182" s="142">
        <f>SUM(G2:G181)</f>
        <v>8644.344000000001</v>
      </c>
      <c r="H182" s="143">
        <f>SUM(H2:H181)</f>
        <v>16053.349999999999</v>
      </c>
    </row>
    <row r="183" spans="1:8" ht="15" customHeight="1" x14ac:dyDescent="0.25">
      <c r="A183" s="314">
        <f t="shared" si="22"/>
        <v>182</v>
      </c>
      <c r="B183" s="13"/>
      <c r="C183" s="47"/>
      <c r="D183" s="18"/>
      <c r="F183" s="141"/>
      <c r="G183" s="142"/>
      <c r="H183" s="143">
        <f>H182-G182</f>
        <v>7409.0059999999976</v>
      </c>
    </row>
    <row r="184" spans="1:8" ht="15" customHeight="1" x14ac:dyDescent="0.25">
      <c r="A184" s="314">
        <f t="shared" si="22"/>
        <v>183</v>
      </c>
      <c r="C184" s="47"/>
      <c r="H184" s="29">
        <f>H183/H182</f>
        <v>0.46152398097593328</v>
      </c>
    </row>
    <row r="185" spans="1:8" ht="15" customHeight="1" x14ac:dyDescent="0.25">
      <c r="A185" s="314">
        <f t="shared" si="22"/>
        <v>184</v>
      </c>
      <c r="H185" s="29"/>
    </row>
    <row r="186" spans="1:8" ht="15" customHeight="1" x14ac:dyDescent="0.25">
      <c r="A186" s="314">
        <f t="shared" si="22"/>
        <v>185</v>
      </c>
      <c r="H186" s="29"/>
    </row>
    <row r="187" spans="1:8" ht="15" customHeight="1" x14ac:dyDescent="0.25">
      <c r="A187" s="314">
        <f t="shared" si="22"/>
        <v>186</v>
      </c>
      <c r="H187" s="29"/>
    </row>
    <row r="188" spans="1:8" ht="15" customHeight="1" x14ac:dyDescent="0.25">
      <c r="A188" s="314">
        <f t="shared" si="22"/>
        <v>187</v>
      </c>
    </row>
    <row r="189" spans="1:8" ht="15" customHeight="1" x14ac:dyDescent="0.25">
      <c r="A189" s="314">
        <f t="shared" si="22"/>
        <v>188</v>
      </c>
    </row>
    <row r="190" spans="1:8" ht="15" customHeight="1" x14ac:dyDescent="0.25">
      <c r="A190" s="314">
        <f t="shared" si="22"/>
        <v>189</v>
      </c>
    </row>
    <row r="191" spans="1:8" ht="15" customHeight="1" x14ac:dyDescent="0.25">
      <c r="A191" s="314">
        <f t="shared" si="22"/>
        <v>190</v>
      </c>
    </row>
    <row r="192" spans="1:8" ht="15" customHeight="1" x14ac:dyDescent="0.25">
      <c r="A192" s="314">
        <f t="shared" si="22"/>
        <v>191</v>
      </c>
    </row>
    <row r="193" spans="1:1" ht="15" customHeight="1" x14ac:dyDescent="0.25">
      <c r="A193" s="314">
        <f t="shared" si="22"/>
        <v>192</v>
      </c>
    </row>
    <row r="194" spans="1:1" ht="15" customHeight="1" x14ac:dyDescent="0.25">
      <c r="A194" s="314">
        <f t="shared" si="22"/>
        <v>193</v>
      </c>
    </row>
    <row r="195" spans="1:1" ht="15" customHeight="1" x14ac:dyDescent="0.25">
      <c r="A195" s="314">
        <f t="shared" si="22"/>
        <v>194</v>
      </c>
    </row>
    <row r="196" spans="1:1" ht="15" customHeight="1" x14ac:dyDescent="0.25">
      <c r="A196" s="314">
        <f t="shared" si="22"/>
        <v>195</v>
      </c>
    </row>
    <row r="197" spans="1:1" ht="15" customHeight="1" x14ac:dyDescent="0.25">
      <c r="A197" s="314">
        <f t="shared" si="22"/>
        <v>196</v>
      </c>
    </row>
    <row r="198" spans="1:1" ht="15" customHeight="1" x14ac:dyDescent="0.25">
      <c r="A198" s="314">
        <f t="shared" si="22"/>
        <v>197</v>
      </c>
    </row>
    <row r="199" spans="1:1" ht="15" customHeight="1" x14ac:dyDescent="0.25">
      <c r="A199" s="314">
        <f t="shared" si="22"/>
        <v>198</v>
      </c>
    </row>
    <row r="200" spans="1:1" ht="15" customHeight="1" x14ac:dyDescent="0.25">
      <c r="A200" s="314">
        <f t="shared" si="22"/>
        <v>199</v>
      </c>
    </row>
    <row r="201" spans="1:1" ht="15" customHeight="1" x14ac:dyDescent="0.25">
      <c r="A201" s="314">
        <f t="shared" ref="A201:A206" si="23">A200+1</f>
        <v>200</v>
      </c>
    </row>
    <row r="202" spans="1:1" ht="15" customHeight="1" x14ac:dyDescent="0.25">
      <c r="A202" s="314">
        <f t="shared" si="23"/>
        <v>201</v>
      </c>
    </row>
    <row r="203" spans="1:1" ht="15" customHeight="1" x14ac:dyDescent="0.25">
      <c r="A203" s="314">
        <f t="shared" si="23"/>
        <v>202</v>
      </c>
    </row>
    <row r="204" spans="1:1" ht="15" customHeight="1" x14ac:dyDescent="0.25">
      <c r="A204" s="314">
        <f t="shared" si="23"/>
        <v>203</v>
      </c>
    </row>
    <row r="205" spans="1:1" ht="15" customHeight="1" x14ac:dyDescent="0.25">
      <c r="A205" s="314">
        <f t="shared" si="23"/>
        <v>204</v>
      </c>
    </row>
    <row r="206" spans="1:1" ht="15" customHeight="1" x14ac:dyDescent="0.25">
      <c r="A206" s="314">
        <f t="shared" si="23"/>
        <v>205</v>
      </c>
    </row>
    <row r="207" spans="1:1" ht="15" customHeight="1" x14ac:dyDescent="0.25"/>
    <row r="208" spans="1:1" ht="15" customHeight="1" x14ac:dyDescent="0.25"/>
    <row r="209" ht="15" customHeight="1" x14ac:dyDescent="0.25"/>
    <row r="210" ht="15" customHeight="1" x14ac:dyDescent="0.25"/>
  </sheetData>
  <autoFilter ref="A1:Q206"/>
  <sortState ref="B2:H176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AV351"/>
  <sheetViews>
    <sheetView zoomScale="93" zoomScaleNormal="93" workbookViewId="0">
      <pane ySplit="1" topLeftCell="A2" activePane="bottomLeft" state="frozen"/>
      <selection activeCell="T161" sqref="T161"/>
      <selection pane="bottomLeft" activeCell="B12" sqref="B12"/>
    </sheetView>
  </sheetViews>
  <sheetFormatPr baseColWidth="10" defaultRowHeight="15" x14ac:dyDescent="0.25"/>
  <cols>
    <col min="1" max="1" width="4.42578125" style="23" customWidth="1"/>
    <col min="2" max="2" width="56.140625" style="159" customWidth="1"/>
    <col min="3" max="3" width="5" style="194" customWidth="1"/>
    <col min="4" max="4" width="3.42578125" style="375" customWidth="1"/>
    <col min="5" max="5" width="3.42578125" style="492" customWidth="1"/>
    <col min="6" max="6" width="3.42578125" style="375" customWidth="1"/>
    <col min="7" max="7" width="3.7109375" style="492" customWidth="1"/>
    <col min="8" max="8" width="3.42578125" style="375" customWidth="1"/>
    <col min="9" max="9" width="3.5703125" style="492" customWidth="1"/>
    <col min="10" max="10" width="3.85546875" style="375" customWidth="1"/>
    <col min="11" max="11" width="3.5703125" style="492" customWidth="1"/>
    <col min="12" max="12" width="3.42578125" style="375" customWidth="1"/>
    <col min="13" max="13" width="3.5703125" style="492" customWidth="1"/>
    <col min="14" max="14" width="3.28515625" style="567" customWidth="1"/>
    <col min="15" max="15" width="4" style="52" customWidth="1"/>
    <col min="16" max="16" width="4.7109375" style="119" customWidth="1"/>
    <col min="17" max="17" width="8" style="44" customWidth="1"/>
    <col min="18" max="18" width="8.85546875" style="71" customWidth="1"/>
    <col min="19" max="19" width="8.28515625" style="107" customWidth="1"/>
    <col min="20" max="20" width="4.5703125" style="309" customWidth="1"/>
    <col min="21" max="21" width="4.28515625" style="122" customWidth="1"/>
    <col min="22" max="22" width="9.28515625" style="107" customWidth="1"/>
    <col min="23" max="23" width="4" style="107" customWidth="1"/>
    <col min="24" max="24" width="4.140625" style="122" customWidth="1"/>
    <col min="25" max="26" width="4" style="309" customWidth="1"/>
    <col min="27" max="27" width="4" style="191" customWidth="1"/>
    <col min="28" max="28" width="4" style="191" bestFit="1" customWidth="1"/>
    <col min="29" max="29" width="4.140625" style="190" customWidth="1"/>
    <col min="30" max="30" width="4.140625" style="191" customWidth="1"/>
    <col min="31" max="45" width="11.42578125" style="97"/>
  </cols>
  <sheetData>
    <row r="1" spans="1:45" ht="66.75" customHeight="1" x14ac:dyDescent="0.25">
      <c r="A1" s="128" t="s">
        <v>0</v>
      </c>
      <c r="B1" s="128" t="s">
        <v>1</v>
      </c>
      <c r="C1" s="292" t="s">
        <v>10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83" t="s">
        <v>4</v>
      </c>
      <c r="P1" s="263" t="s">
        <v>110</v>
      </c>
      <c r="Q1" s="458" t="s">
        <v>5</v>
      </c>
      <c r="R1" s="264" t="s">
        <v>111</v>
      </c>
      <c r="S1" s="553" t="s">
        <v>107</v>
      </c>
      <c r="T1" s="277" t="s">
        <v>539</v>
      </c>
      <c r="U1" s="278" t="s">
        <v>540</v>
      </c>
      <c r="V1" s="554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6" t="s">
        <v>119</v>
      </c>
      <c r="AB1" s="266" t="s">
        <v>120</v>
      </c>
      <c r="AC1" s="266" t="s">
        <v>118</v>
      </c>
      <c r="AD1" s="266" t="s">
        <v>117</v>
      </c>
    </row>
    <row r="2" spans="1:45" x14ac:dyDescent="0.25">
      <c r="A2" s="3">
        <v>1</v>
      </c>
      <c r="B2" s="314" t="s">
        <v>296</v>
      </c>
      <c r="C2" s="339">
        <v>5</v>
      </c>
      <c r="D2" s="359"/>
      <c r="E2" s="478"/>
      <c r="F2" s="359"/>
      <c r="G2" s="478">
        <v>1</v>
      </c>
      <c r="H2" s="359"/>
      <c r="I2" s="478">
        <v>1</v>
      </c>
      <c r="J2" s="359"/>
      <c r="K2" s="478"/>
      <c r="L2" s="359"/>
      <c r="M2" s="478"/>
      <c r="N2" s="561"/>
      <c r="O2" s="340">
        <f t="shared" ref="O2:O33" si="0">SUM(C2-D2-E2-F2-G2-H2-I2-J2-K2-L2-M2-N2)</f>
        <v>3</v>
      </c>
      <c r="P2" s="340">
        <f t="shared" ref="P2:P65" si="1">AD2-O2</f>
        <v>7</v>
      </c>
      <c r="Q2" s="7">
        <v>12</v>
      </c>
      <c r="R2" s="68"/>
      <c r="S2" s="335">
        <v>46357</v>
      </c>
      <c r="T2" s="318">
        <v>2</v>
      </c>
      <c r="U2" s="120">
        <v>2</v>
      </c>
      <c r="V2" s="175">
        <v>45717</v>
      </c>
      <c r="W2" s="309">
        <v>1</v>
      </c>
      <c r="X2" s="122">
        <v>1</v>
      </c>
      <c r="Y2" s="309">
        <v>1</v>
      </c>
      <c r="Z2" s="429">
        <v>2</v>
      </c>
      <c r="AA2" s="184">
        <f t="shared" ref="AA2:AA33" si="2">W2+X2+Y2+Z2</f>
        <v>5</v>
      </c>
      <c r="AB2" s="185">
        <f t="shared" ref="AB2:AB33" si="3">AA2/4</f>
        <v>1.25</v>
      </c>
      <c r="AC2" s="185">
        <f t="shared" ref="AC2:AC33" si="4">AB2*4</f>
        <v>5</v>
      </c>
      <c r="AD2" s="185">
        <f t="shared" ref="AD2:AD33" si="5">AC2*2</f>
        <v>10</v>
      </c>
    </row>
    <row r="3" spans="1:45" s="113" customFormat="1" ht="14.25" customHeight="1" x14ac:dyDescent="0.25">
      <c r="A3" s="3">
        <f>A2+1</f>
        <v>2</v>
      </c>
      <c r="B3" s="314" t="s">
        <v>1225</v>
      </c>
      <c r="C3" s="340">
        <v>56</v>
      </c>
      <c r="D3" s="359"/>
      <c r="E3" s="478">
        <v>8</v>
      </c>
      <c r="F3" s="359"/>
      <c r="G3" s="478">
        <v>2</v>
      </c>
      <c r="H3" s="359">
        <v>2</v>
      </c>
      <c r="I3" s="478"/>
      <c r="J3" s="359"/>
      <c r="K3" s="478"/>
      <c r="L3" s="359">
        <v>2</v>
      </c>
      <c r="M3" s="478">
        <v>4</v>
      </c>
      <c r="N3" s="561"/>
      <c r="O3" s="340">
        <f t="shared" si="0"/>
        <v>38</v>
      </c>
      <c r="P3" s="340">
        <f t="shared" si="1"/>
        <v>120</v>
      </c>
      <c r="Q3" s="7">
        <v>2.5</v>
      </c>
      <c r="R3" s="68"/>
      <c r="S3" s="434">
        <v>46082</v>
      </c>
      <c r="T3" s="318">
        <v>10</v>
      </c>
      <c r="U3" s="318">
        <v>11</v>
      </c>
      <c r="V3" s="344">
        <v>45717</v>
      </c>
      <c r="W3" s="309">
        <v>26</v>
      </c>
      <c r="X3" s="122">
        <v>23</v>
      </c>
      <c r="Y3" s="309">
        <v>12</v>
      </c>
      <c r="Z3" s="429">
        <v>18</v>
      </c>
      <c r="AA3" s="184">
        <f t="shared" si="2"/>
        <v>79</v>
      </c>
      <c r="AB3" s="185">
        <f t="shared" si="3"/>
        <v>19.75</v>
      </c>
      <c r="AC3" s="185">
        <f t="shared" si="4"/>
        <v>79</v>
      </c>
      <c r="AD3" s="185">
        <f t="shared" si="5"/>
        <v>158</v>
      </c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</row>
    <row r="4" spans="1:45" ht="15" customHeight="1" x14ac:dyDescent="0.25">
      <c r="A4" s="314">
        <f t="shared" ref="A4:A65" si="6">A3+1</f>
        <v>3</v>
      </c>
      <c r="B4" s="3" t="s">
        <v>409</v>
      </c>
      <c r="C4" s="340">
        <v>1</v>
      </c>
      <c r="D4" s="359"/>
      <c r="E4" s="478"/>
      <c r="F4" s="360"/>
      <c r="G4" s="480"/>
      <c r="H4" s="360"/>
      <c r="I4" s="480"/>
      <c r="J4" s="360"/>
      <c r="K4" s="480"/>
      <c r="L4" s="360"/>
      <c r="M4" s="480"/>
      <c r="N4" s="562"/>
      <c r="O4" s="340">
        <f t="shared" si="0"/>
        <v>1</v>
      </c>
      <c r="P4" s="340">
        <f t="shared" si="1"/>
        <v>7</v>
      </c>
      <c r="Q4" s="7">
        <v>38</v>
      </c>
      <c r="R4" s="63"/>
      <c r="S4" s="335">
        <v>45931</v>
      </c>
      <c r="T4" s="318">
        <v>0</v>
      </c>
      <c r="U4" s="120"/>
      <c r="V4" s="344">
        <v>45231</v>
      </c>
      <c r="W4" s="309">
        <v>1</v>
      </c>
      <c r="X4" s="122">
        <v>1</v>
      </c>
      <c r="Y4" s="309">
        <v>1</v>
      </c>
      <c r="Z4" s="429">
        <v>1</v>
      </c>
      <c r="AA4" s="184">
        <f t="shared" si="2"/>
        <v>4</v>
      </c>
      <c r="AB4" s="185">
        <f t="shared" si="3"/>
        <v>1</v>
      </c>
      <c r="AC4" s="185">
        <f t="shared" si="4"/>
        <v>4</v>
      </c>
      <c r="AD4" s="185">
        <f t="shared" si="5"/>
        <v>8</v>
      </c>
    </row>
    <row r="5" spans="1:45" s="114" customFormat="1" x14ac:dyDescent="0.25">
      <c r="A5" s="314">
        <f t="shared" si="6"/>
        <v>4</v>
      </c>
      <c r="B5" s="651" t="s">
        <v>1229</v>
      </c>
      <c r="C5" s="652">
        <v>5</v>
      </c>
      <c r="D5" s="363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5</v>
      </c>
      <c r="P5" s="340">
        <f t="shared" si="1"/>
        <v>31</v>
      </c>
      <c r="Q5" s="7">
        <v>2.5</v>
      </c>
      <c r="R5" s="64"/>
      <c r="S5" s="654">
        <v>45901</v>
      </c>
      <c r="T5" s="28">
        <v>0</v>
      </c>
      <c r="U5" s="120"/>
      <c r="V5" s="83">
        <v>45352</v>
      </c>
      <c r="W5" s="321"/>
      <c r="X5" s="316">
        <v>5</v>
      </c>
      <c r="Y5" s="316">
        <v>8</v>
      </c>
      <c r="Z5" s="316">
        <v>5</v>
      </c>
      <c r="AA5" s="184">
        <f t="shared" si="2"/>
        <v>18</v>
      </c>
      <c r="AB5" s="185">
        <f t="shared" si="3"/>
        <v>4.5</v>
      </c>
      <c r="AC5" s="185">
        <f t="shared" si="4"/>
        <v>18</v>
      </c>
      <c r="AD5" s="185">
        <f t="shared" si="5"/>
        <v>36</v>
      </c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</row>
    <row r="6" spans="1:45" x14ac:dyDescent="0.25">
      <c r="A6" s="314">
        <f t="shared" si="6"/>
        <v>5</v>
      </c>
      <c r="B6" s="4" t="s">
        <v>1313</v>
      </c>
      <c r="C6" s="413">
        <v>11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0">
        <f t="shared" si="0"/>
        <v>11</v>
      </c>
      <c r="P6" s="340">
        <f t="shared" si="1"/>
        <v>7</v>
      </c>
      <c r="Q6" s="7">
        <v>5</v>
      </c>
      <c r="R6" s="64"/>
      <c r="S6" s="344">
        <v>46692</v>
      </c>
      <c r="T6" s="318">
        <v>2</v>
      </c>
      <c r="U6" s="120"/>
      <c r="V6" s="344">
        <v>45627</v>
      </c>
      <c r="W6" s="309">
        <v>1</v>
      </c>
      <c r="X6" s="122">
        <v>2</v>
      </c>
      <c r="Y6" s="309">
        <v>5</v>
      </c>
      <c r="Z6" s="309">
        <v>1</v>
      </c>
      <c r="AA6" s="184">
        <f t="shared" si="2"/>
        <v>9</v>
      </c>
      <c r="AB6" s="185">
        <f t="shared" si="3"/>
        <v>2.25</v>
      </c>
      <c r="AC6" s="185">
        <f t="shared" si="4"/>
        <v>9</v>
      </c>
      <c r="AD6" s="185">
        <f t="shared" si="5"/>
        <v>18</v>
      </c>
    </row>
    <row r="7" spans="1:45" ht="14.25" customHeight="1" x14ac:dyDescent="0.25">
      <c r="A7" s="314">
        <f t="shared" si="6"/>
        <v>6</v>
      </c>
      <c r="B7" s="472" t="s">
        <v>1209</v>
      </c>
      <c r="C7" s="340">
        <v>4</v>
      </c>
      <c r="D7" s="359"/>
      <c r="E7" s="478"/>
      <c r="F7" s="359"/>
      <c r="G7" s="478"/>
      <c r="H7" s="359"/>
      <c r="I7" s="478"/>
      <c r="J7" s="359"/>
      <c r="K7" s="478">
        <v>1</v>
      </c>
      <c r="L7" s="359"/>
      <c r="M7" s="478"/>
      <c r="N7" s="561"/>
      <c r="O7" s="340">
        <f t="shared" si="0"/>
        <v>3</v>
      </c>
      <c r="P7" s="340">
        <f t="shared" si="1"/>
        <v>7</v>
      </c>
      <c r="Q7" s="7">
        <v>7</v>
      </c>
      <c r="R7" s="68"/>
      <c r="S7" s="335">
        <v>45931</v>
      </c>
      <c r="T7" s="318">
        <v>0</v>
      </c>
      <c r="U7" s="318"/>
      <c r="V7" s="344">
        <v>45658</v>
      </c>
      <c r="W7" s="309">
        <v>1</v>
      </c>
      <c r="X7" s="309">
        <v>1</v>
      </c>
      <c r="Y7" s="309">
        <v>2</v>
      </c>
      <c r="Z7" s="429">
        <v>1</v>
      </c>
      <c r="AA7" s="184">
        <f t="shared" si="2"/>
        <v>5</v>
      </c>
      <c r="AB7" s="185">
        <f t="shared" si="3"/>
        <v>1.25</v>
      </c>
      <c r="AC7" s="185">
        <f t="shared" si="4"/>
        <v>5</v>
      </c>
      <c r="AD7" s="185">
        <f t="shared" si="5"/>
        <v>10</v>
      </c>
    </row>
    <row r="8" spans="1:45" x14ac:dyDescent="0.25">
      <c r="A8" s="314">
        <f t="shared" si="6"/>
        <v>7</v>
      </c>
      <c r="B8" s="314" t="s">
        <v>1230</v>
      </c>
      <c r="C8" s="340">
        <v>9</v>
      </c>
      <c r="D8" s="359"/>
      <c r="E8" s="478"/>
      <c r="F8" s="359"/>
      <c r="G8" s="478"/>
      <c r="H8" s="359"/>
      <c r="I8" s="478"/>
      <c r="J8" s="359"/>
      <c r="K8" s="478">
        <v>3</v>
      </c>
      <c r="L8" s="359"/>
      <c r="M8" s="478"/>
      <c r="N8" s="561"/>
      <c r="O8" s="340">
        <f t="shared" si="0"/>
        <v>6</v>
      </c>
      <c r="P8" s="340">
        <f t="shared" si="1"/>
        <v>10</v>
      </c>
      <c r="Q8" s="7">
        <v>5</v>
      </c>
      <c r="R8" s="68"/>
      <c r="S8" s="335">
        <v>46113</v>
      </c>
      <c r="T8" s="318">
        <v>15</v>
      </c>
      <c r="U8" s="120">
        <v>20</v>
      </c>
      <c r="V8" s="344">
        <v>45717</v>
      </c>
      <c r="W8" s="309">
        <v>1</v>
      </c>
      <c r="X8" s="309">
        <v>1</v>
      </c>
      <c r="Y8" s="309">
        <v>3</v>
      </c>
      <c r="Z8" s="429">
        <v>3</v>
      </c>
      <c r="AA8" s="184">
        <f t="shared" si="2"/>
        <v>8</v>
      </c>
      <c r="AB8" s="185">
        <f t="shared" si="3"/>
        <v>2</v>
      </c>
      <c r="AC8" s="185">
        <f t="shared" si="4"/>
        <v>8</v>
      </c>
      <c r="AD8" s="185">
        <f t="shared" si="5"/>
        <v>16</v>
      </c>
    </row>
    <row r="9" spans="1:45" s="115" customFormat="1" ht="16.5" customHeight="1" x14ac:dyDescent="0.25">
      <c r="A9" s="314">
        <f t="shared" si="6"/>
        <v>8</v>
      </c>
      <c r="B9" s="314" t="s">
        <v>1231</v>
      </c>
      <c r="C9" s="340">
        <v>2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2</v>
      </c>
      <c r="P9" s="340">
        <f t="shared" si="1"/>
        <v>6</v>
      </c>
      <c r="Q9" s="7">
        <v>17</v>
      </c>
      <c r="R9" s="68"/>
      <c r="S9" s="335">
        <v>46357</v>
      </c>
      <c r="T9" s="318">
        <v>3</v>
      </c>
      <c r="U9" s="120">
        <v>3</v>
      </c>
      <c r="V9" s="344">
        <v>45717</v>
      </c>
      <c r="W9" s="309">
        <v>1</v>
      </c>
      <c r="X9" s="122">
        <v>1</v>
      </c>
      <c r="Y9" s="309">
        <v>1</v>
      </c>
      <c r="Z9" s="429">
        <v>1</v>
      </c>
      <c r="AA9" s="184">
        <f t="shared" si="2"/>
        <v>4</v>
      </c>
      <c r="AB9" s="185">
        <f t="shared" si="3"/>
        <v>1</v>
      </c>
      <c r="AC9" s="185">
        <f t="shared" si="4"/>
        <v>4</v>
      </c>
      <c r="AD9" s="185">
        <f t="shared" si="5"/>
        <v>8</v>
      </c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</row>
    <row r="10" spans="1:45" s="114" customFormat="1" x14ac:dyDescent="0.25">
      <c r="A10" s="314">
        <f t="shared" si="6"/>
        <v>9</v>
      </c>
      <c r="B10" s="3" t="s">
        <v>1232</v>
      </c>
      <c r="C10" s="341">
        <v>3</v>
      </c>
      <c r="D10" s="361"/>
      <c r="E10" s="482"/>
      <c r="F10" s="361"/>
      <c r="G10" s="482"/>
      <c r="H10" s="361"/>
      <c r="I10" s="482"/>
      <c r="J10" s="361"/>
      <c r="K10" s="482"/>
      <c r="L10" s="361"/>
      <c r="M10" s="482"/>
      <c r="N10" s="563"/>
      <c r="O10" s="340">
        <f t="shared" si="0"/>
        <v>3</v>
      </c>
      <c r="P10" s="340">
        <f t="shared" si="1"/>
        <v>7</v>
      </c>
      <c r="Q10" s="44">
        <v>8</v>
      </c>
      <c r="R10" s="69"/>
      <c r="S10" s="335">
        <v>46143</v>
      </c>
      <c r="T10" s="318">
        <v>3</v>
      </c>
      <c r="U10" s="120"/>
      <c r="V10" s="199">
        <v>45658</v>
      </c>
      <c r="W10" s="309">
        <v>1</v>
      </c>
      <c r="X10" s="122">
        <v>1</v>
      </c>
      <c r="Y10" s="309">
        <v>2</v>
      </c>
      <c r="Z10" s="429">
        <v>1</v>
      </c>
      <c r="AA10" s="184">
        <f t="shared" si="2"/>
        <v>5</v>
      </c>
      <c r="AB10" s="185">
        <f t="shared" si="3"/>
        <v>1.25</v>
      </c>
      <c r="AC10" s="185">
        <f t="shared" si="4"/>
        <v>5</v>
      </c>
      <c r="AD10" s="185">
        <f t="shared" si="5"/>
        <v>10</v>
      </c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</row>
    <row r="11" spans="1:45" ht="15" customHeight="1" x14ac:dyDescent="0.25">
      <c r="A11" s="314">
        <f t="shared" si="6"/>
        <v>10</v>
      </c>
      <c r="B11" s="314" t="s">
        <v>1233</v>
      </c>
      <c r="C11" s="340">
        <v>34</v>
      </c>
      <c r="D11" s="359"/>
      <c r="E11" s="478">
        <v>10</v>
      </c>
      <c r="F11" s="359"/>
      <c r="G11" s="478"/>
      <c r="H11" s="359"/>
      <c r="I11" s="478"/>
      <c r="J11" s="359"/>
      <c r="K11" s="478"/>
      <c r="L11" s="359"/>
      <c r="M11" s="478">
        <v>1</v>
      </c>
      <c r="N11" s="561"/>
      <c r="O11" s="340">
        <f t="shared" si="0"/>
        <v>23</v>
      </c>
      <c r="P11" s="340">
        <f t="shared" si="1"/>
        <v>27</v>
      </c>
      <c r="Q11" s="7">
        <v>5</v>
      </c>
      <c r="R11" s="68"/>
      <c r="S11" s="434">
        <v>46296</v>
      </c>
      <c r="T11" s="318">
        <v>2</v>
      </c>
      <c r="U11" s="120">
        <v>3</v>
      </c>
      <c r="V11" s="199">
        <v>45717</v>
      </c>
      <c r="W11" s="309">
        <v>1</v>
      </c>
      <c r="X11" s="122">
        <v>10</v>
      </c>
      <c r="Y11" s="309">
        <v>3</v>
      </c>
      <c r="Z11" s="429">
        <v>11</v>
      </c>
      <c r="AA11" s="184">
        <f t="shared" si="2"/>
        <v>25</v>
      </c>
      <c r="AB11" s="185">
        <f t="shared" si="3"/>
        <v>6.25</v>
      </c>
      <c r="AC11" s="185">
        <f t="shared" si="4"/>
        <v>25</v>
      </c>
      <c r="AD11" s="185">
        <f t="shared" si="5"/>
        <v>50</v>
      </c>
    </row>
    <row r="12" spans="1:45" x14ac:dyDescent="0.25">
      <c r="A12" s="314">
        <f t="shared" si="6"/>
        <v>11</v>
      </c>
      <c r="B12" s="314" t="s">
        <v>1234</v>
      </c>
      <c r="C12" s="340">
        <v>23</v>
      </c>
      <c r="D12" s="359"/>
      <c r="E12" s="478">
        <v>6</v>
      </c>
      <c r="F12" s="359"/>
      <c r="G12" s="478"/>
      <c r="H12" s="359"/>
      <c r="I12" s="478"/>
      <c r="J12" s="359"/>
      <c r="K12" s="478"/>
      <c r="L12" s="359">
        <v>1</v>
      </c>
      <c r="M12" s="478"/>
      <c r="N12" s="561"/>
      <c r="O12" s="340">
        <f t="shared" si="0"/>
        <v>16</v>
      </c>
      <c r="P12" s="340">
        <f t="shared" si="1"/>
        <v>16</v>
      </c>
      <c r="Q12" s="7">
        <v>5</v>
      </c>
      <c r="R12" s="68"/>
      <c r="S12" s="335">
        <v>45931</v>
      </c>
      <c r="T12" s="318">
        <v>1</v>
      </c>
      <c r="U12" s="318"/>
      <c r="V12" s="344">
        <v>45292</v>
      </c>
      <c r="W12" s="309">
        <v>3</v>
      </c>
      <c r="X12" s="122">
        <v>1</v>
      </c>
      <c r="Y12" s="309">
        <v>5</v>
      </c>
      <c r="Z12" s="429">
        <v>7</v>
      </c>
      <c r="AA12" s="184">
        <f t="shared" si="2"/>
        <v>16</v>
      </c>
      <c r="AB12" s="185">
        <f t="shared" si="3"/>
        <v>4</v>
      </c>
      <c r="AC12" s="185">
        <f t="shared" si="4"/>
        <v>16</v>
      </c>
      <c r="AD12" s="185">
        <f t="shared" si="5"/>
        <v>32</v>
      </c>
    </row>
    <row r="13" spans="1:45" x14ac:dyDescent="0.25">
      <c r="A13" s="314">
        <f t="shared" si="6"/>
        <v>12</v>
      </c>
      <c r="B13" s="3" t="s">
        <v>1235</v>
      </c>
      <c r="C13" s="341">
        <v>23</v>
      </c>
      <c r="D13" s="361">
        <v>1</v>
      </c>
      <c r="E13" s="482">
        <v>2</v>
      </c>
      <c r="F13" s="361"/>
      <c r="G13" s="482"/>
      <c r="H13" s="361"/>
      <c r="I13" s="482"/>
      <c r="J13" s="361"/>
      <c r="K13" s="482"/>
      <c r="L13" s="361"/>
      <c r="M13" s="482"/>
      <c r="N13" s="563"/>
      <c r="O13" s="340">
        <f t="shared" si="0"/>
        <v>20</v>
      </c>
      <c r="P13" s="340">
        <f t="shared" si="1"/>
        <v>-2</v>
      </c>
      <c r="Q13" s="44">
        <v>4</v>
      </c>
      <c r="R13" s="69"/>
      <c r="S13" s="335">
        <v>46447</v>
      </c>
      <c r="T13" s="318">
        <v>6</v>
      </c>
      <c r="U13" s="120"/>
      <c r="V13" s="199">
        <v>45689</v>
      </c>
      <c r="W13" s="309">
        <v>1</v>
      </c>
      <c r="X13" s="122">
        <v>2</v>
      </c>
      <c r="Y13" s="309">
        <v>3</v>
      </c>
      <c r="Z13" s="429">
        <v>3</v>
      </c>
      <c r="AA13" s="184">
        <f t="shared" si="2"/>
        <v>9</v>
      </c>
      <c r="AB13" s="185">
        <f t="shared" si="3"/>
        <v>2.25</v>
      </c>
      <c r="AC13" s="185">
        <f t="shared" si="4"/>
        <v>9</v>
      </c>
      <c r="AD13" s="185">
        <f t="shared" si="5"/>
        <v>18</v>
      </c>
    </row>
    <row r="14" spans="1:45" x14ac:dyDescent="0.25">
      <c r="A14" s="314">
        <f t="shared" si="6"/>
        <v>13</v>
      </c>
      <c r="B14" s="314" t="s">
        <v>1236</v>
      </c>
      <c r="C14" s="340">
        <v>1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0">
        <f t="shared" si="0"/>
        <v>1</v>
      </c>
      <c r="P14" s="340">
        <f t="shared" si="1"/>
        <v>9</v>
      </c>
      <c r="Q14" s="7">
        <v>85</v>
      </c>
      <c r="R14" s="68"/>
      <c r="S14" s="335">
        <v>46447</v>
      </c>
      <c r="T14" s="318">
        <v>1</v>
      </c>
      <c r="U14" s="120"/>
      <c r="V14" s="199">
        <v>45658</v>
      </c>
      <c r="W14" s="309">
        <v>1</v>
      </c>
      <c r="X14" s="122">
        <v>1</v>
      </c>
      <c r="Y14" s="309">
        <v>2</v>
      </c>
      <c r="Z14" s="429">
        <v>1</v>
      </c>
      <c r="AA14" s="184">
        <f t="shared" si="2"/>
        <v>5</v>
      </c>
      <c r="AB14" s="185">
        <f t="shared" si="3"/>
        <v>1.25</v>
      </c>
      <c r="AC14" s="185">
        <f t="shared" si="4"/>
        <v>5</v>
      </c>
      <c r="AD14" s="185">
        <f t="shared" si="5"/>
        <v>10</v>
      </c>
    </row>
    <row r="15" spans="1:45" ht="15" customHeight="1" x14ac:dyDescent="0.25">
      <c r="A15" s="314">
        <f t="shared" si="6"/>
        <v>14</v>
      </c>
      <c r="B15" s="314" t="s">
        <v>1237</v>
      </c>
      <c r="C15" s="340">
        <v>23</v>
      </c>
      <c r="D15" s="359"/>
      <c r="E15" s="478">
        <v>1</v>
      </c>
      <c r="F15" s="359"/>
      <c r="G15" s="478">
        <v>2</v>
      </c>
      <c r="H15" s="359">
        <v>1</v>
      </c>
      <c r="I15" s="478"/>
      <c r="J15" s="359">
        <v>1</v>
      </c>
      <c r="K15" s="478">
        <v>1</v>
      </c>
      <c r="L15" s="359"/>
      <c r="M15" s="478"/>
      <c r="N15" s="561"/>
      <c r="O15" s="340">
        <f t="shared" si="0"/>
        <v>17</v>
      </c>
      <c r="P15" s="340">
        <f t="shared" si="1"/>
        <v>51</v>
      </c>
      <c r="Q15" s="7">
        <v>6</v>
      </c>
      <c r="R15" s="68"/>
      <c r="S15" s="434">
        <v>46174</v>
      </c>
      <c r="T15" s="318">
        <v>5</v>
      </c>
      <c r="U15" s="318">
        <v>3</v>
      </c>
      <c r="V15" s="199">
        <v>45717</v>
      </c>
      <c r="W15" s="309">
        <v>8</v>
      </c>
      <c r="X15" s="309">
        <v>7</v>
      </c>
      <c r="Y15" s="309">
        <v>13</v>
      </c>
      <c r="Z15" s="429">
        <v>6</v>
      </c>
      <c r="AA15" s="184">
        <f t="shared" si="2"/>
        <v>34</v>
      </c>
      <c r="AB15" s="185">
        <f t="shared" si="3"/>
        <v>8.5</v>
      </c>
      <c r="AC15" s="185">
        <f t="shared" si="4"/>
        <v>34</v>
      </c>
      <c r="AD15" s="185">
        <f t="shared" si="5"/>
        <v>68</v>
      </c>
    </row>
    <row r="16" spans="1:45" ht="15" customHeight="1" x14ac:dyDescent="0.25">
      <c r="A16" s="314">
        <f t="shared" si="6"/>
        <v>15</v>
      </c>
      <c r="B16" s="314" t="s">
        <v>1238</v>
      </c>
      <c r="C16" s="340">
        <v>10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0">
        <f t="shared" si="0"/>
        <v>10</v>
      </c>
      <c r="P16" s="340">
        <f t="shared" si="1"/>
        <v>6</v>
      </c>
      <c r="Q16" s="7">
        <v>10</v>
      </c>
      <c r="R16" s="68"/>
      <c r="S16" s="434">
        <v>46508</v>
      </c>
      <c r="T16" s="318">
        <v>0</v>
      </c>
      <c r="U16" s="120"/>
      <c r="V16" s="199">
        <v>45658</v>
      </c>
      <c r="W16" s="309">
        <v>2</v>
      </c>
      <c r="X16" s="309">
        <v>1</v>
      </c>
      <c r="Y16" s="309">
        <v>1</v>
      </c>
      <c r="Z16" s="429">
        <v>4</v>
      </c>
      <c r="AA16" s="184">
        <f t="shared" si="2"/>
        <v>8</v>
      </c>
      <c r="AB16" s="185">
        <f t="shared" si="3"/>
        <v>2</v>
      </c>
      <c r="AC16" s="185">
        <f t="shared" si="4"/>
        <v>8</v>
      </c>
      <c r="AD16" s="185">
        <f t="shared" si="5"/>
        <v>16</v>
      </c>
    </row>
    <row r="17" spans="1:48" ht="15" customHeight="1" x14ac:dyDescent="0.25">
      <c r="A17" s="314">
        <f t="shared" si="6"/>
        <v>16</v>
      </c>
      <c r="B17" s="314" t="s">
        <v>317</v>
      </c>
      <c r="C17" s="340">
        <v>1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0">
        <f t="shared" si="0"/>
        <v>1</v>
      </c>
      <c r="P17" s="340">
        <f t="shared" si="1"/>
        <v>7</v>
      </c>
      <c r="Q17" s="7">
        <v>29</v>
      </c>
      <c r="R17" s="106"/>
      <c r="S17" s="344">
        <v>46661</v>
      </c>
      <c r="T17" s="318">
        <v>1</v>
      </c>
      <c r="U17" s="120">
        <v>2</v>
      </c>
      <c r="V17" s="199">
        <v>45717</v>
      </c>
      <c r="W17" s="309">
        <v>1</v>
      </c>
      <c r="X17" s="122">
        <v>1</v>
      </c>
      <c r="Y17" s="309">
        <v>1</v>
      </c>
      <c r="Z17" s="429">
        <v>1</v>
      </c>
      <c r="AA17" s="184">
        <f t="shared" si="2"/>
        <v>4</v>
      </c>
      <c r="AB17" s="185">
        <f t="shared" si="3"/>
        <v>1</v>
      </c>
      <c r="AC17" s="185">
        <f t="shared" si="4"/>
        <v>4</v>
      </c>
      <c r="AD17" s="185">
        <f t="shared" si="5"/>
        <v>8</v>
      </c>
    </row>
    <row r="18" spans="1:48" s="114" customFormat="1" x14ac:dyDescent="0.25">
      <c r="A18" s="314">
        <f t="shared" si="6"/>
        <v>17</v>
      </c>
      <c r="B18" s="3" t="s">
        <v>1239</v>
      </c>
      <c r="C18" s="340">
        <v>12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12</v>
      </c>
      <c r="P18" s="340">
        <f t="shared" si="1"/>
        <v>14</v>
      </c>
      <c r="Q18" s="7">
        <v>5</v>
      </c>
      <c r="R18" s="68"/>
      <c r="S18" s="335">
        <v>46113</v>
      </c>
      <c r="T18" s="318">
        <v>1</v>
      </c>
      <c r="U18" s="318"/>
      <c r="V18" s="199">
        <v>45689</v>
      </c>
      <c r="W18" s="309">
        <v>6</v>
      </c>
      <c r="X18" s="122">
        <v>3</v>
      </c>
      <c r="Y18" s="309">
        <v>2</v>
      </c>
      <c r="Z18" s="429">
        <v>2</v>
      </c>
      <c r="AA18" s="184">
        <f t="shared" si="2"/>
        <v>13</v>
      </c>
      <c r="AB18" s="185">
        <f t="shared" si="3"/>
        <v>3.25</v>
      </c>
      <c r="AC18" s="185">
        <f t="shared" si="4"/>
        <v>13</v>
      </c>
      <c r="AD18" s="185">
        <f t="shared" si="5"/>
        <v>26</v>
      </c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</row>
    <row r="19" spans="1:48" ht="14.25" customHeight="1" x14ac:dyDescent="0.25">
      <c r="A19" s="314">
        <f t="shared" si="6"/>
        <v>18</v>
      </c>
      <c r="B19" s="3" t="s">
        <v>1433</v>
      </c>
      <c r="C19" s="340">
        <v>0</v>
      </c>
      <c r="D19" s="361"/>
      <c r="E19" s="482"/>
      <c r="F19" s="361"/>
      <c r="G19" s="482"/>
      <c r="H19" s="361"/>
      <c r="I19" s="482"/>
      <c r="J19" s="359"/>
      <c r="K19" s="482"/>
      <c r="L19" s="361"/>
      <c r="M19" s="482"/>
      <c r="N19" s="563"/>
      <c r="O19" s="340">
        <f t="shared" si="0"/>
        <v>0</v>
      </c>
      <c r="P19" s="340">
        <f t="shared" si="1"/>
        <v>2</v>
      </c>
      <c r="Q19" s="7">
        <v>50</v>
      </c>
      <c r="R19" s="69"/>
      <c r="S19" s="199">
        <v>46174</v>
      </c>
      <c r="T19" s="309">
        <v>0</v>
      </c>
      <c r="U19" s="309"/>
      <c r="V19" s="199">
        <v>45689</v>
      </c>
      <c r="X19" s="122">
        <v>1</v>
      </c>
      <c r="AA19" s="184">
        <f t="shared" si="2"/>
        <v>1</v>
      </c>
      <c r="AB19" s="185">
        <f t="shared" si="3"/>
        <v>0.25</v>
      </c>
      <c r="AC19" s="185">
        <f t="shared" si="4"/>
        <v>1</v>
      </c>
      <c r="AD19" s="185">
        <f t="shared" si="5"/>
        <v>2</v>
      </c>
    </row>
    <row r="20" spans="1:48" ht="15" customHeight="1" x14ac:dyDescent="0.25">
      <c r="A20" s="314">
        <f t="shared" si="6"/>
        <v>19</v>
      </c>
      <c r="B20" s="314" t="s">
        <v>1240</v>
      </c>
      <c r="C20" s="340">
        <v>3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0">
        <f t="shared" si="0"/>
        <v>3</v>
      </c>
      <c r="P20" s="340">
        <f t="shared" si="1"/>
        <v>5</v>
      </c>
      <c r="Q20" s="7">
        <v>23</v>
      </c>
      <c r="R20" s="68"/>
      <c r="S20" s="335">
        <v>46296</v>
      </c>
      <c r="T20" s="318">
        <v>0</v>
      </c>
      <c r="U20" s="120"/>
      <c r="V20" s="344">
        <v>45689</v>
      </c>
      <c r="W20" s="309">
        <v>1</v>
      </c>
      <c r="X20" s="122">
        <v>1</v>
      </c>
      <c r="Y20" s="309">
        <v>1</v>
      </c>
      <c r="Z20" s="429">
        <v>1</v>
      </c>
      <c r="AA20" s="184">
        <f t="shared" si="2"/>
        <v>4</v>
      </c>
      <c r="AB20" s="185">
        <f t="shared" si="3"/>
        <v>1</v>
      </c>
      <c r="AC20" s="185">
        <f t="shared" si="4"/>
        <v>4</v>
      </c>
      <c r="AD20" s="185">
        <f t="shared" si="5"/>
        <v>8</v>
      </c>
    </row>
    <row r="21" spans="1:48" ht="15" customHeight="1" x14ac:dyDescent="0.25">
      <c r="A21" s="314">
        <f t="shared" si="6"/>
        <v>20</v>
      </c>
      <c r="B21" s="314" t="s">
        <v>1241</v>
      </c>
      <c r="C21" s="340">
        <v>3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>
        <v>1</v>
      </c>
      <c r="N21" s="561"/>
      <c r="O21" s="340">
        <f t="shared" si="0"/>
        <v>2</v>
      </c>
      <c r="P21" s="340">
        <f t="shared" si="1"/>
        <v>6</v>
      </c>
      <c r="Q21" s="7">
        <v>25</v>
      </c>
      <c r="R21" s="625" t="s">
        <v>883</v>
      </c>
      <c r="S21" s="335">
        <v>46419</v>
      </c>
      <c r="T21" s="318">
        <v>3</v>
      </c>
      <c r="U21" s="318"/>
      <c r="V21" s="344">
        <v>45689</v>
      </c>
      <c r="W21" s="309">
        <v>1</v>
      </c>
      <c r="X21" s="309">
        <v>1</v>
      </c>
      <c r="Y21" s="309">
        <v>1</v>
      </c>
      <c r="Z21" s="429">
        <v>1</v>
      </c>
      <c r="AA21" s="184">
        <f t="shared" si="2"/>
        <v>4</v>
      </c>
      <c r="AB21" s="185">
        <f t="shared" si="3"/>
        <v>1</v>
      </c>
      <c r="AC21" s="185">
        <f t="shared" si="4"/>
        <v>4</v>
      </c>
      <c r="AD21" s="185">
        <f t="shared" si="5"/>
        <v>8</v>
      </c>
    </row>
    <row r="22" spans="1:48" x14ac:dyDescent="0.25">
      <c r="A22" s="314">
        <f t="shared" si="6"/>
        <v>21</v>
      </c>
      <c r="B22" s="314" t="s">
        <v>893</v>
      </c>
      <c r="C22" s="340">
        <v>9</v>
      </c>
      <c r="D22" s="359"/>
      <c r="E22" s="478"/>
      <c r="F22" s="361"/>
      <c r="G22" s="482"/>
      <c r="H22" s="359"/>
      <c r="I22" s="478">
        <v>2</v>
      </c>
      <c r="J22" s="359"/>
      <c r="K22" s="478">
        <v>1</v>
      </c>
      <c r="L22" s="359"/>
      <c r="M22" s="478">
        <v>2</v>
      </c>
      <c r="N22" s="561"/>
      <c r="O22" s="340">
        <f t="shared" si="0"/>
        <v>4</v>
      </c>
      <c r="P22" s="340">
        <f t="shared" si="1"/>
        <v>50</v>
      </c>
      <c r="Q22" s="7">
        <v>18</v>
      </c>
      <c r="R22" s="68"/>
      <c r="S22" s="335">
        <v>46447</v>
      </c>
      <c r="T22" s="318">
        <v>27</v>
      </c>
      <c r="U22" s="318">
        <v>25</v>
      </c>
      <c r="V22" s="344">
        <v>45717</v>
      </c>
      <c r="W22" s="309">
        <v>10</v>
      </c>
      <c r="X22" s="309">
        <v>8</v>
      </c>
      <c r="Y22" s="309">
        <v>4</v>
      </c>
      <c r="Z22" s="429">
        <v>5</v>
      </c>
      <c r="AA22" s="184">
        <f t="shared" si="2"/>
        <v>27</v>
      </c>
      <c r="AB22" s="185">
        <f t="shared" si="3"/>
        <v>6.75</v>
      </c>
      <c r="AC22" s="185">
        <f t="shared" si="4"/>
        <v>27</v>
      </c>
      <c r="AD22" s="185">
        <f t="shared" si="5"/>
        <v>54</v>
      </c>
    </row>
    <row r="23" spans="1:48" s="113" customFormat="1" x14ac:dyDescent="0.25">
      <c r="A23" s="314">
        <f t="shared" si="6"/>
        <v>22</v>
      </c>
      <c r="B23" s="314" t="s">
        <v>1242</v>
      </c>
      <c r="C23" s="340">
        <v>3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>
        <v>1</v>
      </c>
      <c r="N23" s="561"/>
      <c r="O23" s="340">
        <f t="shared" si="0"/>
        <v>2</v>
      </c>
      <c r="P23" s="340">
        <f t="shared" si="1"/>
        <v>6</v>
      </c>
      <c r="Q23" s="7">
        <v>19</v>
      </c>
      <c r="R23" s="68"/>
      <c r="S23" s="335">
        <v>46113</v>
      </c>
      <c r="T23" s="318">
        <v>0</v>
      </c>
      <c r="U23" s="318"/>
      <c r="V23" s="199">
        <v>45689</v>
      </c>
      <c r="W23" s="309">
        <v>1</v>
      </c>
      <c r="X23" s="309">
        <v>1</v>
      </c>
      <c r="Y23" s="309">
        <v>1</v>
      </c>
      <c r="Z23" s="429">
        <v>1</v>
      </c>
      <c r="AA23" s="184">
        <f t="shared" si="2"/>
        <v>4</v>
      </c>
      <c r="AB23" s="185">
        <f t="shared" si="3"/>
        <v>1</v>
      </c>
      <c r="AC23" s="185">
        <f t="shared" si="4"/>
        <v>4</v>
      </c>
      <c r="AD23" s="185">
        <f t="shared" si="5"/>
        <v>8</v>
      </c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</row>
    <row r="24" spans="1:48" s="113" customFormat="1" ht="15" customHeight="1" x14ac:dyDescent="0.25">
      <c r="A24" s="314">
        <f t="shared" si="6"/>
        <v>23</v>
      </c>
      <c r="B24" s="4" t="s">
        <v>681</v>
      </c>
      <c r="C24" s="340">
        <v>4</v>
      </c>
      <c r="D24" s="378"/>
      <c r="E24" s="488">
        <v>1</v>
      </c>
      <c r="F24" s="378"/>
      <c r="G24" s="488"/>
      <c r="H24" s="378"/>
      <c r="I24" s="488"/>
      <c r="J24" s="378"/>
      <c r="K24" s="488"/>
      <c r="L24" s="378"/>
      <c r="M24" s="488"/>
      <c r="N24" s="564"/>
      <c r="O24" s="340">
        <f t="shared" si="0"/>
        <v>3</v>
      </c>
      <c r="P24" s="340">
        <f t="shared" si="1"/>
        <v>11</v>
      </c>
      <c r="Q24" s="7">
        <v>9</v>
      </c>
      <c r="R24" s="348"/>
      <c r="S24" s="77">
        <v>46174</v>
      </c>
      <c r="T24" s="28">
        <v>9</v>
      </c>
      <c r="U24" s="315"/>
      <c r="V24" s="77">
        <v>45717</v>
      </c>
      <c r="W24" s="107">
        <v>2</v>
      </c>
      <c r="X24" s="107">
        <v>2</v>
      </c>
      <c r="Y24" s="309">
        <v>2</v>
      </c>
      <c r="Z24" s="309">
        <v>1</v>
      </c>
      <c r="AA24" s="184">
        <f t="shared" si="2"/>
        <v>7</v>
      </c>
      <c r="AB24" s="185">
        <f t="shared" si="3"/>
        <v>1.75</v>
      </c>
      <c r="AC24" s="185">
        <f t="shared" si="4"/>
        <v>7</v>
      </c>
      <c r="AD24" s="185">
        <f t="shared" si="5"/>
        <v>14</v>
      </c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</row>
    <row r="25" spans="1:48" x14ac:dyDescent="0.25">
      <c r="A25" s="314">
        <f t="shared" si="6"/>
        <v>24</v>
      </c>
      <c r="B25" s="3" t="s">
        <v>1243</v>
      </c>
      <c r="C25" s="340">
        <v>14</v>
      </c>
      <c r="D25" s="361"/>
      <c r="E25" s="482"/>
      <c r="F25" s="361"/>
      <c r="G25" s="482"/>
      <c r="H25" s="361"/>
      <c r="I25" s="482"/>
      <c r="J25" s="361"/>
      <c r="K25" s="482"/>
      <c r="L25" s="361"/>
      <c r="M25" s="482"/>
      <c r="N25" s="563"/>
      <c r="O25" s="340">
        <f t="shared" si="0"/>
        <v>14</v>
      </c>
      <c r="P25" s="340">
        <f t="shared" si="1"/>
        <v>2</v>
      </c>
      <c r="Q25" s="7">
        <v>6</v>
      </c>
      <c r="R25" s="68"/>
      <c r="S25" s="335">
        <v>46905</v>
      </c>
      <c r="T25" s="318">
        <v>0</v>
      </c>
      <c r="U25" s="318"/>
      <c r="V25" s="344">
        <v>45689</v>
      </c>
      <c r="W25" s="309">
        <v>3</v>
      </c>
      <c r="X25" s="309">
        <v>1</v>
      </c>
      <c r="Y25" s="309">
        <v>2</v>
      </c>
      <c r="Z25" s="429">
        <v>2</v>
      </c>
      <c r="AA25" s="184">
        <f t="shared" si="2"/>
        <v>8</v>
      </c>
      <c r="AB25" s="185">
        <f t="shared" si="3"/>
        <v>2</v>
      </c>
      <c r="AC25" s="185">
        <f t="shared" si="4"/>
        <v>8</v>
      </c>
      <c r="AD25" s="185">
        <f t="shared" si="5"/>
        <v>16</v>
      </c>
    </row>
    <row r="26" spans="1:48" ht="15" customHeight="1" x14ac:dyDescent="0.25">
      <c r="A26" s="314">
        <f t="shared" si="6"/>
        <v>25</v>
      </c>
      <c r="B26" s="314" t="s">
        <v>1245</v>
      </c>
      <c r="C26" s="340">
        <v>16</v>
      </c>
      <c r="D26" s="359"/>
      <c r="E26" s="478"/>
      <c r="F26" s="359"/>
      <c r="G26" s="478"/>
      <c r="H26" s="359">
        <v>1</v>
      </c>
      <c r="I26" s="478">
        <v>1</v>
      </c>
      <c r="J26" s="359"/>
      <c r="K26" s="478"/>
      <c r="L26" s="359"/>
      <c r="M26" s="478"/>
      <c r="N26" s="561"/>
      <c r="O26" s="340">
        <f t="shared" si="0"/>
        <v>14</v>
      </c>
      <c r="P26" s="340">
        <f t="shared" si="1"/>
        <v>8</v>
      </c>
      <c r="Q26" s="7">
        <v>9</v>
      </c>
      <c r="R26" s="68"/>
      <c r="S26" s="335">
        <v>46935</v>
      </c>
      <c r="T26" s="318">
        <v>1</v>
      </c>
      <c r="U26" s="318">
        <v>1</v>
      </c>
      <c r="V26" s="199">
        <v>45717</v>
      </c>
      <c r="W26" s="309">
        <v>7</v>
      </c>
      <c r="X26" s="309">
        <v>1</v>
      </c>
      <c r="Y26" s="309">
        <v>1</v>
      </c>
      <c r="Z26" s="429">
        <v>2</v>
      </c>
      <c r="AA26" s="184">
        <f t="shared" si="2"/>
        <v>11</v>
      </c>
      <c r="AB26" s="185">
        <f t="shared" si="3"/>
        <v>2.75</v>
      </c>
      <c r="AC26" s="185">
        <f t="shared" si="4"/>
        <v>11</v>
      </c>
      <c r="AD26" s="185">
        <f t="shared" si="5"/>
        <v>22</v>
      </c>
    </row>
    <row r="27" spans="1:48" ht="15" customHeight="1" x14ac:dyDescent="0.25">
      <c r="A27" s="314">
        <f t="shared" si="6"/>
        <v>26</v>
      </c>
      <c r="B27" s="314" t="s">
        <v>1244</v>
      </c>
      <c r="C27" s="340">
        <v>13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0">
        <f t="shared" si="0"/>
        <v>13</v>
      </c>
      <c r="P27" s="340">
        <f t="shared" si="1"/>
        <v>-3</v>
      </c>
      <c r="Q27" s="7">
        <v>5</v>
      </c>
      <c r="R27" s="68"/>
      <c r="S27" s="336">
        <v>46508</v>
      </c>
      <c r="T27" s="316">
        <v>0</v>
      </c>
      <c r="U27" s="321"/>
      <c r="V27" s="83">
        <v>45689</v>
      </c>
      <c r="W27" s="28">
        <v>1</v>
      </c>
      <c r="X27" s="28">
        <v>2</v>
      </c>
      <c r="Y27" s="309">
        <v>1</v>
      </c>
      <c r="Z27" s="429">
        <v>1</v>
      </c>
      <c r="AA27" s="184">
        <f t="shared" si="2"/>
        <v>5</v>
      </c>
      <c r="AB27" s="185">
        <f t="shared" si="3"/>
        <v>1.25</v>
      </c>
      <c r="AC27" s="185">
        <f t="shared" si="4"/>
        <v>5</v>
      </c>
      <c r="AD27" s="185">
        <f t="shared" si="5"/>
        <v>10</v>
      </c>
      <c r="AT27" s="97"/>
      <c r="AU27" s="97"/>
      <c r="AV27" s="97"/>
    </row>
    <row r="28" spans="1:48" ht="15" customHeight="1" x14ac:dyDescent="0.25">
      <c r="A28" s="314">
        <f t="shared" si="6"/>
        <v>27</v>
      </c>
      <c r="B28" s="314" t="s">
        <v>1210</v>
      </c>
      <c r="C28" s="340">
        <v>2</v>
      </c>
      <c r="D28" s="359"/>
      <c r="E28" s="478"/>
      <c r="F28" s="359"/>
      <c r="G28" s="478"/>
      <c r="H28" s="359"/>
      <c r="I28" s="478"/>
      <c r="J28" s="359"/>
      <c r="K28" s="478">
        <v>1</v>
      </c>
      <c r="L28" s="359"/>
      <c r="M28" s="478"/>
      <c r="N28" s="561"/>
      <c r="O28" s="340">
        <f t="shared" si="0"/>
        <v>1</v>
      </c>
      <c r="P28" s="340">
        <f t="shared" si="1"/>
        <v>7</v>
      </c>
      <c r="Q28" s="7">
        <v>37</v>
      </c>
      <c r="R28" s="68"/>
      <c r="S28" s="335">
        <v>46447</v>
      </c>
      <c r="T28" s="318">
        <v>0</v>
      </c>
      <c r="U28" s="120">
        <v>2</v>
      </c>
      <c r="V28" s="199">
        <v>45717</v>
      </c>
      <c r="W28" s="309">
        <v>1</v>
      </c>
      <c r="X28" s="122">
        <v>1</v>
      </c>
      <c r="Y28" s="309">
        <v>1</v>
      </c>
      <c r="Z28" s="429">
        <v>1</v>
      </c>
      <c r="AA28" s="184">
        <f t="shared" si="2"/>
        <v>4</v>
      </c>
      <c r="AB28" s="185">
        <f t="shared" si="3"/>
        <v>1</v>
      </c>
      <c r="AC28" s="185">
        <f t="shared" si="4"/>
        <v>4</v>
      </c>
      <c r="AD28" s="185">
        <f t="shared" si="5"/>
        <v>8</v>
      </c>
    </row>
    <row r="29" spans="1:48" ht="15" customHeight="1" x14ac:dyDescent="0.25">
      <c r="A29" s="314">
        <f t="shared" si="6"/>
        <v>28</v>
      </c>
      <c r="B29" s="588" t="s">
        <v>1211</v>
      </c>
      <c r="C29" s="589">
        <v>5</v>
      </c>
      <c r="D29" s="361"/>
      <c r="E29" s="482"/>
      <c r="F29" s="361"/>
      <c r="G29" s="482"/>
      <c r="H29" s="361"/>
      <c r="I29" s="482"/>
      <c r="J29" s="361"/>
      <c r="K29" s="482"/>
      <c r="L29" s="361"/>
      <c r="M29" s="482"/>
      <c r="N29" s="563"/>
      <c r="O29" s="340">
        <f t="shared" si="0"/>
        <v>5</v>
      </c>
      <c r="P29" s="340">
        <f t="shared" si="1"/>
        <v>17</v>
      </c>
      <c r="Q29" s="7">
        <v>7</v>
      </c>
      <c r="R29" s="68"/>
      <c r="S29" s="591">
        <v>45748</v>
      </c>
      <c r="T29" s="318">
        <v>0</v>
      </c>
      <c r="U29" s="318"/>
      <c r="V29" s="344">
        <v>45474</v>
      </c>
      <c r="W29" s="309">
        <v>1</v>
      </c>
      <c r="X29" s="309">
        <v>8</v>
      </c>
      <c r="Y29" s="309">
        <v>1</v>
      </c>
      <c r="Z29" s="429">
        <v>1</v>
      </c>
      <c r="AA29" s="184">
        <f t="shared" si="2"/>
        <v>11</v>
      </c>
      <c r="AB29" s="185">
        <f t="shared" si="3"/>
        <v>2.75</v>
      </c>
      <c r="AC29" s="185">
        <f t="shared" si="4"/>
        <v>11</v>
      </c>
      <c r="AD29" s="185">
        <f t="shared" si="5"/>
        <v>22</v>
      </c>
    </row>
    <row r="30" spans="1:48" ht="15" customHeight="1" x14ac:dyDescent="0.25">
      <c r="A30" s="314">
        <f t="shared" si="6"/>
        <v>29</v>
      </c>
      <c r="B30" s="314" t="s">
        <v>1246</v>
      </c>
      <c r="C30" s="340">
        <v>8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40">
        <f t="shared" si="0"/>
        <v>8</v>
      </c>
      <c r="P30" s="340">
        <f t="shared" si="1"/>
        <v>2</v>
      </c>
      <c r="Q30" s="7">
        <v>10</v>
      </c>
      <c r="R30" s="68"/>
      <c r="S30" s="335">
        <v>46508</v>
      </c>
      <c r="T30" s="318">
        <v>0</v>
      </c>
      <c r="U30" s="318"/>
      <c r="V30" s="199">
        <v>45627</v>
      </c>
      <c r="W30" s="309">
        <v>2</v>
      </c>
      <c r="X30" s="309">
        <v>1</v>
      </c>
      <c r="Y30" s="309">
        <v>1</v>
      </c>
      <c r="Z30" s="429">
        <v>1</v>
      </c>
      <c r="AA30" s="184">
        <f t="shared" si="2"/>
        <v>5</v>
      </c>
      <c r="AB30" s="185">
        <f t="shared" si="3"/>
        <v>1.25</v>
      </c>
      <c r="AC30" s="185">
        <f t="shared" si="4"/>
        <v>5</v>
      </c>
      <c r="AD30" s="185">
        <f t="shared" si="5"/>
        <v>10</v>
      </c>
    </row>
    <row r="31" spans="1:48" ht="15" customHeight="1" x14ac:dyDescent="0.25">
      <c r="A31" s="314">
        <f t="shared" si="6"/>
        <v>30</v>
      </c>
      <c r="B31" s="314" t="s">
        <v>894</v>
      </c>
      <c r="C31" s="340">
        <v>40</v>
      </c>
      <c r="D31" s="361"/>
      <c r="E31" s="482"/>
      <c r="F31" s="361"/>
      <c r="G31" s="482"/>
      <c r="H31" s="361"/>
      <c r="I31" s="482">
        <v>10</v>
      </c>
      <c r="J31" s="361"/>
      <c r="K31" s="482"/>
      <c r="L31" s="361"/>
      <c r="M31" s="482"/>
      <c r="N31" s="563"/>
      <c r="O31" s="340">
        <f t="shared" si="0"/>
        <v>30</v>
      </c>
      <c r="P31" s="340">
        <f t="shared" si="1"/>
        <v>90</v>
      </c>
      <c r="Q31" s="7">
        <v>1.5</v>
      </c>
      <c r="R31" s="68"/>
      <c r="S31" s="335">
        <v>46235</v>
      </c>
      <c r="T31" s="318">
        <v>6</v>
      </c>
      <c r="U31" s="318"/>
      <c r="V31" s="199">
        <v>45627</v>
      </c>
      <c r="W31" s="309">
        <v>10</v>
      </c>
      <c r="X31" s="309">
        <v>20</v>
      </c>
      <c r="Y31" s="309">
        <v>20</v>
      </c>
      <c r="Z31" s="429">
        <v>10</v>
      </c>
      <c r="AA31" s="184">
        <f t="shared" si="2"/>
        <v>60</v>
      </c>
      <c r="AB31" s="185">
        <f t="shared" si="3"/>
        <v>15</v>
      </c>
      <c r="AC31" s="185">
        <f t="shared" si="4"/>
        <v>60</v>
      </c>
      <c r="AD31" s="185">
        <f t="shared" si="5"/>
        <v>120</v>
      </c>
    </row>
    <row r="32" spans="1:48" ht="15" customHeight="1" x14ac:dyDescent="0.25">
      <c r="A32" s="314">
        <f t="shared" si="6"/>
        <v>31</v>
      </c>
      <c r="B32" s="3" t="s">
        <v>1247</v>
      </c>
      <c r="C32" s="340">
        <v>4</v>
      </c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340">
        <f t="shared" si="0"/>
        <v>4</v>
      </c>
      <c r="P32" s="340">
        <f t="shared" si="1"/>
        <v>6</v>
      </c>
      <c r="Q32" s="7">
        <v>30</v>
      </c>
      <c r="R32" s="68"/>
      <c r="S32" s="335">
        <v>46508</v>
      </c>
      <c r="T32" s="318">
        <v>0</v>
      </c>
      <c r="U32" s="318"/>
      <c r="V32" s="199">
        <v>45689</v>
      </c>
      <c r="W32" s="309">
        <v>2</v>
      </c>
      <c r="X32" s="122">
        <v>1</v>
      </c>
      <c r="Y32" s="309">
        <v>1</v>
      </c>
      <c r="Z32" s="429">
        <v>1</v>
      </c>
      <c r="AA32" s="184">
        <f t="shared" si="2"/>
        <v>5</v>
      </c>
      <c r="AB32" s="185">
        <f t="shared" si="3"/>
        <v>1.25</v>
      </c>
      <c r="AC32" s="185">
        <f t="shared" si="4"/>
        <v>5</v>
      </c>
      <c r="AD32" s="185">
        <f t="shared" si="5"/>
        <v>10</v>
      </c>
    </row>
    <row r="33" spans="1:45" ht="15" customHeight="1" x14ac:dyDescent="0.25">
      <c r="A33" s="314">
        <f t="shared" si="6"/>
        <v>32</v>
      </c>
      <c r="B33" s="3" t="s">
        <v>1455</v>
      </c>
      <c r="C33" s="195">
        <v>8</v>
      </c>
      <c r="D33" s="361"/>
      <c r="E33" s="481"/>
      <c r="F33" s="361"/>
      <c r="G33" s="482"/>
      <c r="H33" s="361"/>
      <c r="I33" s="482"/>
      <c r="J33" s="369"/>
      <c r="K33" s="481"/>
      <c r="L33" s="361"/>
      <c r="M33" s="481"/>
      <c r="N33" s="563"/>
      <c r="O33" s="340">
        <f t="shared" si="0"/>
        <v>8</v>
      </c>
      <c r="P33" s="340">
        <f t="shared" si="1"/>
        <v>16</v>
      </c>
      <c r="Q33" s="44">
        <v>17</v>
      </c>
      <c r="R33" s="69"/>
      <c r="S33" s="199">
        <v>45992</v>
      </c>
      <c r="T33" s="309">
        <v>0</v>
      </c>
      <c r="U33" s="309">
        <v>1</v>
      </c>
      <c r="V33" s="199">
        <v>45717</v>
      </c>
      <c r="W33" s="107">
        <v>1</v>
      </c>
      <c r="X33" s="122">
        <v>1</v>
      </c>
      <c r="Y33" s="309">
        <v>2</v>
      </c>
      <c r="Z33" s="309">
        <v>8</v>
      </c>
      <c r="AA33" s="184">
        <f t="shared" si="2"/>
        <v>12</v>
      </c>
      <c r="AB33" s="185">
        <f t="shared" si="3"/>
        <v>3</v>
      </c>
      <c r="AC33" s="185">
        <f t="shared" si="4"/>
        <v>12</v>
      </c>
      <c r="AD33" s="185">
        <f t="shared" si="5"/>
        <v>24</v>
      </c>
    </row>
    <row r="34" spans="1:45" x14ac:dyDescent="0.25">
      <c r="A34" s="314">
        <f t="shared" si="6"/>
        <v>33</v>
      </c>
      <c r="B34" s="314" t="s">
        <v>1213</v>
      </c>
      <c r="C34" s="340">
        <v>2</v>
      </c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340">
        <f t="shared" ref="O34:O65" si="7">SUM(C34-D34-E34-F34-G34-H34-I34-J34-K34-L34-M34-N34)</f>
        <v>2</v>
      </c>
      <c r="P34" s="340">
        <f t="shared" si="1"/>
        <v>10</v>
      </c>
      <c r="Q34" s="7">
        <v>17</v>
      </c>
      <c r="R34" s="68"/>
      <c r="S34" s="335">
        <v>46935</v>
      </c>
      <c r="T34" s="318">
        <v>3</v>
      </c>
      <c r="U34" s="318"/>
      <c r="V34" s="199">
        <v>45627</v>
      </c>
      <c r="W34" s="309">
        <v>1</v>
      </c>
      <c r="X34" s="309">
        <v>2</v>
      </c>
      <c r="Y34" s="309">
        <v>2</v>
      </c>
      <c r="Z34" s="429">
        <v>1</v>
      </c>
      <c r="AA34" s="184">
        <f t="shared" ref="AA34:AA65" si="8">W34+X34+Y34+Z34</f>
        <v>6</v>
      </c>
      <c r="AB34" s="185">
        <f t="shared" ref="AB34:AB65" si="9">AA34/4</f>
        <v>1.5</v>
      </c>
      <c r="AC34" s="185">
        <f t="shared" ref="AC34:AC65" si="10">AB34*4</f>
        <v>6</v>
      </c>
      <c r="AD34" s="185">
        <f t="shared" ref="AD34:AD65" si="11">AC34*2</f>
        <v>12</v>
      </c>
    </row>
    <row r="35" spans="1:45" x14ac:dyDescent="0.25">
      <c r="A35" s="314">
        <f t="shared" si="6"/>
        <v>34</v>
      </c>
      <c r="B35" s="314" t="s">
        <v>1212</v>
      </c>
      <c r="C35" s="340">
        <v>2</v>
      </c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340">
        <f t="shared" si="7"/>
        <v>2</v>
      </c>
      <c r="P35" s="340">
        <f t="shared" si="1"/>
        <v>10</v>
      </c>
      <c r="Q35" s="7">
        <v>16</v>
      </c>
      <c r="R35" s="68"/>
      <c r="S35" s="335">
        <v>46388</v>
      </c>
      <c r="T35" s="318">
        <v>2</v>
      </c>
      <c r="U35" s="318">
        <v>2</v>
      </c>
      <c r="V35" s="344">
        <v>45717</v>
      </c>
      <c r="W35" s="309">
        <v>1</v>
      </c>
      <c r="X35" s="309">
        <v>2</v>
      </c>
      <c r="Y35" s="309">
        <v>2</v>
      </c>
      <c r="Z35" s="429">
        <v>1</v>
      </c>
      <c r="AA35" s="184">
        <f t="shared" si="8"/>
        <v>6</v>
      </c>
      <c r="AB35" s="185">
        <f t="shared" si="9"/>
        <v>1.5</v>
      </c>
      <c r="AC35" s="185">
        <f t="shared" si="10"/>
        <v>6</v>
      </c>
      <c r="AD35" s="185">
        <f t="shared" si="11"/>
        <v>12</v>
      </c>
    </row>
    <row r="36" spans="1:45" x14ac:dyDescent="0.25">
      <c r="A36" s="314">
        <f t="shared" si="6"/>
        <v>35</v>
      </c>
      <c r="B36" s="314" t="s">
        <v>1248</v>
      </c>
      <c r="C36" s="340">
        <v>89</v>
      </c>
      <c r="D36" s="359">
        <v>1</v>
      </c>
      <c r="E36" s="478">
        <v>4</v>
      </c>
      <c r="F36" s="359"/>
      <c r="G36" s="478">
        <v>2</v>
      </c>
      <c r="H36" s="359">
        <v>1</v>
      </c>
      <c r="I36" s="478">
        <v>2</v>
      </c>
      <c r="J36" s="359">
        <v>1</v>
      </c>
      <c r="K36" s="478">
        <v>1</v>
      </c>
      <c r="L36" s="359">
        <v>1</v>
      </c>
      <c r="M36" s="478"/>
      <c r="N36" s="561"/>
      <c r="O36" s="340">
        <f t="shared" si="7"/>
        <v>76</v>
      </c>
      <c r="P36" s="340">
        <f t="shared" si="1"/>
        <v>92</v>
      </c>
      <c r="Q36" s="7">
        <v>9</v>
      </c>
      <c r="R36" s="68"/>
      <c r="S36" s="335">
        <v>46600</v>
      </c>
      <c r="T36" s="318">
        <v>2</v>
      </c>
      <c r="U36" s="318">
        <v>1</v>
      </c>
      <c r="V36" s="344">
        <v>45717</v>
      </c>
      <c r="W36" s="309">
        <v>21</v>
      </c>
      <c r="X36" s="309">
        <v>22</v>
      </c>
      <c r="Y36" s="309">
        <v>28</v>
      </c>
      <c r="Z36" s="429">
        <v>13</v>
      </c>
      <c r="AA36" s="184">
        <f t="shared" si="8"/>
        <v>84</v>
      </c>
      <c r="AB36" s="185">
        <f t="shared" si="9"/>
        <v>21</v>
      </c>
      <c r="AC36" s="185">
        <f t="shared" si="10"/>
        <v>84</v>
      </c>
      <c r="AD36" s="185">
        <f t="shared" si="11"/>
        <v>168</v>
      </c>
    </row>
    <row r="37" spans="1:45" ht="15" customHeight="1" x14ac:dyDescent="0.25">
      <c r="A37" s="314">
        <f t="shared" si="6"/>
        <v>36</v>
      </c>
      <c r="B37" s="3" t="s">
        <v>1224</v>
      </c>
      <c r="C37" s="340">
        <v>15</v>
      </c>
      <c r="D37" s="359"/>
      <c r="E37" s="478"/>
      <c r="F37" s="359"/>
      <c r="G37" s="478"/>
      <c r="H37" s="359"/>
      <c r="I37" s="478">
        <v>1</v>
      </c>
      <c r="J37" s="359">
        <v>1</v>
      </c>
      <c r="K37" s="478"/>
      <c r="L37" s="359"/>
      <c r="M37" s="478"/>
      <c r="N37" s="561"/>
      <c r="O37" s="340">
        <f t="shared" si="7"/>
        <v>13</v>
      </c>
      <c r="P37" s="340">
        <f t="shared" si="1"/>
        <v>25</v>
      </c>
      <c r="Q37" s="7">
        <v>2</v>
      </c>
      <c r="R37" s="68"/>
      <c r="S37" s="337">
        <v>46478</v>
      </c>
      <c r="T37" s="318">
        <v>1</v>
      </c>
      <c r="U37" s="318">
        <v>2</v>
      </c>
      <c r="V37" s="199">
        <v>45717</v>
      </c>
      <c r="W37" s="309">
        <v>5</v>
      </c>
      <c r="X37" s="309">
        <v>7</v>
      </c>
      <c r="Y37" s="309">
        <v>5</v>
      </c>
      <c r="Z37" s="429">
        <v>2</v>
      </c>
      <c r="AA37" s="184">
        <f t="shared" si="8"/>
        <v>19</v>
      </c>
      <c r="AB37" s="185">
        <f t="shared" si="9"/>
        <v>4.75</v>
      </c>
      <c r="AC37" s="185">
        <f t="shared" si="10"/>
        <v>19</v>
      </c>
      <c r="AD37" s="185">
        <f t="shared" si="11"/>
        <v>38</v>
      </c>
    </row>
    <row r="38" spans="1:45" x14ac:dyDescent="0.25">
      <c r="A38" s="314">
        <f t="shared" si="6"/>
        <v>37</v>
      </c>
      <c r="B38" s="314" t="s">
        <v>1249</v>
      </c>
      <c r="C38" s="340">
        <v>1</v>
      </c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340">
        <f t="shared" si="7"/>
        <v>1</v>
      </c>
      <c r="P38" s="340">
        <f t="shared" si="1"/>
        <v>17</v>
      </c>
      <c r="Q38" s="7">
        <v>40</v>
      </c>
      <c r="R38" s="68"/>
      <c r="S38" s="336">
        <v>46143</v>
      </c>
      <c r="T38" s="316">
        <v>4</v>
      </c>
      <c r="U38" s="321"/>
      <c r="V38" s="83">
        <v>45658</v>
      </c>
      <c r="W38" s="28">
        <v>1</v>
      </c>
      <c r="X38" s="28">
        <v>2</v>
      </c>
      <c r="Y38" s="28">
        <v>4</v>
      </c>
      <c r="Z38" s="429">
        <v>2</v>
      </c>
      <c r="AA38" s="184">
        <f t="shared" si="8"/>
        <v>9</v>
      </c>
      <c r="AB38" s="185">
        <f t="shared" si="9"/>
        <v>2.25</v>
      </c>
      <c r="AC38" s="185">
        <f t="shared" si="10"/>
        <v>9</v>
      </c>
      <c r="AD38" s="185">
        <f t="shared" si="11"/>
        <v>18</v>
      </c>
    </row>
    <row r="39" spans="1:45" ht="15" customHeight="1" x14ac:dyDescent="0.25">
      <c r="A39" s="314">
        <f t="shared" si="6"/>
        <v>38</v>
      </c>
      <c r="B39" s="314" t="s">
        <v>1250</v>
      </c>
      <c r="C39" s="340">
        <v>1</v>
      </c>
      <c r="D39" s="361"/>
      <c r="E39" s="482"/>
      <c r="F39" s="361"/>
      <c r="G39" s="482"/>
      <c r="H39" s="361"/>
      <c r="I39" s="482"/>
      <c r="J39" s="359"/>
      <c r="K39" s="478"/>
      <c r="L39" s="361"/>
      <c r="M39" s="482"/>
      <c r="N39" s="563"/>
      <c r="O39" s="340">
        <f t="shared" si="7"/>
        <v>1</v>
      </c>
      <c r="P39" s="340">
        <f t="shared" si="1"/>
        <v>9</v>
      </c>
      <c r="Q39" s="7">
        <v>39</v>
      </c>
      <c r="R39" s="68"/>
      <c r="S39" s="337">
        <v>46054</v>
      </c>
      <c r="T39" s="318">
        <v>0</v>
      </c>
      <c r="U39" s="318"/>
      <c r="V39" s="199">
        <v>44986</v>
      </c>
      <c r="W39" s="309">
        <v>1</v>
      </c>
      <c r="X39" s="309">
        <v>2</v>
      </c>
      <c r="Y39" s="309">
        <v>1</v>
      </c>
      <c r="Z39" s="429">
        <v>1</v>
      </c>
      <c r="AA39" s="184">
        <f t="shared" si="8"/>
        <v>5</v>
      </c>
      <c r="AB39" s="185">
        <f t="shared" si="9"/>
        <v>1.25</v>
      </c>
      <c r="AC39" s="185">
        <f t="shared" si="10"/>
        <v>5</v>
      </c>
      <c r="AD39" s="185">
        <f t="shared" si="11"/>
        <v>10</v>
      </c>
    </row>
    <row r="40" spans="1:45" x14ac:dyDescent="0.25">
      <c r="A40" s="314">
        <v>39</v>
      </c>
      <c r="B40" s="3" t="s">
        <v>1322</v>
      </c>
      <c r="C40" s="340">
        <v>3</v>
      </c>
      <c r="D40" s="361"/>
      <c r="E40" s="481"/>
      <c r="F40" s="361"/>
      <c r="G40" s="482"/>
      <c r="H40" s="361"/>
      <c r="I40" s="482"/>
      <c r="J40" s="369"/>
      <c r="K40" s="481"/>
      <c r="L40" s="361"/>
      <c r="M40" s="481"/>
      <c r="N40" s="563"/>
      <c r="O40" s="340">
        <f t="shared" si="7"/>
        <v>3</v>
      </c>
      <c r="P40" s="340">
        <f t="shared" si="1"/>
        <v>1</v>
      </c>
      <c r="Q40" s="44">
        <v>23</v>
      </c>
      <c r="R40" s="69"/>
      <c r="S40" s="199">
        <v>46600</v>
      </c>
      <c r="T40" s="309">
        <v>2</v>
      </c>
      <c r="U40" s="309"/>
      <c r="V40" s="199">
        <v>45658</v>
      </c>
      <c r="Z40" s="309">
        <v>2</v>
      </c>
      <c r="AA40" s="184">
        <f t="shared" si="8"/>
        <v>2</v>
      </c>
      <c r="AB40" s="185">
        <f t="shared" si="9"/>
        <v>0.5</v>
      </c>
      <c r="AC40" s="185">
        <f t="shared" si="10"/>
        <v>2</v>
      </c>
      <c r="AD40" s="185">
        <f t="shared" si="11"/>
        <v>4</v>
      </c>
    </row>
    <row r="41" spans="1:45" ht="15" customHeight="1" x14ac:dyDescent="0.25">
      <c r="A41" s="314">
        <f t="shared" si="6"/>
        <v>40</v>
      </c>
      <c r="B41" s="3" t="s">
        <v>1417</v>
      </c>
      <c r="C41" s="340">
        <v>33</v>
      </c>
      <c r="D41" s="361"/>
      <c r="E41" s="482">
        <v>10</v>
      </c>
      <c r="F41" s="361"/>
      <c r="G41" s="482">
        <v>2</v>
      </c>
      <c r="H41" s="361"/>
      <c r="I41" s="482"/>
      <c r="J41" s="359"/>
      <c r="K41" s="478"/>
      <c r="L41" s="361"/>
      <c r="M41" s="482"/>
      <c r="N41" s="563"/>
      <c r="O41" s="340">
        <f t="shared" si="7"/>
        <v>21</v>
      </c>
      <c r="P41" s="340">
        <f t="shared" si="1"/>
        <v>37</v>
      </c>
      <c r="Q41" s="7">
        <v>15</v>
      </c>
      <c r="R41" s="68"/>
      <c r="S41" s="335">
        <v>46082</v>
      </c>
      <c r="T41" s="318">
        <v>6</v>
      </c>
      <c r="U41" s="318">
        <v>8</v>
      </c>
      <c r="V41" s="199">
        <v>45717</v>
      </c>
      <c r="W41" s="309">
        <v>8</v>
      </c>
      <c r="X41" s="122">
        <v>6</v>
      </c>
      <c r="Y41" s="309">
        <v>3</v>
      </c>
      <c r="Z41" s="429">
        <v>12</v>
      </c>
      <c r="AA41" s="184">
        <f t="shared" si="8"/>
        <v>29</v>
      </c>
      <c r="AB41" s="185">
        <f t="shared" si="9"/>
        <v>7.25</v>
      </c>
      <c r="AC41" s="185">
        <f t="shared" si="10"/>
        <v>29</v>
      </c>
      <c r="AD41" s="185">
        <f t="shared" si="11"/>
        <v>58</v>
      </c>
    </row>
    <row r="42" spans="1:45" ht="15" customHeight="1" x14ac:dyDescent="0.25">
      <c r="A42" s="314">
        <f t="shared" si="6"/>
        <v>41</v>
      </c>
      <c r="B42" s="3" t="s">
        <v>1251</v>
      </c>
      <c r="C42" s="340">
        <v>13</v>
      </c>
      <c r="D42" s="361"/>
      <c r="E42" s="482"/>
      <c r="F42" s="361"/>
      <c r="G42" s="482"/>
      <c r="H42" s="361"/>
      <c r="I42" s="482"/>
      <c r="J42" s="361"/>
      <c r="K42" s="482"/>
      <c r="L42" s="361"/>
      <c r="M42" s="482"/>
      <c r="N42" s="563"/>
      <c r="O42" s="340">
        <f t="shared" si="7"/>
        <v>13</v>
      </c>
      <c r="P42" s="340">
        <f t="shared" si="1"/>
        <v>-3</v>
      </c>
      <c r="Q42" s="7">
        <v>5</v>
      </c>
      <c r="R42" s="68"/>
      <c r="S42" s="335">
        <v>46447</v>
      </c>
      <c r="T42" s="318">
        <v>0</v>
      </c>
      <c r="U42" s="318"/>
      <c r="V42" s="344">
        <v>45597</v>
      </c>
      <c r="W42" s="309">
        <v>1</v>
      </c>
      <c r="X42" s="122">
        <v>1</v>
      </c>
      <c r="Y42" s="309">
        <v>2</v>
      </c>
      <c r="Z42" s="429">
        <v>1</v>
      </c>
      <c r="AA42" s="184">
        <f t="shared" si="8"/>
        <v>5</v>
      </c>
      <c r="AB42" s="185">
        <f t="shared" si="9"/>
        <v>1.25</v>
      </c>
      <c r="AC42" s="185">
        <f t="shared" si="10"/>
        <v>5</v>
      </c>
      <c r="AD42" s="185">
        <f t="shared" si="11"/>
        <v>10</v>
      </c>
    </row>
    <row r="43" spans="1:45" ht="15.75" customHeight="1" x14ac:dyDescent="0.25">
      <c r="A43" s="314">
        <f t="shared" si="6"/>
        <v>42</v>
      </c>
      <c r="B43" s="3" t="s">
        <v>1252</v>
      </c>
      <c r="C43" s="340">
        <v>13</v>
      </c>
      <c r="D43" s="361">
        <v>1</v>
      </c>
      <c r="E43" s="482"/>
      <c r="F43" s="361"/>
      <c r="G43" s="482"/>
      <c r="H43" s="361"/>
      <c r="I43" s="482">
        <v>1</v>
      </c>
      <c r="J43" s="361"/>
      <c r="K43" s="482"/>
      <c r="L43" s="361"/>
      <c r="M43" s="482"/>
      <c r="N43" s="563"/>
      <c r="O43" s="340">
        <f t="shared" si="7"/>
        <v>11</v>
      </c>
      <c r="P43" s="340">
        <f t="shared" si="1"/>
        <v>-1</v>
      </c>
      <c r="Q43" s="7">
        <v>8</v>
      </c>
      <c r="R43" s="121"/>
      <c r="S43" s="335">
        <v>46569</v>
      </c>
      <c r="T43" s="318">
        <v>1</v>
      </c>
      <c r="U43" s="318"/>
      <c r="V43" s="344">
        <v>45689</v>
      </c>
      <c r="W43" s="309">
        <v>1</v>
      </c>
      <c r="X43" s="122">
        <v>1</v>
      </c>
      <c r="Y43" s="309">
        <v>1</v>
      </c>
      <c r="Z43" s="429">
        <v>2</v>
      </c>
      <c r="AA43" s="184">
        <f t="shared" si="8"/>
        <v>5</v>
      </c>
      <c r="AB43" s="185">
        <f t="shared" si="9"/>
        <v>1.25</v>
      </c>
      <c r="AC43" s="185">
        <f t="shared" si="10"/>
        <v>5</v>
      </c>
      <c r="AD43" s="185">
        <f t="shared" si="11"/>
        <v>10</v>
      </c>
    </row>
    <row r="44" spans="1:45" s="113" customFormat="1" ht="15" customHeight="1" x14ac:dyDescent="0.25">
      <c r="A44" s="314">
        <f t="shared" si="6"/>
        <v>43</v>
      </c>
      <c r="B44" s="314" t="s">
        <v>1253</v>
      </c>
      <c r="C44" s="340">
        <v>4</v>
      </c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340">
        <f t="shared" si="7"/>
        <v>4</v>
      </c>
      <c r="P44" s="340">
        <f t="shared" si="1"/>
        <v>4</v>
      </c>
      <c r="Q44" s="7">
        <v>39</v>
      </c>
      <c r="R44" s="121"/>
      <c r="S44" s="335">
        <v>46539</v>
      </c>
      <c r="T44" s="318">
        <v>0</v>
      </c>
      <c r="U44" s="318"/>
      <c r="V44" s="344">
        <v>45566</v>
      </c>
      <c r="W44" s="309">
        <v>1</v>
      </c>
      <c r="X44" s="122">
        <v>1</v>
      </c>
      <c r="Y44" s="309">
        <v>1</v>
      </c>
      <c r="Z44" s="429">
        <v>1</v>
      </c>
      <c r="AA44" s="184">
        <f t="shared" si="8"/>
        <v>4</v>
      </c>
      <c r="AB44" s="185">
        <f t="shared" si="9"/>
        <v>1</v>
      </c>
      <c r="AC44" s="185">
        <f t="shared" si="10"/>
        <v>4</v>
      </c>
      <c r="AD44" s="185">
        <f t="shared" si="11"/>
        <v>8</v>
      </c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</row>
    <row r="45" spans="1:45" ht="15" customHeight="1" x14ac:dyDescent="0.25">
      <c r="A45" s="314">
        <f t="shared" si="6"/>
        <v>44</v>
      </c>
      <c r="B45" s="314" t="s">
        <v>1254</v>
      </c>
      <c r="C45" s="340">
        <v>11</v>
      </c>
      <c r="D45" s="361"/>
      <c r="E45" s="481"/>
      <c r="F45" s="361"/>
      <c r="G45" s="482"/>
      <c r="H45" s="361"/>
      <c r="I45" s="482"/>
      <c r="J45" s="369"/>
      <c r="K45" s="481">
        <v>1</v>
      </c>
      <c r="L45" s="361"/>
      <c r="M45" s="481">
        <v>1</v>
      </c>
      <c r="N45" s="563"/>
      <c r="O45" s="340">
        <f t="shared" si="7"/>
        <v>9</v>
      </c>
      <c r="P45" s="340">
        <f t="shared" si="1"/>
        <v>7</v>
      </c>
      <c r="Q45" s="44">
        <v>7</v>
      </c>
      <c r="R45" s="69"/>
      <c r="S45" s="199">
        <v>46539</v>
      </c>
      <c r="T45" s="309">
        <v>0</v>
      </c>
      <c r="U45" s="309">
        <v>1</v>
      </c>
      <c r="V45" s="199">
        <v>45717</v>
      </c>
      <c r="W45" s="107">
        <v>1</v>
      </c>
      <c r="X45" s="122">
        <v>4</v>
      </c>
      <c r="Y45" s="309">
        <v>1</v>
      </c>
      <c r="Z45" s="309">
        <v>2</v>
      </c>
      <c r="AA45" s="184">
        <f t="shared" si="8"/>
        <v>8</v>
      </c>
      <c r="AB45" s="185">
        <f t="shared" si="9"/>
        <v>2</v>
      </c>
      <c r="AC45" s="185">
        <f t="shared" si="10"/>
        <v>8</v>
      </c>
      <c r="AD45" s="185">
        <f t="shared" si="11"/>
        <v>16</v>
      </c>
    </row>
    <row r="46" spans="1:45" s="114" customFormat="1" x14ac:dyDescent="0.25">
      <c r="A46" s="314">
        <f t="shared" si="6"/>
        <v>45</v>
      </c>
      <c r="B46" s="3" t="s">
        <v>780</v>
      </c>
      <c r="C46" s="340">
        <v>63</v>
      </c>
      <c r="D46" s="359"/>
      <c r="E46" s="478"/>
      <c r="F46" s="360"/>
      <c r="G46" s="480"/>
      <c r="H46" s="360"/>
      <c r="I46" s="480"/>
      <c r="J46" s="360"/>
      <c r="K46" s="480"/>
      <c r="L46" s="360"/>
      <c r="M46" s="480"/>
      <c r="N46" s="561"/>
      <c r="O46" s="340">
        <f t="shared" si="7"/>
        <v>63</v>
      </c>
      <c r="P46" s="340">
        <f t="shared" si="1"/>
        <v>103</v>
      </c>
      <c r="Q46" s="7">
        <v>0.95</v>
      </c>
      <c r="R46" s="63"/>
      <c r="S46" s="344">
        <v>46753</v>
      </c>
      <c r="T46" s="318">
        <v>2</v>
      </c>
      <c r="U46" s="120">
        <v>2</v>
      </c>
      <c r="V46" s="199">
        <v>45717</v>
      </c>
      <c r="W46" s="309">
        <v>20</v>
      </c>
      <c r="X46" s="122">
        <v>23</v>
      </c>
      <c r="Y46" s="309">
        <v>20</v>
      </c>
      <c r="Z46" s="429">
        <v>20</v>
      </c>
      <c r="AA46" s="184">
        <f t="shared" si="8"/>
        <v>83</v>
      </c>
      <c r="AB46" s="185">
        <f t="shared" si="9"/>
        <v>20.75</v>
      </c>
      <c r="AC46" s="185">
        <f t="shared" si="10"/>
        <v>83</v>
      </c>
      <c r="AD46" s="185">
        <f t="shared" si="11"/>
        <v>166</v>
      </c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</row>
    <row r="47" spans="1:45" x14ac:dyDescent="0.25">
      <c r="A47" s="314">
        <f t="shared" si="6"/>
        <v>46</v>
      </c>
      <c r="B47" s="314" t="s">
        <v>542</v>
      </c>
      <c r="C47" s="341">
        <v>4</v>
      </c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340">
        <f t="shared" si="7"/>
        <v>4</v>
      </c>
      <c r="P47" s="340">
        <f t="shared" si="1"/>
        <v>10</v>
      </c>
      <c r="Q47" s="44">
        <v>17</v>
      </c>
      <c r="R47" s="68"/>
      <c r="S47" s="335">
        <v>46508</v>
      </c>
      <c r="T47" s="318">
        <v>3</v>
      </c>
      <c r="U47" s="120">
        <v>9</v>
      </c>
      <c r="V47" s="199">
        <v>45717</v>
      </c>
      <c r="W47" s="309">
        <v>1</v>
      </c>
      <c r="X47" s="122">
        <v>3</v>
      </c>
      <c r="Y47" s="309">
        <v>2</v>
      </c>
      <c r="Z47" s="429">
        <v>1</v>
      </c>
      <c r="AA47" s="184">
        <f t="shared" si="8"/>
        <v>7</v>
      </c>
      <c r="AB47" s="185">
        <f t="shared" si="9"/>
        <v>1.75</v>
      </c>
      <c r="AC47" s="185">
        <f t="shared" si="10"/>
        <v>7</v>
      </c>
      <c r="AD47" s="185">
        <f t="shared" si="11"/>
        <v>14</v>
      </c>
    </row>
    <row r="48" spans="1:45" ht="15.75" customHeight="1" x14ac:dyDescent="0.25">
      <c r="A48" s="314">
        <f t="shared" si="6"/>
        <v>47</v>
      </c>
      <c r="B48" s="3" t="s">
        <v>1256</v>
      </c>
      <c r="C48" s="341">
        <v>9</v>
      </c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340">
        <f t="shared" si="7"/>
        <v>9</v>
      </c>
      <c r="P48" s="340">
        <f t="shared" si="1"/>
        <v>1</v>
      </c>
      <c r="Q48" s="44">
        <v>7</v>
      </c>
      <c r="R48" s="68"/>
      <c r="S48" s="335">
        <v>46174</v>
      </c>
      <c r="T48" s="318">
        <v>0</v>
      </c>
      <c r="U48" s="120"/>
      <c r="V48" s="199">
        <v>45536</v>
      </c>
      <c r="W48" s="309">
        <v>2</v>
      </c>
      <c r="X48" s="122">
        <v>1</v>
      </c>
      <c r="Y48" s="309">
        <v>1</v>
      </c>
      <c r="Z48" s="429">
        <v>1</v>
      </c>
      <c r="AA48" s="184">
        <f t="shared" si="8"/>
        <v>5</v>
      </c>
      <c r="AB48" s="185">
        <f t="shared" si="9"/>
        <v>1.25</v>
      </c>
      <c r="AC48" s="185">
        <f t="shared" si="10"/>
        <v>5</v>
      </c>
      <c r="AD48" s="185">
        <f t="shared" si="11"/>
        <v>10</v>
      </c>
    </row>
    <row r="49" spans="1:45" s="113" customFormat="1" ht="15" customHeight="1" x14ac:dyDescent="0.25">
      <c r="A49" s="314">
        <f t="shared" si="6"/>
        <v>48</v>
      </c>
      <c r="B49" s="3" t="s">
        <v>1255</v>
      </c>
      <c r="C49" s="340">
        <v>8</v>
      </c>
      <c r="D49" s="359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340">
        <f t="shared" si="7"/>
        <v>8</v>
      </c>
      <c r="P49" s="340">
        <f t="shared" si="1"/>
        <v>0</v>
      </c>
      <c r="Q49" s="7">
        <v>9</v>
      </c>
      <c r="R49" s="68"/>
      <c r="S49" s="335">
        <v>46266</v>
      </c>
      <c r="T49" s="318">
        <v>0</v>
      </c>
      <c r="U49" s="120"/>
      <c r="V49" s="199">
        <v>45689</v>
      </c>
      <c r="W49" s="309">
        <v>1</v>
      </c>
      <c r="X49" s="122">
        <v>1</v>
      </c>
      <c r="Y49" s="309">
        <v>1</v>
      </c>
      <c r="Z49" s="429">
        <v>1</v>
      </c>
      <c r="AA49" s="184">
        <f t="shared" si="8"/>
        <v>4</v>
      </c>
      <c r="AB49" s="185">
        <f t="shared" si="9"/>
        <v>1</v>
      </c>
      <c r="AC49" s="185">
        <f t="shared" si="10"/>
        <v>4</v>
      </c>
      <c r="AD49" s="185">
        <f t="shared" si="11"/>
        <v>8</v>
      </c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</row>
    <row r="50" spans="1:45" x14ac:dyDescent="0.25">
      <c r="A50" s="314">
        <f t="shared" si="6"/>
        <v>49</v>
      </c>
      <c r="B50" s="3" t="s">
        <v>1257</v>
      </c>
      <c r="C50" s="340">
        <v>49</v>
      </c>
      <c r="D50" s="359"/>
      <c r="E50" s="478"/>
      <c r="F50" s="359"/>
      <c r="G50" s="478"/>
      <c r="H50" s="359"/>
      <c r="I50" s="478"/>
      <c r="J50" s="359"/>
      <c r="K50" s="478">
        <v>10</v>
      </c>
      <c r="L50" s="359"/>
      <c r="M50" s="478"/>
      <c r="N50" s="561"/>
      <c r="O50" s="340">
        <f t="shared" si="7"/>
        <v>39</v>
      </c>
      <c r="P50" s="340">
        <f t="shared" si="1"/>
        <v>17</v>
      </c>
      <c r="Q50" s="7">
        <v>0.8</v>
      </c>
      <c r="R50" s="68"/>
      <c r="S50" s="335">
        <v>46174</v>
      </c>
      <c r="T50" s="318">
        <v>1</v>
      </c>
      <c r="U50" s="120">
        <v>1</v>
      </c>
      <c r="V50" s="344">
        <v>45717</v>
      </c>
      <c r="W50" s="309">
        <v>5</v>
      </c>
      <c r="X50" s="122">
        <v>1</v>
      </c>
      <c r="Y50" s="309">
        <v>12</v>
      </c>
      <c r="Z50" s="429">
        <v>10</v>
      </c>
      <c r="AA50" s="184">
        <f t="shared" si="8"/>
        <v>28</v>
      </c>
      <c r="AB50" s="185">
        <f t="shared" si="9"/>
        <v>7</v>
      </c>
      <c r="AC50" s="185">
        <f t="shared" si="10"/>
        <v>28</v>
      </c>
      <c r="AD50" s="185">
        <f t="shared" si="11"/>
        <v>56</v>
      </c>
    </row>
    <row r="51" spans="1:45" ht="15" customHeight="1" x14ac:dyDescent="0.25">
      <c r="A51" s="314">
        <f t="shared" si="6"/>
        <v>50</v>
      </c>
      <c r="B51" s="314" t="s">
        <v>1258</v>
      </c>
      <c r="C51" s="340">
        <v>24</v>
      </c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340">
        <f t="shared" si="7"/>
        <v>24</v>
      </c>
      <c r="P51" s="340">
        <f t="shared" si="1"/>
        <v>16</v>
      </c>
      <c r="Q51" s="7">
        <v>2.5</v>
      </c>
      <c r="R51" s="68"/>
      <c r="S51" s="434">
        <v>46419</v>
      </c>
      <c r="T51" s="318">
        <v>7</v>
      </c>
      <c r="U51" s="318">
        <v>3</v>
      </c>
      <c r="V51" s="199">
        <v>46447</v>
      </c>
      <c r="W51" s="309">
        <v>7</v>
      </c>
      <c r="X51" s="122">
        <v>5</v>
      </c>
      <c r="Y51" s="309">
        <v>1</v>
      </c>
      <c r="Z51" s="429">
        <v>7</v>
      </c>
      <c r="AA51" s="184">
        <f t="shared" si="8"/>
        <v>20</v>
      </c>
      <c r="AB51" s="185">
        <f t="shared" si="9"/>
        <v>5</v>
      </c>
      <c r="AC51" s="185">
        <f t="shared" si="10"/>
        <v>20</v>
      </c>
      <c r="AD51" s="185">
        <f t="shared" si="11"/>
        <v>40</v>
      </c>
    </row>
    <row r="52" spans="1:45" ht="15" customHeight="1" x14ac:dyDescent="0.25">
      <c r="A52" s="314">
        <f t="shared" si="6"/>
        <v>51</v>
      </c>
      <c r="B52" s="3" t="s">
        <v>1259</v>
      </c>
      <c r="C52" s="340">
        <v>12</v>
      </c>
      <c r="D52" s="359"/>
      <c r="E52" s="478"/>
      <c r="F52" s="359"/>
      <c r="G52" s="478"/>
      <c r="H52" s="359"/>
      <c r="I52" s="478"/>
      <c r="J52" s="361"/>
      <c r="K52" s="482"/>
      <c r="L52" s="359"/>
      <c r="M52" s="478"/>
      <c r="N52" s="561"/>
      <c r="O52" s="340">
        <f t="shared" si="7"/>
        <v>12</v>
      </c>
      <c r="P52" s="340">
        <f t="shared" si="1"/>
        <v>-4</v>
      </c>
      <c r="Q52" s="7">
        <v>2.5</v>
      </c>
      <c r="R52" s="68"/>
      <c r="S52" s="335">
        <v>46844</v>
      </c>
      <c r="T52" s="318">
        <v>0</v>
      </c>
      <c r="U52" s="318"/>
      <c r="V52" s="344">
        <v>45352</v>
      </c>
      <c r="W52" s="309">
        <v>1</v>
      </c>
      <c r="X52" s="122">
        <v>1</v>
      </c>
      <c r="Y52" s="309">
        <v>1</v>
      </c>
      <c r="Z52" s="429">
        <v>1</v>
      </c>
      <c r="AA52" s="184">
        <f t="shared" si="8"/>
        <v>4</v>
      </c>
      <c r="AB52" s="185">
        <f t="shared" si="9"/>
        <v>1</v>
      </c>
      <c r="AC52" s="185">
        <f t="shared" si="10"/>
        <v>4</v>
      </c>
      <c r="AD52" s="185">
        <f t="shared" si="11"/>
        <v>8</v>
      </c>
    </row>
    <row r="53" spans="1:45" s="113" customFormat="1" ht="15" customHeight="1" x14ac:dyDescent="0.25">
      <c r="A53" s="314">
        <f t="shared" si="6"/>
        <v>52</v>
      </c>
      <c r="B53" s="314" t="s">
        <v>895</v>
      </c>
      <c r="C53" s="340">
        <v>9</v>
      </c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340">
        <f t="shared" si="7"/>
        <v>9</v>
      </c>
      <c r="P53" s="340">
        <f t="shared" si="1"/>
        <v>1</v>
      </c>
      <c r="Q53" s="7">
        <v>17</v>
      </c>
      <c r="R53" s="68"/>
      <c r="S53" s="335">
        <v>46508</v>
      </c>
      <c r="T53" s="318">
        <v>0</v>
      </c>
      <c r="U53" s="318"/>
      <c r="V53" s="199">
        <v>45689</v>
      </c>
      <c r="W53" s="309">
        <v>1</v>
      </c>
      <c r="X53" s="122">
        <v>1</v>
      </c>
      <c r="Y53" s="309">
        <v>2</v>
      </c>
      <c r="Z53" s="429">
        <v>1</v>
      </c>
      <c r="AA53" s="184">
        <f t="shared" si="8"/>
        <v>5</v>
      </c>
      <c r="AB53" s="185">
        <f t="shared" si="9"/>
        <v>1.25</v>
      </c>
      <c r="AC53" s="185">
        <f t="shared" si="10"/>
        <v>5</v>
      </c>
      <c r="AD53" s="185">
        <f t="shared" si="11"/>
        <v>10</v>
      </c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</row>
    <row r="54" spans="1:45" ht="15" customHeight="1" x14ac:dyDescent="0.25">
      <c r="A54" s="314">
        <f t="shared" si="6"/>
        <v>53</v>
      </c>
      <c r="B54" s="314" t="s">
        <v>1223</v>
      </c>
      <c r="C54" s="340">
        <v>21</v>
      </c>
      <c r="D54" s="359"/>
      <c r="E54" s="478">
        <v>1</v>
      </c>
      <c r="F54" s="359">
        <v>2</v>
      </c>
      <c r="G54" s="478"/>
      <c r="H54" s="359"/>
      <c r="I54" s="478"/>
      <c r="J54" s="359"/>
      <c r="K54" s="478">
        <v>1</v>
      </c>
      <c r="L54" s="359"/>
      <c r="M54" s="478"/>
      <c r="N54" s="561"/>
      <c r="O54" s="340">
        <f t="shared" si="7"/>
        <v>17</v>
      </c>
      <c r="P54" s="340">
        <f t="shared" si="1"/>
        <v>9</v>
      </c>
      <c r="Q54" s="7">
        <v>3</v>
      </c>
      <c r="R54" s="68"/>
      <c r="S54" s="335">
        <v>46539</v>
      </c>
      <c r="T54" s="318">
        <v>0</v>
      </c>
      <c r="U54" s="318">
        <v>10</v>
      </c>
      <c r="V54" s="199">
        <v>45717</v>
      </c>
      <c r="W54" s="309">
        <v>1</v>
      </c>
      <c r="X54" s="122">
        <v>7</v>
      </c>
      <c r="Y54" s="309">
        <v>1</v>
      </c>
      <c r="Z54" s="429">
        <v>4</v>
      </c>
      <c r="AA54" s="184">
        <f t="shared" si="8"/>
        <v>13</v>
      </c>
      <c r="AB54" s="185">
        <f t="shared" si="9"/>
        <v>3.25</v>
      </c>
      <c r="AC54" s="185">
        <f t="shared" si="10"/>
        <v>13</v>
      </c>
      <c r="AD54" s="185">
        <f t="shared" si="11"/>
        <v>26</v>
      </c>
    </row>
    <row r="55" spans="1:45" ht="15" customHeight="1" x14ac:dyDescent="0.25">
      <c r="A55" s="314">
        <f t="shared" si="6"/>
        <v>54</v>
      </c>
      <c r="B55" s="3" t="s">
        <v>1260</v>
      </c>
      <c r="C55" s="340">
        <v>10</v>
      </c>
      <c r="D55" s="359"/>
      <c r="E55" s="478"/>
      <c r="F55" s="359"/>
      <c r="G55" s="478"/>
      <c r="H55" s="359"/>
      <c r="I55" s="478"/>
      <c r="J55" s="359"/>
      <c r="K55" s="478"/>
      <c r="L55" s="359"/>
      <c r="M55" s="478">
        <v>1</v>
      </c>
      <c r="N55" s="561"/>
      <c r="O55" s="340">
        <f t="shared" si="7"/>
        <v>9</v>
      </c>
      <c r="P55" s="340">
        <f t="shared" si="1"/>
        <v>5</v>
      </c>
      <c r="Q55" s="7">
        <v>12</v>
      </c>
      <c r="R55" s="68"/>
      <c r="S55" s="335">
        <v>46357</v>
      </c>
      <c r="T55" s="318">
        <v>0</v>
      </c>
      <c r="U55" s="318">
        <v>1</v>
      </c>
      <c r="V55" s="344">
        <v>45717</v>
      </c>
      <c r="W55" s="309">
        <v>2</v>
      </c>
      <c r="X55" s="122">
        <v>1</v>
      </c>
      <c r="Y55" s="309">
        <v>3</v>
      </c>
      <c r="Z55" s="429">
        <v>1</v>
      </c>
      <c r="AA55" s="184">
        <f t="shared" si="8"/>
        <v>7</v>
      </c>
      <c r="AB55" s="185">
        <f t="shared" si="9"/>
        <v>1.75</v>
      </c>
      <c r="AC55" s="185">
        <f t="shared" si="10"/>
        <v>7</v>
      </c>
      <c r="AD55" s="185">
        <f t="shared" si="11"/>
        <v>14</v>
      </c>
    </row>
    <row r="56" spans="1:45" s="114" customFormat="1" x14ac:dyDescent="0.25">
      <c r="A56" s="314">
        <f t="shared" si="6"/>
        <v>55</v>
      </c>
      <c r="B56" s="314" t="s">
        <v>1261</v>
      </c>
      <c r="C56" s="340">
        <v>3</v>
      </c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340">
        <f t="shared" si="7"/>
        <v>3</v>
      </c>
      <c r="P56" s="340">
        <f t="shared" si="1"/>
        <v>7</v>
      </c>
      <c r="Q56" s="7">
        <v>13</v>
      </c>
      <c r="R56" s="68"/>
      <c r="S56" s="335">
        <v>46266</v>
      </c>
      <c r="T56" s="318">
        <v>0</v>
      </c>
      <c r="U56" s="318"/>
      <c r="V56" s="344">
        <v>45536</v>
      </c>
      <c r="W56" s="309">
        <v>1</v>
      </c>
      <c r="X56" s="122">
        <v>1</v>
      </c>
      <c r="Y56" s="309">
        <v>1</v>
      </c>
      <c r="Z56" s="429">
        <v>2</v>
      </c>
      <c r="AA56" s="184">
        <f t="shared" si="8"/>
        <v>5</v>
      </c>
      <c r="AB56" s="185">
        <f t="shared" si="9"/>
        <v>1.25</v>
      </c>
      <c r="AC56" s="185">
        <f t="shared" si="10"/>
        <v>5</v>
      </c>
      <c r="AD56" s="185">
        <f t="shared" si="11"/>
        <v>10</v>
      </c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</row>
    <row r="57" spans="1:45" ht="15" customHeight="1" x14ac:dyDescent="0.25">
      <c r="A57" s="314">
        <f t="shared" si="6"/>
        <v>56</v>
      </c>
      <c r="B57" s="314" t="s">
        <v>1262</v>
      </c>
      <c r="C57" s="340">
        <v>3</v>
      </c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340">
        <f t="shared" si="7"/>
        <v>3</v>
      </c>
      <c r="P57" s="340">
        <f t="shared" si="1"/>
        <v>11</v>
      </c>
      <c r="Q57" s="7">
        <v>7</v>
      </c>
      <c r="R57" s="68"/>
      <c r="S57" s="335">
        <v>46266</v>
      </c>
      <c r="T57" s="318">
        <v>8</v>
      </c>
      <c r="U57" s="318"/>
      <c r="V57" s="199">
        <v>45597</v>
      </c>
      <c r="W57" s="309">
        <v>1</v>
      </c>
      <c r="X57" s="122">
        <v>2</v>
      </c>
      <c r="Y57" s="309">
        <v>2</v>
      </c>
      <c r="Z57" s="429">
        <v>2</v>
      </c>
      <c r="AA57" s="184">
        <f t="shared" si="8"/>
        <v>7</v>
      </c>
      <c r="AB57" s="185">
        <f t="shared" si="9"/>
        <v>1.75</v>
      </c>
      <c r="AC57" s="185">
        <f t="shared" si="10"/>
        <v>7</v>
      </c>
      <c r="AD57" s="185">
        <f t="shared" si="11"/>
        <v>14</v>
      </c>
    </row>
    <row r="58" spans="1:45" s="113" customFormat="1" ht="15" customHeight="1" x14ac:dyDescent="0.25">
      <c r="A58" s="314">
        <f t="shared" si="6"/>
        <v>57</v>
      </c>
      <c r="B58" s="314" t="s">
        <v>80</v>
      </c>
      <c r="C58" s="340">
        <v>6</v>
      </c>
      <c r="D58" s="359"/>
      <c r="E58" s="478"/>
      <c r="F58" s="359"/>
      <c r="G58" s="478"/>
      <c r="H58" s="359">
        <v>1</v>
      </c>
      <c r="I58" s="478"/>
      <c r="J58" s="359"/>
      <c r="K58" s="478"/>
      <c r="L58" s="359"/>
      <c r="M58" s="478"/>
      <c r="N58" s="561"/>
      <c r="O58" s="340">
        <f t="shared" si="7"/>
        <v>5</v>
      </c>
      <c r="P58" s="340">
        <f t="shared" si="1"/>
        <v>19</v>
      </c>
      <c r="Q58" s="7">
        <v>19</v>
      </c>
      <c r="R58" s="93"/>
      <c r="S58" s="344">
        <v>46508</v>
      </c>
      <c r="T58" s="318">
        <v>9</v>
      </c>
      <c r="U58" s="318">
        <v>11</v>
      </c>
      <c r="V58" s="344">
        <v>45717</v>
      </c>
      <c r="W58" s="309">
        <v>5</v>
      </c>
      <c r="X58" s="122">
        <v>4</v>
      </c>
      <c r="Y58" s="309">
        <v>2</v>
      </c>
      <c r="Z58" s="429">
        <v>1</v>
      </c>
      <c r="AA58" s="184">
        <f t="shared" si="8"/>
        <v>12</v>
      </c>
      <c r="AB58" s="185">
        <f t="shared" si="9"/>
        <v>3</v>
      </c>
      <c r="AC58" s="185">
        <f t="shared" si="10"/>
        <v>12</v>
      </c>
      <c r="AD58" s="185">
        <f t="shared" si="11"/>
        <v>24</v>
      </c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</row>
    <row r="59" spans="1:45" ht="16.5" customHeight="1" x14ac:dyDescent="0.25">
      <c r="A59" s="314">
        <f t="shared" si="6"/>
        <v>58</v>
      </c>
      <c r="B59" s="651" t="s">
        <v>1263</v>
      </c>
      <c r="C59" s="653">
        <v>66</v>
      </c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340">
        <f t="shared" si="7"/>
        <v>66</v>
      </c>
      <c r="P59" s="340">
        <f t="shared" si="1"/>
        <v>-18</v>
      </c>
      <c r="Q59" s="7">
        <v>4</v>
      </c>
      <c r="R59" s="106"/>
      <c r="S59" s="655">
        <v>45870</v>
      </c>
      <c r="T59" s="318">
        <v>0</v>
      </c>
      <c r="U59" s="318"/>
      <c r="V59" s="344">
        <v>45536</v>
      </c>
      <c r="W59" s="309">
        <v>10</v>
      </c>
      <c r="X59" s="309">
        <v>6</v>
      </c>
      <c r="Y59" s="309">
        <v>2</v>
      </c>
      <c r="Z59" s="429">
        <v>6</v>
      </c>
      <c r="AA59" s="184">
        <f t="shared" si="8"/>
        <v>24</v>
      </c>
      <c r="AB59" s="185">
        <f t="shared" si="9"/>
        <v>6</v>
      </c>
      <c r="AC59" s="185">
        <f t="shared" si="10"/>
        <v>24</v>
      </c>
      <c r="AD59" s="185">
        <f t="shared" si="11"/>
        <v>48</v>
      </c>
    </row>
    <row r="60" spans="1:45" ht="15" customHeight="1" x14ac:dyDescent="0.25">
      <c r="A60" s="314">
        <f t="shared" si="6"/>
        <v>59</v>
      </c>
      <c r="B60" s="3" t="s">
        <v>1384</v>
      </c>
      <c r="C60" s="340">
        <v>32</v>
      </c>
      <c r="D60" s="361">
        <v>2</v>
      </c>
      <c r="E60" s="482"/>
      <c r="F60" s="361"/>
      <c r="G60" s="482"/>
      <c r="H60" s="361"/>
      <c r="I60" s="482"/>
      <c r="J60" s="359"/>
      <c r="K60" s="482"/>
      <c r="L60" s="361"/>
      <c r="M60" s="482"/>
      <c r="N60" s="563"/>
      <c r="O60" s="340">
        <f t="shared" si="7"/>
        <v>30</v>
      </c>
      <c r="P60" s="340">
        <f t="shared" si="1"/>
        <v>18</v>
      </c>
      <c r="Q60" s="7">
        <v>4.5</v>
      </c>
      <c r="R60" s="69"/>
      <c r="S60" s="199">
        <v>46113</v>
      </c>
      <c r="T60" s="309">
        <v>1</v>
      </c>
      <c r="U60" s="309"/>
      <c r="V60" s="199">
        <v>45627</v>
      </c>
      <c r="W60" s="107">
        <v>16</v>
      </c>
      <c r="X60" s="309">
        <v>4</v>
      </c>
      <c r="Y60" s="309">
        <v>2</v>
      </c>
      <c r="Z60" s="309">
        <v>2</v>
      </c>
      <c r="AA60" s="184">
        <f t="shared" si="8"/>
        <v>24</v>
      </c>
      <c r="AB60" s="185">
        <f t="shared" si="9"/>
        <v>6</v>
      </c>
      <c r="AC60" s="185">
        <f t="shared" si="10"/>
        <v>24</v>
      </c>
      <c r="AD60" s="185">
        <f t="shared" si="11"/>
        <v>48</v>
      </c>
    </row>
    <row r="61" spans="1:45" s="113" customFormat="1" ht="15" customHeight="1" x14ac:dyDescent="0.25">
      <c r="A61" s="314">
        <f t="shared" si="6"/>
        <v>60</v>
      </c>
      <c r="B61" s="314" t="s">
        <v>891</v>
      </c>
      <c r="C61" s="340">
        <v>16</v>
      </c>
      <c r="D61" s="359">
        <v>1</v>
      </c>
      <c r="E61" s="478">
        <v>1</v>
      </c>
      <c r="F61" s="359"/>
      <c r="G61" s="478"/>
      <c r="H61" s="359"/>
      <c r="I61" s="478"/>
      <c r="J61" s="359"/>
      <c r="K61" s="478"/>
      <c r="L61" s="359"/>
      <c r="M61" s="478"/>
      <c r="N61" s="561"/>
      <c r="O61" s="340">
        <f t="shared" si="7"/>
        <v>14</v>
      </c>
      <c r="P61" s="340">
        <f t="shared" si="1"/>
        <v>0</v>
      </c>
      <c r="Q61" s="7">
        <v>8</v>
      </c>
      <c r="R61" s="69"/>
      <c r="S61" s="335">
        <v>46296</v>
      </c>
      <c r="T61" s="318">
        <v>1</v>
      </c>
      <c r="U61" s="318">
        <v>1</v>
      </c>
      <c r="V61" s="199">
        <v>45717</v>
      </c>
      <c r="W61" s="309">
        <v>1</v>
      </c>
      <c r="X61" s="309">
        <v>2</v>
      </c>
      <c r="Y61" s="309">
        <v>2</v>
      </c>
      <c r="Z61" s="429">
        <v>2</v>
      </c>
      <c r="AA61" s="184">
        <f t="shared" si="8"/>
        <v>7</v>
      </c>
      <c r="AB61" s="185">
        <f t="shared" si="9"/>
        <v>1.75</v>
      </c>
      <c r="AC61" s="185">
        <f t="shared" si="10"/>
        <v>7</v>
      </c>
      <c r="AD61" s="185">
        <f t="shared" si="11"/>
        <v>14</v>
      </c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</row>
    <row r="62" spans="1:45" x14ac:dyDescent="0.25">
      <c r="A62" s="314">
        <f t="shared" si="6"/>
        <v>61</v>
      </c>
      <c r="B62" s="314" t="s">
        <v>187</v>
      </c>
      <c r="C62" s="340">
        <v>5</v>
      </c>
      <c r="D62" s="359"/>
      <c r="E62" s="478"/>
      <c r="F62" s="359"/>
      <c r="G62" s="478"/>
      <c r="H62" s="359"/>
      <c r="I62" s="478"/>
      <c r="J62" s="359"/>
      <c r="K62" s="478"/>
      <c r="L62" s="359"/>
      <c r="M62" s="478">
        <v>1</v>
      </c>
      <c r="N62" s="561"/>
      <c r="O62" s="340">
        <f t="shared" si="7"/>
        <v>4</v>
      </c>
      <c r="P62" s="340">
        <f t="shared" si="1"/>
        <v>12</v>
      </c>
      <c r="Q62" s="7">
        <v>15</v>
      </c>
      <c r="R62" s="68"/>
      <c r="S62" s="335">
        <v>46600</v>
      </c>
      <c r="T62" s="318">
        <v>2</v>
      </c>
      <c r="U62" s="318">
        <v>3</v>
      </c>
      <c r="V62" s="344">
        <v>45717</v>
      </c>
      <c r="W62" s="309">
        <v>3</v>
      </c>
      <c r="X62" s="309">
        <v>2</v>
      </c>
      <c r="Y62" s="309">
        <v>2</v>
      </c>
      <c r="Z62" s="429">
        <v>1</v>
      </c>
      <c r="AA62" s="184">
        <f t="shared" si="8"/>
        <v>8</v>
      </c>
      <c r="AB62" s="185">
        <f t="shared" si="9"/>
        <v>2</v>
      </c>
      <c r="AC62" s="185">
        <f t="shared" si="10"/>
        <v>8</v>
      </c>
      <c r="AD62" s="185">
        <f t="shared" si="11"/>
        <v>16</v>
      </c>
    </row>
    <row r="63" spans="1:45" ht="15" customHeight="1" x14ac:dyDescent="0.25">
      <c r="A63" s="314">
        <f t="shared" si="6"/>
        <v>62</v>
      </c>
      <c r="B63" s="314" t="s">
        <v>1265</v>
      </c>
      <c r="C63" s="340">
        <v>14</v>
      </c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340">
        <f t="shared" si="7"/>
        <v>14</v>
      </c>
      <c r="P63" s="340">
        <f t="shared" si="1"/>
        <v>2</v>
      </c>
      <c r="Q63" s="7">
        <v>13</v>
      </c>
      <c r="R63" s="68"/>
      <c r="S63" s="335">
        <v>46600</v>
      </c>
      <c r="T63" s="318">
        <v>0</v>
      </c>
      <c r="U63" s="318"/>
      <c r="V63" s="344">
        <v>45658</v>
      </c>
      <c r="W63" s="309">
        <v>1</v>
      </c>
      <c r="X63" s="309">
        <v>1</v>
      </c>
      <c r="Y63" s="309">
        <v>3</v>
      </c>
      <c r="Z63" s="429">
        <v>3</v>
      </c>
      <c r="AA63" s="184">
        <f t="shared" si="8"/>
        <v>8</v>
      </c>
      <c r="AB63" s="185">
        <f t="shared" si="9"/>
        <v>2</v>
      </c>
      <c r="AC63" s="185">
        <f t="shared" si="10"/>
        <v>8</v>
      </c>
      <c r="AD63" s="185">
        <f t="shared" si="11"/>
        <v>16</v>
      </c>
    </row>
    <row r="64" spans="1:45" s="113" customFormat="1" ht="13.5" customHeight="1" x14ac:dyDescent="0.25">
      <c r="A64" s="314">
        <f t="shared" si="6"/>
        <v>63</v>
      </c>
      <c r="B64" s="314" t="s">
        <v>1336</v>
      </c>
      <c r="C64" s="340">
        <v>2</v>
      </c>
      <c r="D64" s="361"/>
      <c r="E64" s="482"/>
      <c r="F64" s="361"/>
      <c r="G64" s="482"/>
      <c r="H64" s="361"/>
      <c r="I64" s="482"/>
      <c r="J64" s="359"/>
      <c r="K64" s="482"/>
      <c r="L64" s="361"/>
      <c r="M64" s="482"/>
      <c r="N64" s="563"/>
      <c r="O64" s="340">
        <f t="shared" si="7"/>
        <v>2</v>
      </c>
      <c r="P64" s="340">
        <f t="shared" si="1"/>
        <v>8</v>
      </c>
      <c r="Q64" s="7">
        <v>20</v>
      </c>
      <c r="R64" s="69"/>
      <c r="S64" s="199">
        <v>46023</v>
      </c>
      <c r="T64" s="309">
        <v>0</v>
      </c>
      <c r="U64" s="309"/>
      <c r="V64" s="199">
        <v>45292</v>
      </c>
      <c r="W64" s="107">
        <v>1</v>
      </c>
      <c r="X64" s="309">
        <v>1</v>
      </c>
      <c r="Y64" s="309">
        <v>2</v>
      </c>
      <c r="Z64" s="309">
        <v>1</v>
      </c>
      <c r="AA64" s="184">
        <f t="shared" si="8"/>
        <v>5</v>
      </c>
      <c r="AB64" s="185">
        <f t="shared" si="9"/>
        <v>1.25</v>
      </c>
      <c r="AC64" s="185">
        <f t="shared" si="10"/>
        <v>5</v>
      </c>
      <c r="AD64" s="185">
        <f t="shared" si="11"/>
        <v>10</v>
      </c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</row>
    <row r="65" spans="1:48" ht="15" customHeight="1" x14ac:dyDescent="0.25">
      <c r="A65" s="314">
        <f t="shared" si="6"/>
        <v>64</v>
      </c>
      <c r="B65" s="314" t="s">
        <v>1266</v>
      </c>
      <c r="C65" s="340">
        <v>1</v>
      </c>
      <c r="D65" s="361"/>
      <c r="E65" s="482"/>
      <c r="F65" s="361"/>
      <c r="G65" s="482"/>
      <c r="H65" s="361"/>
      <c r="I65" s="482"/>
      <c r="J65" s="359"/>
      <c r="K65" s="482"/>
      <c r="L65" s="361"/>
      <c r="M65" s="482"/>
      <c r="N65" s="563"/>
      <c r="O65" s="340">
        <f t="shared" si="7"/>
        <v>1</v>
      </c>
      <c r="P65" s="340">
        <f t="shared" si="1"/>
        <v>1</v>
      </c>
      <c r="Q65" s="44">
        <v>22</v>
      </c>
      <c r="R65" s="69"/>
      <c r="S65" s="199">
        <v>46631</v>
      </c>
      <c r="T65" s="309">
        <v>0</v>
      </c>
      <c r="U65" s="309"/>
      <c r="V65" s="199">
        <v>45323</v>
      </c>
      <c r="X65" s="309"/>
      <c r="Y65" s="309">
        <v>1</v>
      </c>
      <c r="AA65" s="184">
        <f t="shared" si="8"/>
        <v>1</v>
      </c>
      <c r="AB65" s="185">
        <f t="shared" si="9"/>
        <v>0.25</v>
      </c>
      <c r="AC65" s="185">
        <f t="shared" si="10"/>
        <v>1</v>
      </c>
      <c r="AD65" s="185">
        <f t="shared" si="11"/>
        <v>2</v>
      </c>
    </row>
    <row r="66" spans="1:48" ht="15.75" customHeight="1" x14ac:dyDescent="0.25">
      <c r="A66" s="314">
        <f t="shared" ref="A66:A129" si="12">A65+1</f>
        <v>65</v>
      </c>
      <c r="B66" s="588" t="s">
        <v>873</v>
      </c>
      <c r="C66" s="589">
        <v>1</v>
      </c>
      <c r="D66" s="361"/>
      <c r="E66" s="482"/>
      <c r="F66" s="361"/>
      <c r="G66" s="482"/>
      <c r="H66" s="361"/>
      <c r="I66" s="482"/>
      <c r="J66" s="369"/>
      <c r="K66" s="481"/>
      <c r="L66" s="361"/>
      <c r="M66" s="481"/>
      <c r="N66" s="563"/>
      <c r="O66" s="340">
        <f t="shared" ref="O66:O97" si="13">SUM(C66-D66-E66-F66-G66-H66-I66-J66-K66-L66-M66-N66)</f>
        <v>1</v>
      </c>
      <c r="P66" s="340">
        <f t="shared" ref="P66:P129" si="14">AD66-O66</f>
        <v>1</v>
      </c>
      <c r="Q66" s="44">
        <v>85</v>
      </c>
      <c r="R66" s="69"/>
      <c r="S66" s="593">
        <v>45748</v>
      </c>
      <c r="T66" s="309">
        <v>0</v>
      </c>
      <c r="U66" s="309"/>
      <c r="V66" s="199">
        <v>45444</v>
      </c>
      <c r="X66" s="309"/>
      <c r="Y66" s="309">
        <v>1</v>
      </c>
      <c r="AA66" s="184">
        <f t="shared" ref="AA66:AA97" si="15">W66+X66+Y66+Z66</f>
        <v>1</v>
      </c>
      <c r="AB66" s="185">
        <f t="shared" ref="AB66:AB97" si="16">AA66/4</f>
        <v>0.25</v>
      </c>
      <c r="AC66" s="185">
        <f t="shared" ref="AC66:AC97" si="17">AB66*4</f>
        <v>1</v>
      </c>
      <c r="AD66" s="185">
        <f t="shared" ref="AD66:AD97" si="18">AC66*2</f>
        <v>2</v>
      </c>
    </row>
    <row r="67" spans="1:48" s="113" customFormat="1" ht="15" customHeight="1" x14ac:dyDescent="0.25">
      <c r="A67" s="314">
        <f t="shared" si="12"/>
        <v>66</v>
      </c>
      <c r="B67" s="314" t="s">
        <v>1267</v>
      </c>
      <c r="C67" s="340">
        <v>11</v>
      </c>
      <c r="D67" s="359"/>
      <c r="E67" s="478"/>
      <c r="F67" s="359"/>
      <c r="G67" s="478"/>
      <c r="H67" s="359"/>
      <c r="I67" s="478"/>
      <c r="J67" s="361"/>
      <c r="K67" s="482"/>
      <c r="L67" s="359"/>
      <c r="M67" s="478"/>
      <c r="N67" s="561"/>
      <c r="O67" s="340">
        <f t="shared" si="13"/>
        <v>11</v>
      </c>
      <c r="P67" s="340">
        <f t="shared" si="14"/>
        <v>1</v>
      </c>
      <c r="Q67" s="7">
        <v>20</v>
      </c>
      <c r="R67" s="68" t="s">
        <v>835</v>
      </c>
      <c r="S67" s="434">
        <v>46631</v>
      </c>
      <c r="T67" s="318">
        <v>0</v>
      </c>
      <c r="U67" s="318"/>
      <c r="V67" s="199">
        <v>45689</v>
      </c>
      <c r="W67" s="309">
        <v>1</v>
      </c>
      <c r="X67" s="309">
        <v>2</v>
      </c>
      <c r="Y67" s="309">
        <v>2</v>
      </c>
      <c r="Z67" s="429">
        <v>1</v>
      </c>
      <c r="AA67" s="184">
        <f t="shared" si="15"/>
        <v>6</v>
      </c>
      <c r="AB67" s="185">
        <f t="shared" si="16"/>
        <v>1.5</v>
      </c>
      <c r="AC67" s="185">
        <f t="shared" si="17"/>
        <v>6</v>
      </c>
      <c r="AD67" s="185">
        <f t="shared" si="18"/>
        <v>12</v>
      </c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</row>
    <row r="68" spans="1:48" ht="15" customHeight="1" x14ac:dyDescent="0.25">
      <c r="A68" s="314">
        <f t="shared" si="12"/>
        <v>67</v>
      </c>
      <c r="B68" s="3" t="s">
        <v>1268</v>
      </c>
      <c r="C68" s="340">
        <v>10</v>
      </c>
      <c r="D68" s="361"/>
      <c r="E68" s="481"/>
      <c r="F68" s="361"/>
      <c r="G68" s="482"/>
      <c r="H68" s="361"/>
      <c r="I68" s="482">
        <v>1</v>
      </c>
      <c r="J68" s="369"/>
      <c r="K68" s="481"/>
      <c r="L68" s="361"/>
      <c r="M68" s="481"/>
      <c r="N68" s="563"/>
      <c r="O68" s="340">
        <f t="shared" si="13"/>
        <v>9</v>
      </c>
      <c r="P68" s="340">
        <f t="shared" si="14"/>
        <v>1</v>
      </c>
      <c r="Q68" s="44">
        <v>22</v>
      </c>
      <c r="R68" s="69"/>
      <c r="S68" s="199">
        <v>46419</v>
      </c>
      <c r="T68" s="309">
        <v>2</v>
      </c>
      <c r="U68" s="309"/>
      <c r="V68" s="199">
        <v>45627</v>
      </c>
      <c r="W68" s="107">
        <v>2</v>
      </c>
      <c r="X68" s="309">
        <v>1</v>
      </c>
      <c r="Y68" s="309">
        <v>1</v>
      </c>
      <c r="Z68" s="309">
        <v>1</v>
      </c>
      <c r="AA68" s="184">
        <f t="shared" si="15"/>
        <v>5</v>
      </c>
      <c r="AB68" s="185">
        <f t="shared" si="16"/>
        <v>1.25</v>
      </c>
      <c r="AC68" s="185">
        <f t="shared" si="17"/>
        <v>5</v>
      </c>
      <c r="AD68" s="185">
        <f t="shared" si="18"/>
        <v>10</v>
      </c>
    </row>
    <row r="69" spans="1:48" ht="15" customHeight="1" x14ac:dyDescent="0.25">
      <c r="A69" s="314">
        <f t="shared" si="12"/>
        <v>68</v>
      </c>
      <c r="B69" s="3" t="s">
        <v>897</v>
      </c>
      <c r="C69" s="340">
        <v>25</v>
      </c>
      <c r="D69" s="359"/>
      <c r="E69" s="478"/>
      <c r="F69" s="359"/>
      <c r="G69" s="478"/>
      <c r="H69" s="359"/>
      <c r="I69" s="478"/>
      <c r="J69" s="361"/>
      <c r="K69" s="482"/>
      <c r="L69" s="359"/>
      <c r="M69" s="478">
        <v>2</v>
      </c>
      <c r="N69" s="561"/>
      <c r="O69" s="340">
        <f t="shared" si="13"/>
        <v>23</v>
      </c>
      <c r="P69" s="340">
        <f t="shared" si="14"/>
        <v>25</v>
      </c>
      <c r="Q69" s="7">
        <v>8.3000000000000007</v>
      </c>
      <c r="R69" s="68"/>
      <c r="S69" s="335">
        <v>46266</v>
      </c>
      <c r="T69" s="318">
        <v>3</v>
      </c>
      <c r="U69" s="318"/>
      <c r="V69" s="199">
        <v>45627</v>
      </c>
      <c r="W69" s="309">
        <v>10</v>
      </c>
      <c r="X69" s="309">
        <v>2</v>
      </c>
      <c r="Y69" s="309">
        <v>10</v>
      </c>
      <c r="Z69" s="429">
        <v>2</v>
      </c>
      <c r="AA69" s="184">
        <f t="shared" si="15"/>
        <v>24</v>
      </c>
      <c r="AB69" s="185">
        <f t="shared" si="16"/>
        <v>6</v>
      </c>
      <c r="AC69" s="185">
        <f t="shared" si="17"/>
        <v>24</v>
      </c>
      <c r="AD69" s="185">
        <f t="shared" si="18"/>
        <v>48</v>
      </c>
      <c r="AE69" s="146"/>
    </row>
    <row r="70" spans="1:48" ht="16.5" customHeight="1" x14ac:dyDescent="0.25">
      <c r="A70" s="314">
        <f>A69+1</f>
        <v>69</v>
      </c>
      <c r="B70" s="3" t="s">
        <v>1321</v>
      </c>
      <c r="C70" s="340">
        <v>1</v>
      </c>
      <c r="D70" s="361"/>
      <c r="E70" s="481"/>
      <c r="F70" s="361"/>
      <c r="G70" s="482"/>
      <c r="H70" s="361"/>
      <c r="I70" s="482"/>
      <c r="J70" s="369"/>
      <c r="K70" s="481"/>
      <c r="L70" s="361"/>
      <c r="M70" s="481"/>
      <c r="N70" s="563"/>
      <c r="O70" s="340">
        <f t="shared" si="13"/>
        <v>1</v>
      </c>
      <c r="P70" s="340">
        <f t="shared" si="14"/>
        <v>3</v>
      </c>
      <c r="Q70" s="44">
        <v>32</v>
      </c>
      <c r="R70" s="69"/>
      <c r="S70" s="199">
        <v>46266</v>
      </c>
      <c r="T70" s="309">
        <v>2</v>
      </c>
      <c r="U70" s="309"/>
      <c r="V70" s="199">
        <v>45689</v>
      </c>
      <c r="X70" s="309"/>
      <c r="Y70" s="309">
        <v>1</v>
      </c>
      <c r="Z70" s="309">
        <v>1</v>
      </c>
      <c r="AA70" s="184">
        <f t="shared" si="15"/>
        <v>2</v>
      </c>
      <c r="AB70" s="185">
        <f t="shared" si="16"/>
        <v>0.5</v>
      </c>
      <c r="AC70" s="185">
        <f t="shared" si="17"/>
        <v>2</v>
      </c>
      <c r="AD70" s="185">
        <f t="shared" si="18"/>
        <v>4</v>
      </c>
      <c r="AE70" s="146"/>
    </row>
    <row r="71" spans="1:48" ht="15.75" customHeight="1" x14ac:dyDescent="0.25">
      <c r="A71" s="314">
        <f t="shared" si="12"/>
        <v>70</v>
      </c>
      <c r="B71" s="314" t="s">
        <v>1359</v>
      </c>
      <c r="C71" s="340">
        <v>5</v>
      </c>
      <c r="D71" s="359"/>
      <c r="E71" s="478"/>
      <c r="F71" s="359"/>
      <c r="G71" s="478"/>
      <c r="H71" s="359">
        <v>1</v>
      </c>
      <c r="I71" s="478"/>
      <c r="J71" s="359"/>
      <c r="K71" s="478"/>
      <c r="L71" s="359"/>
      <c r="M71" s="478"/>
      <c r="N71" s="561"/>
      <c r="O71" s="340">
        <f t="shared" si="13"/>
        <v>4</v>
      </c>
      <c r="P71" s="340">
        <f t="shared" si="14"/>
        <v>6</v>
      </c>
      <c r="Q71" s="7">
        <v>20</v>
      </c>
      <c r="R71" s="68"/>
      <c r="S71" s="335">
        <v>46600</v>
      </c>
      <c r="T71" s="318">
        <v>4</v>
      </c>
      <c r="U71" s="318">
        <v>4</v>
      </c>
      <c r="V71" s="199">
        <v>45717</v>
      </c>
      <c r="W71" s="309">
        <v>1</v>
      </c>
      <c r="X71" s="309">
        <v>2</v>
      </c>
      <c r="Y71" s="309">
        <v>1</v>
      </c>
      <c r="Z71" s="429">
        <v>1</v>
      </c>
      <c r="AA71" s="184">
        <f t="shared" si="15"/>
        <v>5</v>
      </c>
      <c r="AB71" s="185">
        <f t="shared" si="16"/>
        <v>1.25</v>
      </c>
      <c r="AC71" s="185">
        <f t="shared" si="17"/>
        <v>5</v>
      </c>
      <c r="AD71" s="185">
        <f t="shared" si="18"/>
        <v>10</v>
      </c>
      <c r="AE71" s="146"/>
    </row>
    <row r="72" spans="1:48" x14ac:dyDescent="0.25">
      <c r="A72" s="314">
        <f t="shared" si="12"/>
        <v>71</v>
      </c>
      <c r="B72" s="3" t="s">
        <v>757</v>
      </c>
      <c r="C72" s="340">
        <v>1</v>
      </c>
      <c r="D72" s="361"/>
      <c r="E72" s="482"/>
      <c r="F72" s="361"/>
      <c r="G72" s="482"/>
      <c r="H72" s="361"/>
      <c r="I72" s="482"/>
      <c r="J72" s="359"/>
      <c r="K72" s="482"/>
      <c r="L72" s="361"/>
      <c r="M72" s="482"/>
      <c r="N72" s="563"/>
      <c r="O72" s="340">
        <f t="shared" si="13"/>
        <v>1</v>
      </c>
      <c r="P72" s="340">
        <f t="shared" si="14"/>
        <v>3</v>
      </c>
      <c r="Q72" s="7">
        <v>94</v>
      </c>
      <c r="R72" s="69"/>
      <c r="S72" s="199">
        <v>45962</v>
      </c>
      <c r="T72" s="309">
        <v>0</v>
      </c>
      <c r="U72" s="309"/>
      <c r="V72" s="199">
        <v>45566</v>
      </c>
      <c r="W72" s="107">
        <v>1</v>
      </c>
      <c r="X72" s="309">
        <v>1</v>
      </c>
      <c r="AA72" s="184">
        <f t="shared" si="15"/>
        <v>2</v>
      </c>
      <c r="AB72" s="185">
        <f t="shared" si="16"/>
        <v>0.5</v>
      </c>
      <c r="AC72" s="185">
        <f t="shared" si="17"/>
        <v>2</v>
      </c>
      <c r="AD72" s="185">
        <f t="shared" si="18"/>
        <v>4</v>
      </c>
      <c r="AE72" s="146"/>
    </row>
    <row r="73" spans="1:48" x14ac:dyDescent="0.25">
      <c r="A73" s="314">
        <f t="shared" si="12"/>
        <v>72</v>
      </c>
      <c r="B73" s="314" t="s">
        <v>1270</v>
      </c>
      <c r="C73" s="340">
        <v>5</v>
      </c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340">
        <f t="shared" si="13"/>
        <v>5</v>
      </c>
      <c r="P73" s="340">
        <f t="shared" si="14"/>
        <v>5</v>
      </c>
      <c r="Q73" s="7">
        <v>6</v>
      </c>
      <c r="R73" s="68"/>
      <c r="S73" s="336">
        <v>46508</v>
      </c>
      <c r="T73" s="316">
        <v>0</v>
      </c>
      <c r="U73" s="321"/>
      <c r="V73" s="77">
        <v>45658</v>
      </c>
      <c r="W73" s="28">
        <v>1</v>
      </c>
      <c r="X73" s="28">
        <v>2</v>
      </c>
      <c r="Y73" s="28">
        <v>1</v>
      </c>
      <c r="Z73" s="429">
        <v>1</v>
      </c>
      <c r="AA73" s="184">
        <f t="shared" si="15"/>
        <v>5</v>
      </c>
      <c r="AB73" s="185">
        <f t="shared" si="16"/>
        <v>1.25</v>
      </c>
      <c r="AC73" s="185">
        <f t="shared" si="17"/>
        <v>5</v>
      </c>
      <c r="AD73" s="185">
        <f t="shared" si="18"/>
        <v>10</v>
      </c>
    </row>
    <row r="74" spans="1:48" ht="15" customHeight="1" x14ac:dyDescent="0.25">
      <c r="A74" s="314">
        <f t="shared" si="12"/>
        <v>73</v>
      </c>
      <c r="B74" s="314" t="s">
        <v>1100</v>
      </c>
      <c r="C74" s="340">
        <v>12</v>
      </c>
      <c r="D74" s="359"/>
      <c r="E74" s="478">
        <v>3</v>
      </c>
      <c r="F74" s="359"/>
      <c r="G74" s="478"/>
      <c r="H74" s="359"/>
      <c r="I74" s="478"/>
      <c r="J74" s="359"/>
      <c r="K74" s="478"/>
      <c r="L74" s="359"/>
      <c r="M74" s="478"/>
      <c r="N74" s="561"/>
      <c r="O74" s="340">
        <f t="shared" si="13"/>
        <v>9</v>
      </c>
      <c r="P74" s="340">
        <f t="shared" si="14"/>
        <v>21</v>
      </c>
      <c r="Q74" s="7">
        <v>15</v>
      </c>
      <c r="R74" s="68"/>
      <c r="S74" s="335">
        <v>46539</v>
      </c>
      <c r="T74" s="318">
        <v>4</v>
      </c>
      <c r="U74" s="318">
        <v>5</v>
      </c>
      <c r="V74" s="344">
        <v>45717</v>
      </c>
      <c r="W74" s="309">
        <v>3</v>
      </c>
      <c r="X74" s="309">
        <v>6</v>
      </c>
      <c r="Y74" s="309">
        <v>3</v>
      </c>
      <c r="Z74" s="429">
        <v>3</v>
      </c>
      <c r="AA74" s="184">
        <f t="shared" si="15"/>
        <v>15</v>
      </c>
      <c r="AB74" s="185">
        <f t="shared" si="16"/>
        <v>3.75</v>
      </c>
      <c r="AC74" s="185">
        <f t="shared" si="17"/>
        <v>15</v>
      </c>
      <c r="AD74" s="185">
        <f t="shared" si="18"/>
        <v>30</v>
      </c>
      <c r="AT74" s="97"/>
      <c r="AU74" s="97"/>
      <c r="AV74" s="97"/>
    </row>
    <row r="75" spans="1:48" s="113" customFormat="1" ht="15" customHeight="1" x14ac:dyDescent="0.25">
      <c r="A75" s="314">
        <f t="shared" si="12"/>
        <v>74</v>
      </c>
      <c r="B75" s="314" t="s">
        <v>898</v>
      </c>
      <c r="C75" s="340">
        <v>46</v>
      </c>
      <c r="D75" s="359"/>
      <c r="E75" s="478"/>
      <c r="F75" s="359"/>
      <c r="G75" s="478"/>
      <c r="H75" s="359"/>
      <c r="I75" s="478"/>
      <c r="J75" s="359"/>
      <c r="K75" s="478"/>
      <c r="L75" s="359"/>
      <c r="M75" s="478">
        <v>10</v>
      </c>
      <c r="N75" s="561"/>
      <c r="O75" s="340">
        <f t="shared" si="13"/>
        <v>36</v>
      </c>
      <c r="P75" s="340">
        <f t="shared" si="14"/>
        <v>94</v>
      </c>
      <c r="Q75" s="7">
        <v>3</v>
      </c>
      <c r="R75" s="68"/>
      <c r="S75" s="337">
        <v>46508</v>
      </c>
      <c r="T75" s="318">
        <v>10</v>
      </c>
      <c r="U75" s="318"/>
      <c r="V75" s="199">
        <v>45717</v>
      </c>
      <c r="W75" s="309">
        <v>18</v>
      </c>
      <c r="X75" s="309">
        <v>19</v>
      </c>
      <c r="Y75" s="309">
        <v>18</v>
      </c>
      <c r="Z75" s="429">
        <v>10</v>
      </c>
      <c r="AA75" s="184">
        <f t="shared" si="15"/>
        <v>65</v>
      </c>
      <c r="AB75" s="185">
        <f t="shared" si="16"/>
        <v>16.25</v>
      </c>
      <c r="AC75" s="185">
        <f t="shared" si="17"/>
        <v>65</v>
      </c>
      <c r="AD75" s="185">
        <f t="shared" si="18"/>
        <v>130</v>
      </c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</row>
    <row r="76" spans="1:48" ht="15" customHeight="1" x14ac:dyDescent="0.25">
      <c r="A76" s="314">
        <f t="shared" si="12"/>
        <v>75</v>
      </c>
      <c r="B76" s="314" t="s">
        <v>1271</v>
      </c>
      <c r="C76" s="340">
        <v>14</v>
      </c>
      <c r="D76" s="359"/>
      <c r="E76" s="478"/>
      <c r="F76" s="359"/>
      <c r="G76" s="478"/>
      <c r="H76" s="359"/>
      <c r="I76" s="478"/>
      <c r="J76" s="359"/>
      <c r="K76" s="478"/>
      <c r="L76" s="359"/>
      <c r="M76" s="478">
        <v>2</v>
      </c>
      <c r="N76" s="561"/>
      <c r="O76" s="340">
        <f t="shared" si="13"/>
        <v>12</v>
      </c>
      <c r="P76" s="340">
        <f t="shared" si="14"/>
        <v>2</v>
      </c>
      <c r="Q76" s="7">
        <v>12</v>
      </c>
      <c r="R76" s="68"/>
      <c r="S76" s="547">
        <v>46631</v>
      </c>
      <c r="T76" s="312">
        <v>0</v>
      </c>
      <c r="U76" s="312"/>
      <c r="V76" s="344">
        <v>45689</v>
      </c>
      <c r="W76" s="309">
        <v>1</v>
      </c>
      <c r="X76" s="309">
        <v>2</v>
      </c>
      <c r="Y76" s="309">
        <v>2</v>
      </c>
      <c r="Z76" s="429">
        <v>2</v>
      </c>
      <c r="AA76" s="184">
        <f t="shared" si="15"/>
        <v>7</v>
      </c>
      <c r="AB76" s="185">
        <f t="shared" si="16"/>
        <v>1.75</v>
      </c>
      <c r="AC76" s="185">
        <f t="shared" si="17"/>
        <v>7</v>
      </c>
      <c r="AD76" s="185">
        <f t="shared" si="18"/>
        <v>14</v>
      </c>
    </row>
    <row r="77" spans="1:48" ht="15" customHeight="1" x14ac:dyDescent="0.25">
      <c r="A77" s="314">
        <f t="shared" si="12"/>
        <v>76</v>
      </c>
      <c r="B77" s="314" t="s">
        <v>1272</v>
      </c>
      <c r="C77" s="341">
        <v>2</v>
      </c>
      <c r="D77" s="359"/>
      <c r="E77" s="478">
        <v>1</v>
      </c>
      <c r="F77" s="359"/>
      <c r="G77" s="478"/>
      <c r="H77" s="359"/>
      <c r="I77" s="478"/>
      <c r="J77" s="359"/>
      <c r="K77" s="478"/>
      <c r="L77" s="359"/>
      <c r="M77" s="478"/>
      <c r="N77" s="561"/>
      <c r="O77" s="340">
        <f t="shared" si="13"/>
        <v>1</v>
      </c>
      <c r="P77" s="340">
        <f t="shared" si="14"/>
        <v>7</v>
      </c>
      <c r="Q77" s="44">
        <v>24</v>
      </c>
      <c r="R77" s="68"/>
      <c r="S77" s="335">
        <v>46539</v>
      </c>
      <c r="T77" s="318">
        <v>2</v>
      </c>
      <c r="U77" s="318">
        <v>4</v>
      </c>
      <c r="V77" s="199">
        <v>45717</v>
      </c>
      <c r="W77" s="309">
        <v>1</v>
      </c>
      <c r="X77" s="309">
        <v>1</v>
      </c>
      <c r="Y77" s="309">
        <v>1</v>
      </c>
      <c r="Z77" s="429">
        <v>1</v>
      </c>
      <c r="AA77" s="184">
        <f t="shared" si="15"/>
        <v>4</v>
      </c>
      <c r="AB77" s="185">
        <f t="shared" si="16"/>
        <v>1</v>
      </c>
      <c r="AC77" s="185">
        <f t="shared" si="17"/>
        <v>4</v>
      </c>
      <c r="AD77" s="185">
        <f t="shared" si="18"/>
        <v>8</v>
      </c>
    </row>
    <row r="78" spans="1:48" x14ac:dyDescent="0.25">
      <c r="A78" s="314">
        <f t="shared" si="12"/>
        <v>77</v>
      </c>
      <c r="B78" s="314" t="s">
        <v>1273</v>
      </c>
      <c r="C78" s="340">
        <v>9</v>
      </c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340">
        <f t="shared" si="13"/>
        <v>9</v>
      </c>
      <c r="P78" s="340">
        <f t="shared" si="14"/>
        <v>23</v>
      </c>
      <c r="Q78" s="7">
        <v>12</v>
      </c>
      <c r="R78" s="68"/>
      <c r="S78" s="335">
        <v>46419</v>
      </c>
      <c r="T78" s="318">
        <v>3</v>
      </c>
      <c r="U78" s="318"/>
      <c r="V78" s="344">
        <v>45566</v>
      </c>
      <c r="W78" s="309">
        <v>6</v>
      </c>
      <c r="X78" s="309">
        <v>6</v>
      </c>
      <c r="Y78" s="309">
        <v>1</v>
      </c>
      <c r="Z78" s="429">
        <v>3</v>
      </c>
      <c r="AA78" s="184">
        <f t="shared" si="15"/>
        <v>16</v>
      </c>
      <c r="AB78" s="185">
        <f t="shared" si="16"/>
        <v>4</v>
      </c>
      <c r="AC78" s="185">
        <f t="shared" si="17"/>
        <v>16</v>
      </c>
      <c r="AD78" s="185">
        <f t="shared" si="18"/>
        <v>32</v>
      </c>
    </row>
    <row r="79" spans="1:48" x14ac:dyDescent="0.25">
      <c r="A79" s="314">
        <f t="shared" si="12"/>
        <v>78</v>
      </c>
      <c r="B79" s="314" t="s">
        <v>1274</v>
      </c>
      <c r="C79" s="340">
        <v>39</v>
      </c>
      <c r="D79" s="361"/>
      <c r="E79" s="482"/>
      <c r="F79" s="361"/>
      <c r="G79" s="482"/>
      <c r="H79" s="361"/>
      <c r="I79" s="482"/>
      <c r="J79" s="359"/>
      <c r="K79" s="478"/>
      <c r="L79" s="361"/>
      <c r="M79" s="482"/>
      <c r="N79" s="563"/>
      <c r="O79" s="340">
        <f t="shared" si="13"/>
        <v>39</v>
      </c>
      <c r="P79" s="340">
        <f t="shared" si="14"/>
        <v>41</v>
      </c>
      <c r="Q79" s="7">
        <v>2</v>
      </c>
      <c r="R79" s="68"/>
      <c r="S79" s="335">
        <v>46419</v>
      </c>
      <c r="T79" s="318">
        <v>1</v>
      </c>
      <c r="U79" s="318">
        <v>1</v>
      </c>
      <c r="V79" s="344">
        <v>45717</v>
      </c>
      <c r="W79" s="309">
        <v>10</v>
      </c>
      <c r="X79" s="309">
        <v>10</v>
      </c>
      <c r="Y79" s="309">
        <v>10</v>
      </c>
      <c r="Z79" s="429">
        <v>10</v>
      </c>
      <c r="AA79" s="184">
        <f t="shared" si="15"/>
        <v>40</v>
      </c>
      <c r="AB79" s="185">
        <f t="shared" si="16"/>
        <v>10</v>
      </c>
      <c r="AC79" s="185">
        <f t="shared" si="17"/>
        <v>40</v>
      </c>
      <c r="AD79" s="185">
        <f t="shared" si="18"/>
        <v>80</v>
      </c>
    </row>
    <row r="80" spans="1:48" ht="15" customHeight="1" x14ac:dyDescent="0.25">
      <c r="A80" s="314">
        <f t="shared" si="12"/>
        <v>79</v>
      </c>
      <c r="B80" s="314" t="s">
        <v>1275</v>
      </c>
      <c r="C80" s="340">
        <v>1</v>
      </c>
      <c r="D80" s="359"/>
      <c r="E80" s="478"/>
      <c r="F80" s="359"/>
      <c r="G80" s="478"/>
      <c r="H80" s="359"/>
      <c r="I80" s="478"/>
      <c r="J80" s="361"/>
      <c r="K80" s="482"/>
      <c r="L80" s="359"/>
      <c r="M80" s="478"/>
      <c r="N80" s="561"/>
      <c r="O80" s="340">
        <f t="shared" si="13"/>
        <v>1</v>
      </c>
      <c r="P80" s="340">
        <f t="shared" si="14"/>
        <v>7</v>
      </c>
      <c r="Q80" s="7">
        <v>35</v>
      </c>
      <c r="R80" s="68"/>
      <c r="S80" s="434">
        <v>45931</v>
      </c>
      <c r="T80" s="318">
        <v>1</v>
      </c>
      <c r="U80" s="318"/>
      <c r="V80" s="344">
        <v>45658</v>
      </c>
      <c r="W80" s="309">
        <v>1</v>
      </c>
      <c r="X80" s="309">
        <v>1</v>
      </c>
      <c r="Y80" s="309">
        <v>1</v>
      </c>
      <c r="Z80" s="429">
        <v>1</v>
      </c>
      <c r="AA80" s="184">
        <f t="shared" si="15"/>
        <v>4</v>
      </c>
      <c r="AB80" s="185">
        <f t="shared" si="16"/>
        <v>1</v>
      </c>
      <c r="AC80" s="185">
        <f t="shared" si="17"/>
        <v>4</v>
      </c>
      <c r="AD80" s="185">
        <f t="shared" si="18"/>
        <v>8</v>
      </c>
    </row>
    <row r="81" spans="1:30" ht="15" customHeight="1" x14ac:dyDescent="0.25">
      <c r="A81" s="314">
        <f t="shared" si="12"/>
        <v>80</v>
      </c>
      <c r="B81" s="3" t="s">
        <v>1276</v>
      </c>
      <c r="C81" s="340">
        <v>5</v>
      </c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340">
        <f t="shared" si="13"/>
        <v>5</v>
      </c>
      <c r="P81" s="340">
        <f t="shared" si="14"/>
        <v>9</v>
      </c>
      <c r="Q81" s="7">
        <v>19</v>
      </c>
      <c r="R81" s="68"/>
      <c r="S81" s="83">
        <v>46631</v>
      </c>
      <c r="T81" s="316">
        <v>2</v>
      </c>
      <c r="U81" s="313"/>
      <c r="V81" s="118">
        <v>45689</v>
      </c>
      <c r="W81" s="28">
        <v>2</v>
      </c>
      <c r="X81" s="28">
        <v>1</v>
      </c>
      <c r="Y81" s="28">
        <v>2</v>
      </c>
      <c r="Z81" s="429">
        <v>2</v>
      </c>
      <c r="AA81" s="184">
        <f t="shared" si="15"/>
        <v>7</v>
      </c>
      <c r="AB81" s="185">
        <f t="shared" si="16"/>
        <v>1.75</v>
      </c>
      <c r="AC81" s="185">
        <f t="shared" si="17"/>
        <v>7</v>
      </c>
      <c r="AD81" s="185">
        <f t="shared" si="18"/>
        <v>14</v>
      </c>
    </row>
    <row r="82" spans="1:30" ht="15" customHeight="1" x14ac:dyDescent="0.25">
      <c r="A82" s="314">
        <f t="shared" si="12"/>
        <v>81</v>
      </c>
      <c r="B82" s="314" t="s">
        <v>1277</v>
      </c>
      <c r="C82" s="340">
        <v>14</v>
      </c>
      <c r="D82" s="361"/>
      <c r="E82" s="482"/>
      <c r="F82" s="361"/>
      <c r="G82" s="482"/>
      <c r="H82" s="361"/>
      <c r="I82" s="482"/>
      <c r="J82" s="359"/>
      <c r="K82" s="482"/>
      <c r="L82" s="361"/>
      <c r="M82" s="482"/>
      <c r="N82" s="563"/>
      <c r="O82" s="340">
        <f t="shared" si="13"/>
        <v>14</v>
      </c>
      <c r="P82" s="340">
        <f t="shared" si="14"/>
        <v>16</v>
      </c>
      <c r="Q82" s="7">
        <v>9</v>
      </c>
      <c r="R82" s="69"/>
      <c r="S82" s="199">
        <v>46113</v>
      </c>
      <c r="T82" s="309">
        <v>1</v>
      </c>
      <c r="U82" s="309"/>
      <c r="V82" s="199">
        <v>45689</v>
      </c>
      <c r="W82" s="107">
        <v>2</v>
      </c>
      <c r="X82" s="122">
        <v>2</v>
      </c>
      <c r="Y82" s="309">
        <v>8</v>
      </c>
      <c r="Z82" s="309">
        <v>3</v>
      </c>
      <c r="AA82" s="184">
        <f t="shared" si="15"/>
        <v>15</v>
      </c>
      <c r="AB82" s="185">
        <f t="shared" si="16"/>
        <v>3.75</v>
      </c>
      <c r="AC82" s="185">
        <f t="shared" si="17"/>
        <v>15</v>
      </c>
      <c r="AD82" s="185">
        <f t="shared" si="18"/>
        <v>30</v>
      </c>
    </row>
    <row r="83" spans="1:30" ht="15" customHeight="1" x14ac:dyDescent="0.25">
      <c r="A83" s="314">
        <f t="shared" si="12"/>
        <v>82</v>
      </c>
      <c r="B83" s="314" t="s">
        <v>1278</v>
      </c>
      <c r="C83" s="340">
        <v>1</v>
      </c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340">
        <f t="shared" si="13"/>
        <v>1</v>
      </c>
      <c r="P83" s="340">
        <f t="shared" si="14"/>
        <v>7</v>
      </c>
      <c r="Q83" s="7">
        <v>75</v>
      </c>
      <c r="R83" s="68"/>
      <c r="S83" s="335">
        <v>46054</v>
      </c>
      <c r="T83" s="318">
        <v>2</v>
      </c>
      <c r="U83" s="120">
        <v>2</v>
      </c>
      <c r="V83" s="344">
        <v>45717</v>
      </c>
      <c r="W83" s="309">
        <v>1</v>
      </c>
      <c r="X83" s="122">
        <v>1</v>
      </c>
      <c r="Y83" s="309">
        <v>1</v>
      </c>
      <c r="Z83" s="429">
        <v>1</v>
      </c>
      <c r="AA83" s="184">
        <f t="shared" si="15"/>
        <v>4</v>
      </c>
      <c r="AB83" s="185">
        <f t="shared" si="16"/>
        <v>1</v>
      </c>
      <c r="AC83" s="185">
        <f t="shared" si="17"/>
        <v>4</v>
      </c>
      <c r="AD83" s="185">
        <f t="shared" si="18"/>
        <v>8</v>
      </c>
    </row>
    <row r="84" spans="1:30" ht="15" customHeight="1" x14ac:dyDescent="0.25">
      <c r="A84" s="314">
        <f t="shared" si="12"/>
        <v>83</v>
      </c>
      <c r="B84" s="314" t="s">
        <v>1279</v>
      </c>
      <c r="C84" s="340">
        <v>4</v>
      </c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340">
        <f t="shared" si="13"/>
        <v>4</v>
      </c>
      <c r="P84" s="340">
        <f t="shared" si="14"/>
        <v>26</v>
      </c>
      <c r="Q84" s="7">
        <v>13</v>
      </c>
      <c r="R84" s="68"/>
      <c r="S84" s="335">
        <v>46874</v>
      </c>
      <c r="T84" s="318">
        <v>17</v>
      </c>
      <c r="U84" s="120">
        <v>16</v>
      </c>
      <c r="V84" s="199">
        <v>45717</v>
      </c>
      <c r="W84" s="309">
        <v>5</v>
      </c>
      <c r="X84" s="122">
        <v>3</v>
      </c>
      <c r="Y84" s="309">
        <v>3</v>
      </c>
      <c r="Z84" s="429">
        <v>4</v>
      </c>
      <c r="AA84" s="184">
        <f t="shared" si="15"/>
        <v>15</v>
      </c>
      <c r="AB84" s="185">
        <f t="shared" si="16"/>
        <v>3.75</v>
      </c>
      <c r="AC84" s="185">
        <f t="shared" si="17"/>
        <v>15</v>
      </c>
      <c r="AD84" s="185">
        <f t="shared" si="18"/>
        <v>30</v>
      </c>
    </row>
    <row r="85" spans="1:30" x14ac:dyDescent="0.25">
      <c r="A85" s="314">
        <f t="shared" si="12"/>
        <v>84</v>
      </c>
      <c r="B85" s="314" t="s">
        <v>1280</v>
      </c>
      <c r="C85" s="340">
        <v>13</v>
      </c>
      <c r="D85" s="361">
        <v>1</v>
      </c>
      <c r="E85" s="482"/>
      <c r="F85" s="361"/>
      <c r="G85" s="482"/>
      <c r="H85" s="361"/>
      <c r="I85" s="482"/>
      <c r="J85" s="359"/>
      <c r="K85" s="478"/>
      <c r="L85" s="361"/>
      <c r="M85" s="482"/>
      <c r="N85" s="563"/>
      <c r="O85" s="340">
        <f t="shared" si="13"/>
        <v>12</v>
      </c>
      <c r="P85" s="340">
        <f t="shared" si="14"/>
        <v>4</v>
      </c>
      <c r="Q85" s="7">
        <v>5</v>
      </c>
      <c r="R85" s="69"/>
      <c r="S85" s="335">
        <v>46478</v>
      </c>
      <c r="T85" s="318">
        <v>0</v>
      </c>
      <c r="U85" s="120"/>
      <c r="V85" s="199">
        <v>45658</v>
      </c>
      <c r="W85" s="309">
        <v>2</v>
      </c>
      <c r="X85" s="122">
        <v>1</v>
      </c>
      <c r="Y85" s="309">
        <v>4</v>
      </c>
      <c r="Z85" s="429">
        <v>1</v>
      </c>
      <c r="AA85" s="184">
        <f t="shared" si="15"/>
        <v>8</v>
      </c>
      <c r="AB85" s="185">
        <f t="shared" si="16"/>
        <v>2</v>
      </c>
      <c r="AC85" s="185">
        <f t="shared" si="17"/>
        <v>8</v>
      </c>
      <c r="AD85" s="185">
        <f t="shared" si="18"/>
        <v>16</v>
      </c>
    </row>
    <row r="86" spans="1:30" ht="13.5" customHeight="1" x14ac:dyDescent="0.25">
      <c r="A86" s="314">
        <f t="shared" si="12"/>
        <v>85</v>
      </c>
      <c r="B86" s="314" t="s">
        <v>1281</v>
      </c>
      <c r="C86" s="340">
        <v>14</v>
      </c>
      <c r="D86" s="359"/>
      <c r="E86" s="478"/>
      <c r="F86" s="359"/>
      <c r="G86" s="478"/>
      <c r="H86" s="360"/>
      <c r="I86" s="480"/>
      <c r="J86" s="361">
        <v>1</v>
      </c>
      <c r="K86" s="482"/>
      <c r="L86" s="684"/>
      <c r="M86" s="480"/>
      <c r="N86" s="562"/>
      <c r="O86" s="340">
        <f t="shared" si="13"/>
        <v>13</v>
      </c>
      <c r="P86" s="340">
        <f t="shared" si="14"/>
        <v>1</v>
      </c>
      <c r="Q86" s="7">
        <v>4</v>
      </c>
      <c r="R86" s="68"/>
      <c r="S86" s="335">
        <v>46569</v>
      </c>
      <c r="T86" s="318">
        <v>0</v>
      </c>
      <c r="U86" s="318"/>
      <c r="V86" s="344">
        <v>45689</v>
      </c>
      <c r="W86" s="309">
        <v>2</v>
      </c>
      <c r="X86" s="309">
        <v>2</v>
      </c>
      <c r="Y86" s="309">
        <v>2</v>
      </c>
      <c r="Z86" s="429">
        <v>1</v>
      </c>
      <c r="AA86" s="184">
        <f t="shared" si="15"/>
        <v>7</v>
      </c>
      <c r="AB86" s="185">
        <f t="shared" si="16"/>
        <v>1.75</v>
      </c>
      <c r="AC86" s="185">
        <f t="shared" si="17"/>
        <v>7</v>
      </c>
      <c r="AD86" s="185">
        <f t="shared" si="18"/>
        <v>14</v>
      </c>
    </row>
    <row r="87" spans="1:30" ht="15" customHeight="1" x14ac:dyDescent="0.25">
      <c r="A87" s="314">
        <f t="shared" si="12"/>
        <v>86</v>
      </c>
      <c r="B87" s="3" t="s">
        <v>1282</v>
      </c>
      <c r="C87" s="340">
        <v>20</v>
      </c>
      <c r="D87" s="359"/>
      <c r="E87" s="478">
        <v>1</v>
      </c>
      <c r="F87" s="359"/>
      <c r="G87" s="478"/>
      <c r="H87" s="359"/>
      <c r="I87" s="478"/>
      <c r="J87" s="360">
        <v>1</v>
      </c>
      <c r="K87" s="478"/>
      <c r="L87" s="359"/>
      <c r="M87" s="478">
        <v>1</v>
      </c>
      <c r="N87" s="561"/>
      <c r="O87" s="340">
        <f t="shared" si="13"/>
        <v>17</v>
      </c>
      <c r="P87" s="340">
        <f t="shared" si="14"/>
        <v>39</v>
      </c>
      <c r="Q87" s="7">
        <v>5</v>
      </c>
      <c r="R87" s="68"/>
      <c r="S87" s="337">
        <v>46357</v>
      </c>
      <c r="T87" s="318">
        <v>3</v>
      </c>
      <c r="U87" s="120">
        <v>2</v>
      </c>
      <c r="V87" s="199">
        <v>45717</v>
      </c>
      <c r="W87" s="309">
        <v>10</v>
      </c>
      <c r="X87" s="122">
        <v>5</v>
      </c>
      <c r="Y87" s="309">
        <v>10</v>
      </c>
      <c r="Z87" s="429">
        <v>3</v>
      </c>
      <c r="AA87" s="184">
        <f t="shared" si="15"/>
        <v>28</v>
      </c>
      <c r="AB87" s="185">
        <f t="shared" si="16"/>
        <v>7</v>
      </c>
      <c r="AC87" s="185">
        <f t="shared" si="17"/>
        <v>28</v>
      </c>
      <c r="AD87" s="185">
        <f t="shared" si="18"/>
        <v>56</v>
      </c>
    </row>
    <row r="88" spans="1:30" ht="15" customHeight="1" x14ac:dyDescent="0.25">
      <c r="A88" s="314">
        <f t="shared" si="12"/>
        <v>87</v>
      </c>
      <c r="B88" s="314" t="s">
        <v>1283</v>
      </c>
      <c r="C88" s="340">
        <v>24</v>
      </c>
      <c r="D88" s="359"/>
      <c r="E88" s="478">
        <v>1</v>
      </c>
      <c r="F88" s="359"/>
      <c r="G88" s="478"/>
      <c r="H88" s="359">
        <v>1</v>
      </c>
      <c r="I88" s="478">
        <v>2</v>
      </c>
      <c r="J88" s="361"/>
      <c r="K88" s="482"/>
      <c r="L88" s="369"/>
      <c r="M88" s="478"/>
      <c r="N88" s="561"/>
      <c r="O88" s="340">
        <f t="shared" si="13"/>
        <v>20</v>
      </c>
      <c r="P88" s="340">
        <f t="shared" si="14"/>
        <v>34</v>
      </c>
      <c r="Q88" s="7">
        <v>7</v>
      </c>
      <c r="R88" s="68"/>
      <c r="S88" s="337">
        <v>46296</v>
      </c>
      <c r="T88" s="318">
        <v>5</v>
      </c>
      <c r="U88" s="120">
        <v>4</v>
      </c>
      <c r="V88" s="199">
        <v>45717</v>
      </c>
      <c r="W88" s="309">
        <v>7</v>
      </c>
      <c r="X88" s="122">
        <v>7</v>
      </c>
      <c r="Y88" s="309">
        <v>9</v>
      </c>
      <c r="Z88" s="429">
        <v>4</v>
      </c>
      <c r="AA88" s="184">
        <f t="shared" si="15"/>
        <v>27</v>
      </c>
      <c r="AB88" s="185">
        <f t="shared" si="16"/>
        <v>6.75</v>
      </c>
      <c r="AC88" s="185">
        <f t="shared" si="17"/>
        <v>27</v>
      </c>
      <c r="AD88" s="185">
        <f t="shared" si="18"/>
        <v>54</v>
      </c>
    </row>
    <row r="89" spans="1:30" ht="15" customHeight="1" x14ac:dyDescent="0.25">
      <c r="A89" s="314">
        <f t="shared" si="12"/>
        <v>88</v>
      </c>
      <c r="B89" s="314" t="s">
        <v>1285</v>
      </c>
      <c r="C89" s="340">
        <v>83</v>
      </c>
      <c r="D89" s="361"/>
      <c r="E89" s="482"/>
      <c r="F89" s="361"/>
      <c r="G89" s="482"/>
      <c r="H89" s="361"/>
      <c r="I89" s="482">
        <v>10</v>
      </c>
      <c r="J89" s="359"/>
      <c r="K89" s="478"/>
      <c r="L89" s="361"/>
      <c r="M89" s="482"/>
      <c r="N89" s="563"/>
      <c r="O89" s="340">
        <f t="shared" si="13"/>
        <v>73</v>
      </c>
      <c r="P89" s="340">
        <f t="shared" si="14"/>
        <v>7</v>
      </c>
      <c r="Q89" s="7">
        <v>1</v>
      </c>
      <c r="R89" s="68"/>
      <c r="S89" s="335">
        <v>46357</v>
      </c>
      <c r="T89" s="318">
        <v>1</v>
      </c>
      <c r="U89" s="120"/>
      <c r="V89" s="344">
        <v>45689</v>
      </c>
      <c r="W89" s="309">
        <v>10</v>
      </c>
      <c r="X89" s="122">
        <v>10</v>
      </c>
      <c r="Y89" s="309">
        <v>10</v>
      </c>
      <c r="Z89" s="429">
        <v>10</v>
      </c>
      <c r="AA89" s="184">
        <f t="shared" si="15"/>
        <v>40</v>
      </c>
      <c r="AB89" s="185">
        <f t="shared" si="16"/>
        <v>10</v>
      </c>
      <c r="AC89" s="185">
        <f t="shared" si="17"/>
        <v>40</v>
      </c>
      <c r="AD89" s="185">
        <f t="shared" si="18"/>
        <v>80</v>
      </c>
    </row>
    <row r="90" spans="1:30" x14ac:dyDescent="0.25">
      <c r="A90" s="314">
        <f t="shared" si="12"/>
        <v>89</v>
      </c>
      <c r="B90" s="314" t="s">
        <v>1284</v>
      </c>
      <c r="C90" s="340">
        <v>124</v>
      </c>
      <c r="D90" s="361"/>
      <c r="E90" s="482"/>
      <c r="F90" s="361"/>
      <c r="G90" s="482"/>
      <c r="H90" s="361"/>
      <c r="I90" s="482"/>
      <c r="J90" s="359"/>
      <c r="K90" s="478">
        <v>20</v>
      </c>
      <c r="L90" s="361">
        <v>10</v>
      </c>
      <c r="M90" s="482"/>
      <c r="N90" s="563"/>
      <c r="O90" s="340">
        <f t="shared" si="13"/>
        <v>94</v>
      </c>
      <c r="P90" s="340">
        <f t="shared" si="14"/>
        <v>22</v>
      </c>
      <c r="Q90" s="7">
        <v>1.4</v>
      </c>
      <c r="R90" s="68" t="s">
        <v>835</v>
      </c>
      <c r="S90" s="335">
        <v>46113</v>
      </c>
      <c r="T90" s="318">
        <v>0</v>
      </c>
      <c r="U90" s="120"/>
      <c r="V90" s="344">
        <v>45566</v>
      </c>
      <c r="W90" s="309">
        <v>15</v>
      </c>
      <c r="X90" s="122">
        <v>3</v>
      </c>
      <c r="Y90" s="309">
        <v>10</v>
      </c>
      <c r="Z90" s="429">
        <v>30</v>
      </c>
      <c r="AA90" s="184">
        <f t="shared" si="15"/>
        <v>58</v>
      </c>
      <c r="AB90" s="185">
        <f t="shared" si="16"/>
        <v>14.5</v>
      </c>
      <c r="AC90" s="185">
        <f t="shared" si="17"/>
        <v>58</v>
      </c>
      <c r="AD90" s="185">
        <f t="shared" si="18"/>
        <v>116</v>
      </c>
    </row>
    <row r="91" spans="1:30" ht="15.75" customHeight="1" x14ac:dyDescent="0.25">
      <c r="A91" s="314">
        <f t="shared" si="12"/>
        <v>90</v>
      </c>
      <c r="B91" s="314" t="s">
        <v>1286</v>
      </c>
      <c r="C91" s="340">
        <v>10</v>
      </c>
      <c r="D91" s="359">
        <v>1</v>
      </c>
      <c r="E91" s="478"/>
      <c r="F91" s="359"/>
      <c r="G91" s="478"/>
      <c r="H91" s="359"/>
      <c r="I91" s="478"/>
      <c r="J91" s="361"/>
      <c r="K91" s="482">
        <v>1</v>
      </c>
      <c r="L91" s="359">
        <v>1</v>
      </c>
      <c r="M91" s="478">
        <v>1</v>
      </c>
      <c r="N91" s="561"/>
      <c r="O91" s="340">
        <f t="shared" si="13"/>
        <v>6</v>
      </c>
      <c r="P91" s="340">
        <f t="shared" si="14"/>
        <v>16</v>
      </c>
      <c r="Q91" s="7">
        <v>20</v>
      </c>
      <c r="R91" s="68"/>
      <c r="S91" s="335">
        <v>46357</v>
      </c>
      <c r="T91" s="318">
        <v>3</v>
      </c>
      <c r="U91" s="318"/>
      <c r="V91" s="344">
        <v>45658</v>
      </c>
      <c r="W91" s="309">
        <v>1</v>
      </c>
      <c r="X91" s="309">
        <v>4</v>
      </c>
      <c r="Y91" s="309">
        <v>2</v>
      </c>
      <c r="Z91" s="429">
        <v>4</v>
      </c>
      <c r="AA91" s="184">
        <f t="shared" si="15"/>
        <v>11</v>
      </c>
      <c r="AB91" s="185">
        <f t="shared" si="16"/>
        <v>2.75</v>
      </c>
      <c r="AC91" s="185">
        <f t="shared" si="17"/>
        <v>11</v>
      </c>
      <c r="AD91" s="185">
        <f t="shared" si="18"/>
        <v>22</v>
      </c>
    </row>
    <row r="92" spans="1:30" ht="15.75" customHeight="1" x14ac:dyDescent="0.25">
      <c r="A92" s="314">
        <f t="shared" si="12"/>
        <v>91</v>
      </c>
      <c r="B92" s="314" t="s">
        <v>1287</v>
      </c>
      <c r="C92" s="340">
        <v>4</v>
      </c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340">
        <f t="shared" si="13"/>
        <v>4</v>
      </c>
      <c r="P92" s="340">
        <f t="shared" si="14"/>
        <v>4</v>
      </c>
      <c r="Q92" s="7">
        <v>61</v>
      </c>
      <c r="R92" s="68"/>
      <c r="S92" s="335">
        <v>46143</v>
      </c>
      <c r="T92" s="318">
        <v>0</v>
      </c>
      <c r="U92" s="318"/>
      <c r="V92" s="344">
        <v>45689</v>
      </c>
      <c r="W92" s="309">
        <v>1</v>
      </c>
      <c r="X92" s="309">
        <v>1</v>
      </c>
      <c r="Y92" s="309">
        <v>1</v>
      </c>
      <c r="Z92" s="429">
        <v>1</v>
      </c>
      <c r="AA92" s="184">
        <f t="shared" si="15"/>
        <v>4</v>
      </c>
      <c r="AB92" s="185">
        <f t="shared" si="16"/>
        <v>1</v>
      </c>
      <c r="AC92" s="185">
        <f t="shared" si="17"/>
        <v>4</v>
      </c>
      <c r="AD92" s="185">
        <f t="shared" si="18"/>
        <v>8</v>
      </c>
    </row>
    <row r="93" spans="1:30" ht="14.25" customHeight="1" x14ac:dyDescent="0.25">
      <c r="A93" s="314">
        <f t="shared" si="12"/>
        <v>92</v>
      </c>
      <c r="B93" s="314" t="s">
        <v>1288</v>
      </c>
      <c r="C93" s="340">
        <v>3</v>
      </c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340">
        <f t="shared" si="13"/>
        <v>3</v>
      </c>
      <c r="P93" s="340">
        <f t="shared" si="14"/>
        <v>9</v>
      </c>
      <c r="Q93" s="7">
        <v>39.6</v>
      </c>
      <c r="R93" s="68"/>
      <c r="S93" s="335">
        <v>46388</v>
      </c>
      <c r="T93" s="318">
        <v>0</v>
      </c>
      <c r="U93" s="318">
        <v>1</v>
      </c>
      <c r="V93" s="199">
        <v>45717</v>
      </c>
      <c r="W93" s="309">
        <v>3</v>
      </c>
      <c r="X93" s="309">
        <v>1</v>
      </c>
      <c r="Y93" s="309">
        <v>1</v>
      </c>
      <c r="Z93" s="429">
        <v>1</v>
      </c>
      <c r="AA93" s="184">
        <f t="shared" si="15"/>
        <v>6</v>
      </c>
      <c r="AB93" s="185">
        <f t="shared" si="16"/>
        <v>1.5</v>
      </c>
      <c r="AC93" s="185">
        <f t="shared" si="17"/>
        <v>6</v>
      </c>
      <c r="AD93" s="185">
        <f t="shared" si="18"/>
        <v>12</v>
      </c>
    </row>
    <row r="94" spans="1:30" ht="15" customHeight="1" x14ac:dyDescent="0.25">
      <c r="A94" s="314">
        <f t="shared" si="12"/>
        <v>93</v>
      </c>
      <c r="B94" s="314" t="s">
        <v>1289</v>
      </c>
      <c r="C94" s="340">
        <v>6</v>
      </c>
      <c r="D94" s="359"/>
      <c r="E94" s="478"/>
      <c r="F94" s="359">
        <v>3</v>
      </c>
      <c r="G94" s="478"/>
      <c r="H94" s="359"/>
      <c r="I94" s="478"/>
      <c r="J94" s="359"/>
      <c r="K94" s="478"/>
      <c r="L94" s="359"/>
      <c r="M94" s="478"/>
      <c r="N94" s="561"/>
      <c r="O94" s="340">
        <f t="shared" si="13"/>
        <v>3</v>
      </c>
      <c r="P94" s="340">
        <f t="shared" si="14"/>
        <v>13</v>
      </c>
      <c r="Q94" s="7">
        <v>42</v>
      </c>
      <c r="R94" s="68"/>
      <c r="S94" s="335">
        <v>46388</v>
      </c>
      <c r="T94" s="318">
        <v>0</v>
      </c>
      <c r="U94" s="120">
        <v>1</v>
      </c>
      <c r="V94" s="199">
        <v>45717</v>
      </c>
      <c r="W94" s="309">
        <v>1</v>
      </c>
      <c r="X94" s="122">
        <v>1</v>
      </c>
      <c r="Y94" s="309">
        <v>3</v>
      </c>
      <c r="Z94" s="429">
        <v>3</v>
      </c>
      <c r="AA94" s="184">
        <f t="shared" si="15"/>
        <v>8</v>
      </c>
      <c r="AB94" s="185">
        <f t="shared" si="16"/>
        <v>2</v>
      </c>
      <c r="AC94" s="185">
        <f t="shared" si="17"/>
        <v>8</v>
      </c>
      <c r="AD94" s="185">
        <f t="shared" si="18"/>
        <v>16</v>
      </c>
    </row>
    <row r="95" spans="1:30" ht="15" customHeight="1" x14ac:dyDescent="0.25">
      <c r="A95" s="314">
        <f t="shared" si="12"/>
        <v>94</v>
      </c>
      <c r="B95" s="314" t="s">
        <v>1290</v>
      </c>
      <c r="C95" s="340">
        <v>0</v>
      </c>
      <c r="D95" s="361"/>
      <c r="E95" s="482"/>
      <c r="F95" s="361"/>
      <c r="G95" s="482"/>
      <c r="H95" s="361"/>
      <c r="I95" s="482"/>
      <c r="J95" s="359"/>
      <c r="K95" s="478"/>
      <c r="L95" s="361"/>
      <c r="M95" s="482"/>
      <c r="N95" s="563"/>
      <c r="O95" s="340">
        <f t="shared" si="13"/>
        <v>0</v>
      </c>
      <c r="P95" s="340">
        <f t="shared" si="14"/>
        <v>12</v>
      </c>
      <c r="Q95" s="7">
        <v>1.5</v>
      </c>
      <c r="R95" s="68"/>
      <c r="S95" s="434"/>
      <c r="T95" s="318"/>
      <c r="U95" s="318"/>
      <c r="V95" s="344"/>
      <c r="W95" s="309"/>
      <c r="Z95" s="429">
        <v>6</v>
      </c>
      <c r="AA95" s="184">
        <f t="shared" si="15"/>
        <v>6</v>
      </c>
      <c r="AB95" s="185">
        <f t="shared" si="16"/>
        <v>1.5</v>
      </c>
      <c r="AC95" s="185">
        <f t="shared" si="17"/>
        <v>6</v>
      </c>
      <c r="AD95" s="185">
        <f t="shared" si="18"/>
        <v>12</v>
      </c>
    </row>
    <row r="96" spans="1:30" ht="15" customHeight="1" x14ac:dyDescent="0.25">
      <c r="A96" s="314">
        <f t="shared" si="12"/>
        <v>95</v>
      </c>
      <c r="B96" s="314" t="s">
        <v>1291</v>
      </c>
      <c r="C96" s="340">
        <v>67</v>
      </c>
      <c r="D96" s="359"/>
      <c r="E96" s="478"/>
      <c r="F96" s="359"/>
      <c r="G96" s="478"/>
      <c r="H96" s="359"/>
      <c r="I96" s="478"/>
      <c r="J96" s="361"/>
      <c r="K96" s="482"/>
      <c r="L96" s="359"/>
      <c r="M96" s="478"/>
      <c r="N96" s="561"/>
      <c r="O96" s="340">
        <f t="shared" si="13"/>
        <v>67</v>
      </c>
      <c r="P96" s="340">
        <f t="shared" si="14"/>
        <v>5</v>
      </c>
      <c r="Q96" s="7">
        <v>1.5</v>
      </c>
      <c r="R96" s="68"/>
      <c r="S96" s="335">
        <v>47270</v>
      </c>
      <c r="T96" s="318">
        <v>0</v>
      </c>
      <c r="U96" s="318"/>
      <c r="V96" s="199">
        <v>45658</v>
      </c>
      <c r="W96" s="309">
        <v>19</v>
      </c>
      <c r="X96" s="122">
        <v>8</v>
      </c>
      <c r="Y96" s="309">
        <v>5</v>
      </c>
      <c r="Z96" s="429">
        <v>4</v>
      </c>
      <c r="AA96" s="184">
        <f t="shared" si="15"/>
        <v>36</v>
      </c>
      <c r="AB96" s="185">
        <f t="shared" si="16"/>
        <v>9</v>
      </c>
      <c r="AC96" s="185">
        <f t="shared" si="17"/>
        <v>36</v>
      </c>
      <c r="AD96" s="185">
        <f t="shared" si="18"/>
        <v>72</v>
      </c>
    </row>
    <row r="97" spans="1:48" ht="15" customHeight="1" x14ac:dyDescent="0.25">
      <c r="A97" s="314">
        <f t="shared" si="12"/>
        <v>96</v>
      </c>
      <c r="B97" s="588" t="s">
        <v>899</v>
      </c>
      <c r="C97" s="589">
        <v>66</v>
      </c>
      <c r="D97" s="361"/>
      <c r="E97" s="482"/>
      <c r="F97" s="361"/>
      <c r="G97" s="482"/>
      <c r="H97" s="361"/>
      <c r="I97" s="482"/>
      <c r="J97" s="359"/>
      <c r="K97" s="478"/>
      <c r="L97" s="361"/>
      <c r="M97" s="482"/>
      <c r="N97" s="563"/>
      <c r="O97" s="340">
        <f t="shared" si="13"/>
        <v>66</v>
      </c>
      <c r="P97" s="340">
        <f t="shared" si="14"/>
        <v>-46</v>
      </c>
      <c r="Q97" s="7">
        <v>1</v>
      </c>
      <c r="R97" s="68"/>
      <c r="S97" s="434"/>
      <c r="T97" s="318">
        <v>0</v>
      </c>
      <c r="U97" s="318"/>
      <c r="V97" s="330">
        <v>44197</v>
      </c>
      <c r="W97" s="309">
        <v>1</v>
      </c>
      <c r="X97" s="309">
        <v>6</v>
      </c>
      <c r="Y97" s="309">
        <v>1</v>
      </c>
      <c r="Z97" s="429">
        <v>2</v>
      </c>
      <c r="AA97" s="184">
        <f t="shared" si="15"/>
        <v>10</v>
      </c>
      <c r="AB97" s="185">
        <f t="shared" si="16"/>
        <v>2.5</v>
      </c>
      <c r="AC97" s="185">
        <f t="shared" si="17"/>
        <v>10</v>
      </c>
      <c r="AD97" s="185">
        <f t="shared" si="18"/>
        <v>20</v>
      </c>
    </row>
    <row r="98" spans="1:48" ht="15" customHeight="1" x14ac:dyDescent="0.25">
      <c r="A98" s="314">
        <f t="shared" si="12"/>
        <v>97</v>
      </c>
      <c r="B98" s="314" t="s">
        <v>1308</v>
      </c>
      <c r="C98" s="340">
        <v>55</v>
      </c>
      <c r="D98" s="361"/>
      <c r="E98" s="482"/>
      <c r="F98" s="361">
        <v>1</v>
      </c>
      <c r="G98" s="482"/>
      <c r="H98" s="361"/>
      <c r="I98" s="482"/>
      <c r="J98" s="361"/>
      <c r="K98" s="482"/>
      <c r="L98" s="361"/>
      <c r="M98" s="482">
        <v>2</v>
      </c>
      <c r="N98" s="563"/>
      <c r="O98" s="340">
        <f t="shared" ref="O98:O129" si="19">SUM(C98-D98-E98-F98-G98-H98-I98-J98-K98-L98-M98-N98)</f>
        <v>52</v>
      </c>
      <c r="P98" s="340">
        <f t="shared" si="14"/>
        <v>-8</v>
      </c>
      <c r="Q98" s="7">
        <v>1</v>
      </c>
      <c r="R98" s="68" t="s">
        <v>87</v>
      </c>
      <c r="S98" s="337">
        <v>46997</v>
      </c>
      <c r="T98" s="318">
        <v>0</v>
      </c>
      <c r="U98" s="318"/>
      <c r="V98" s="344">
        <v>45658</v>
      </c>
      <c r="W98" s="309">
        <v>12</v>
      </c>
      <c r="X98" s="309">
        <v>6</v>
      </c>
      <c r="Y98" s="309">
        <v>1</v>
      </c>
      <c r="Z98" s="429">
        <v>3</v>
      </c>
      <c r="AA98" s="184">
        <f t="shared" ref="AA98:AA129" si="20">W98+X98+Y98+Z98</f>
        <v>22</v>
      </c>
      <c r="AB98" s="185">
        <f t="shared" ref="AB98:AB129" si="21">AA98/4</f>
        <v>5.5</v>
      </c>
      <c r="AC98" s="185">
        <f t="shared" ref="AC98:AC129" si="22">AB98*4</f>
        <v>22</v>
      </c>
      <c r="AD98" s="185">
        <f t="shared" ref="AD98:AD129" si="23">AC98*2</f>
        <v>44</v>
      </c>
    </row>
    <row r="99" spans="1:48" s="113" customFormat="1" x14ac:dyDescent="0.25">
      <c r="A99" s="314">
        <f t="shared" si="12"/>
        <v>98</v>
      </c>
      <c r="B99" s="314" t="s">
        <v>900</v>
      </c>
      <c r="C99" s="340">
        <v>116</v>
      </c>
      <c r="D99" s="359"/>
      <c r="E99" s="478"/>
      <c r="F99" s="359"/>
      <c r="G99" s="478"/>
      <c r="H99" s="359"/>
      <c r="I99" s="478"/>
      <c r="J99" s="361"/>
      <c r="K99" s="482"/>
      <c r="L99" s="359"/>
      <c r="M99" s="478"/>
      <c r="N99" s="561"/>
      <c r="O99" s="340">
        <f t="shared" si="19"/>
        <v>116</v>
      </c>
      <c r="P99" s="340">
        <f t="shared" si="14"/>
        <v>-100</v>
      </c>
      <c r="Q99" s="7">
        <v>1</v>
      </c>
      <c r="R99" s="68"/>
      <c r="S99" s="335">
        <v>47331</v>
      </c>
      <c r="T99" s="318">
        <v>0</v>
      </c>
      <c r="U99" s="318"/>
      <c r="V99" s="344">
        <v>45597</v>
      </c>
      <c r="W99" s="309">
        <v>1</v>
      </c>
      <c r="X99" s="122">
        <v>3</v>
      </c>
      <c r="Y99" s="309">
        <v>3</v>
      </c>
      <c r="Z99" s="429">
        <v>1</v>
      </c>
      <c r="AA99" s="184">
        <f t="shared" si="20"/>
        <v>8</v>
      </c>
      <c r="AB99" s="185">
        <f t="shared" si="21"/>
        <v>2</v>
      </c>
      <c r="AC99" s="185">
        <f t="shared" si="22"/>
        <v>8</v>
      </c>
      <c r="AD99" s="185">
        <f t="shared" si="23"/>
        <v>16</v>
      </c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</row>
    <row r="100" spans="1:48" ht="15" customHeight="1" x14ac:dyDescent="0.25">
      <c r="A100" s="314">
        <f t="shared" si="12"/>
        <v>99</v>
      </c>
      <c r="B100" s="314" t="s">
        <v>901</v>
      </c>
      <c r="C100" s="340">
        <v>87</v>
      </c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340">
        <f t="shared" si="19"/>
        <v>87</v>
      </c>
      <c r="P100" s="340">
        <f t="shared" si="14"/>
        <v>-45</v>
      </c>
      <c r="Q100" s="7">
        <v>1</v>
      </c>
      <c r="R100" s="68"/>
      <c r="S100" s="335">
        <v>46966</v>
      </c>
      <c r="T100" s="318">
        <v>1</v>
      </c>
      <c r="U100" s="318"/>
      <c r="V100" s="344">
        <v>45597</v>
      </c>
      <c r="W100" s="309">
        <v>5</v>
      </c>
      <c r="X100" s="122">
        <v>5</v>
      </c>
      <c r="Y100" s="309">
        <v>9</v>
      </c>
      <c r="Z100" s="429">
        <v>2</v>
      </c>
      <c r="AA100" s="184">
        <f t="shared" si="20"/>
        <v>21</v>
      </c>
      <c r="AB100" s="185">
        <f t="shared" si="21"/>
        <v>5.25</v>
      </c>
      <c r="AC100" s="185">
        <f t="shared" si="22"/>
        <v>21</v>
      </c>
      <c r="AD100" s="185">
        <f t="shared" si="23"/>
        <v>42</v>
      </c>
    </row>
    <row r="101" spans="1:48" x14ac:dyDescent="0.25">
      <c r="A101" s="314">
        <f t="shared" si="12"/>
        <v>100</v>
      </c>
      <c r="B101" s="314" t="s">
        <v>1293</v>
      </c>
      <c r="C101" s="415">
        <v>123</v>
      </c>
      <c r="D101" s="359"/>
      <c r="E101" s="478">
        <v>4</v>
      </c>
      <c r="F101" s="359">
        <v>5</v>
      </c>
      <c r="G101" s="478">
        <v>1</v>
      </c>
      <c r="H101" s="359">
        <v>1</v>
      </c>
      <c r="I101" s="478">
        <v>1</v>
      </c>
      <c r="J101" s="359"/>
      <c r="K101" s="478">
        <v>2</v>
      </c>
      <c r="L101" s="359">
        <v>1</v>
      </c>
      <c r="M101" s="478">
        <v>3</v>
      </c>
      <c r="N101" s="561"/>
      <c r="O101" s="340">
        <f t="shared" si="19"/>
        <v>105</v>
      </c>
      <c r="P101" s="340">
        <f t="shared" si="14"/>
        <v>67</v>
      </c>
      <c r="Q101" s="7">
        <v>1</v>
      </c>
      <c r="R101" s="63" t="s">
        <v>87</v>
      </c>
      <c r="S101" s="118">
        <v>46266</v>
      </c>
      <c r="T101" s="316">
        <v>3</v>
      </c>
      <c r="U101" s="316">
        <v>1</v>
      </c>
      <c r="V101" s="344">
        <v>45717</v>
      </c>
      <c r="W101" s="309">
        <v>21</v>
      </c>
      <c r="X101" s="122">
        <v>35</v>
      </c>
      <c r="Y101" s="309">
        <v>12</v>
      </c>
      <c r="Z101" s="309">
        <v>18</v>
      </c>
      <c r="AA101" s="184">
        <f t="shared" si="20"/>
        <v>86</v>
      </c>
      <c r="AB101" s="185">
        <f t="shared" si="21"/>
        <v>21.5</v>
      </c>
      <c r="AC101" s="185">
        <f t="shared" si="22"/>
        <v>86</v>
      </c>
      <c r="AD101" s="185">
        <f t="shared" si="23"/>
        <v>172</v>
      </c>
    </row>
    <row r="102" spans="1:48" s="113" customFormat="1" x14ac:dyDescent="0.25">
      <c r="A102" s="314">
        <f t="shared" si="12"/>
        <v>101</v>
      </c>
      <c r="B102" s="314" t="s">
        <v>298</v>
      </c>
      <c r="C102" s="340">
        <v>2</v>
      </c>
      <c r="D102" s="359"/>
      <c r="E102" s="478"/>
      <c r="F102" s="359"/>
      <c r="G102" s="478"/>
      <c r="H102" s="359"/>
      <c r="I102" s="478">
        <v>1</v>
      </c>
      <c r="J102" s="361"/>
      <c r="K102" s="482"/>
      <c r="L102" s="359"/>
      <c r="M102" s="478"/>
      <c r="N102" s="561"/>
      <c r="O102" s="340">
        <f t="shared" si="19"/>
        <v>1</v>
      </c>
      <c r="P102" s="340">
        <f t="shared" si="14"/>
        <v>7</v>
      </c>
      <c r="Q102" s="7">
        <v>10</v>
      </c>
      <c r="R102" s="68"/>
      <c r="S102" s="335">
        <v>46296</v>
      </c>
      <c r="T102" s="318">
        <v>1</v>
      </c>
      <c r="U102" s="318"/>
      <c r="V102" s="199">
        <v>45689</v>
      </c>
      <c r="W102" s="309">
        <v>1</v>
      </c>
      <c r="X102" s="122">
        <v>1</v>
      </c>
      <c r="Y102" s="309">
        <v>1</v>
      </c>
      <c r="Z102" s="429">
        <v>1</v>
      </c>
      <c r="AA102" s="184">
        <f t="shared" si="20"/>
        <v>4</v>
      </c>
      <c r="AB102" s="185">
        <f t="shared" si="21"/>
        <v>1</v>
      </c>
      <c r="AC102" s="185">
        <f t="shared" si="22"/>
        <v>4</v>
      </c>
      <c r="AD102" s="185">
        <f t="shared" si="23"/>
        <v>8</v>
      </c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</row>
    <row r="103" spans="1:48" ht="15" customHeight="1" x14ac:dyDescent="0.25">
      <c r="A103" s="314">
        <f t="shared" si="12"/>
        <v>102</v>
      </c>
      <c r="B103" s="314" t="s">
        <v>823</v>
      </c>
      <c r="C103" s="341">
        <v>74</v>
      </c>
      <c r="D103" s="359"/>
      <c r="E103" s="478"/>
      <c r="F103" s="359"/>
      <c r="G103" s="478"/>
      <c r="H103" s="359"/>
      <c r="I103" s="478">
        <v>10</v>
      </c>
      <c r="J103" s="361"/>
      <c r="K103" s="482"/>
      <c r="L103" s="359"/>
      <c r="M103" s="478"/>
      <c r="N103" s="561"/>
      <c r="O103" s="340">
        <f t="shared" si="19"/>
        <v>64</v>
      </c>
      <c r="P103" s="340">
        <f t="shared" si="14"/>
        <v>30</v>
      </c>
      <c r="Q103" s="7">
        <v>2</v>
      </c>
      <c r="R103" s="68"/>
      <c r="S103" s="335">
        <v>45931</v>
      </c>
      <c r="T103" s="318">
        <v>4</v>
      </c>
      <c r="U103" s="318"/>
      <c r="V103" s="199">
        <v>45505</v>
      </c>
      <c r="W103" s="309">
        <v>20</v>
      </c>
      <c r="X103" s="309">
        <v>6</v>
      </c>
      <c r="Y103" s="309">
        <v>11</v>
      </c>
      <c r="Z103" s="429">
        <v>10</v>
      </c>
      <c r="AA103" s="184">
        <f t="shared" si="20"/>
        <v>47</v>
      </c>
      <c r="AB103" s="185">
        <f t="shared" si="21"/>
        <v>11.75</v>
      </c>
      <c r="AC103" s="185">
        <f t="shared" si="22"/>
        <v>47</v>
      </c>
      <c r="AD103" s="185">
        <f t="shared" si="23"/>
        <v>94</v>
      </c>
    </row>
    <row r="104" spans="1:48" ht="15" customHeight="1" x14ac:dyDescent="0.25">
      <c r="A104" s="314">
        <f t="shared" si="12"/>
        <v>103</v>
      </c>
      <c r="B104" s="314" t="s">
        <v>521</v>
      </c>
      <c r="C104" s="341">
        <v>80</v>
      </c>
      <c r="D104" s="361"/>
      <c r="E104" s="482"/>
      <c r="F104" s="361"/>
      <c r="G104" s="482"/>
      <c r="H104" s="361"/>
      <c r="I104" s="482"/>
      <c r="J104" s="359"/>
      <c r="K104" s="478"/>
      <c r="L104" s="361"/>
      <c r="M104" s="482"/>
      <c r="N104" s="563"/>
      <c r="O104" s="340">
        <f t="shared" si="19"/>
        <v>80</v>
      </c>
      <c r="P104" s="340">
        <f t="shared" si="14"/>
        <v>-40</v>
      </c>
      <c r="Q104" s="44">
        <v>1.4</v>
      </c>
      <c r="R104" s="68"/>
      <c r="S104" s="335">
        <v>46327</v>
      </c>
      <c r="T104" s="318">
        <v>0</v>
      </c>
      <c r="U104" s="318"/>
      <c r="V104" s="199">
        <v>45505</v>
      </c>
      <c r="W104" s="309">
        <v>2</v>
      </c>
      <c r="X104" s="122">
        <v>2</v>
      </c>
      <c r="Y104" s="309">
        <v>10</v>
      </c>
      <c r="Z104" s="429">
        <v>6</v>
      </c>
      <c r="AA104" s="184">
        <f t="shared" si="20"/>
        <v>20</v>
      </c>
      <c r="AB104" s="185">
        <f t="shared" si="21"/>
        <v>5</v>
      </c>
      <c r="AC104" s="185">
        <f t="shared" si="22"/>
        <v>20</v>
      </c>
      <c r="AD104" s="185">
        <f t="shared" si="23"/>
        <v>40</v>
      </c>
    </row>
    <row r="105" spans="1:48" ht="15.75" customHeight="1" x14ac:dyDescent="0.25">
      <c r="A105" s="314">
        <f t="shared" si="12"/>
        <v>104</v>
      </c>
      <c r="B105" s="314" t="s">
        <v>335</v>
      </c>
      <c r="C105" s="340">
        <v>1</v>
      </c>
      <c r="D105" s="359"/>
      <c r="E105" s="478"/>
      <c r="F105" s="359"/>
      <c r="G105" s="478"/>
      <c r="H105" s="359"/>
      <c r="I105" s="478"/>
      <c r="J105" s="361"/>
      <c r="K105" s="482"/>
      <c r="L105" s="359"/>
      <c r="M105" s="478"/>
      <c r="N105" s="561"/>
      <c r="O105" s="340">
        <f t="shared" si="19"/>
        <v>1</v>
      </c>
      <c r="P105" s="340">
        <f t="shared" si="14"/>
        <v>7</v>
      </c>
      <c r="Q105" s="7">
        <v>25</v>
      </c>
      <c r="R105" s="68"/>
      <c r="S105" s="335">
        <v>46419</v>
      </c>
      <c r="T105" s="318">
        <v>1</v>
      </c>
      <c r="U105" s="318">
        <v>1</v>
      </c>
      <c r="V105" s="199">
        <v>45717</v>
      </c>
      <c r="W105" s="309">
        <v>1</v>
      </c>
      <c r="X105" s="309">
        <v>1</v>
      </c>
      <c r="Y105" s="309">
        <v>1</v>
      </c>
      <c r="Z105" s="429">
        <v>1</v>
      </c>
      <c r="AA105" s="184">
        <f t="shared" si="20"/>
        <v>4</v>
      </c>
      <c r="AB105" s="185">
        <f t="shared" si="21"/>
        <v>1</v>
      </c>
      <c r="AC105" s="185">
        <f t="shared" si="22"/>
        <v>4</v>
      </c>
      <c r="AD105" s="185">
        <f t="shared" si="23"/>
        <v>8</v>
      </c>
    </row>
    <row r="106" spans="1:48" s="113" customFormat="1" x14ac:dyDescent="0.25">
      <c r="A106" s="314">
        <f t="shared" si="12"/>
        <v>105</v>
      </c>
      <c r="B106" s="314" t="s">
        <v>168</v>
      </c>
      <c r="C106" s="340">
        <v>1</v>
      </c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340">
        <f t="shared" si="19"/>
        <v>1</v>
      </c>
      <c r="P106" s="340">
        <f t="shared" si="14"/>
        <v>7</v>
      </c>
      <c r="Q106" s="7">
        <v>27</v>
      </c>
      <c r="R106" s="68"/>
      <c r="S106" s="337">
        <v>46204</v>
      </c>
      <c r="T106" s="318">
        <v>0</v>
      </c>
      <c r="U106" s="318"/>
      <c r="V106" s="199">
        <v>45231</v>
      </c>
      <c r="W106" s="309">
        <v>1</v>
      </c>
      <c r="X106" s="309">
        <v>1</v>
      </c>
      <c r="Y106" s="309">
        <v>1</v>
      </c>
      <c r="Z106" s="429">
        <v>1</v>
      </c>
      <c r="AA106" s="184">
        <f t="shared" si="20"/>
        <v>4</v>
      </c>
      <c r="AB106" s="185">
        <f t="shared" si="21"/>
        <v>1</v>
      </c>
      <c r="AC106" s="185">
        <f t="shared" si="22"/>
        <v>4</v>
      </c>
      <c r="AD106" s="185">
        <f t="shared" si="23"/>
        <v>8</v>
      </c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</row>
    <row r="107" spans="1:48" ht="15" customHeight="1" x14ac:dyDescent="0.25">
      <c r="A107" s="314">
        <f t="shared" si="12"/>
        <v>106</v>
      </c>
      <c r="B107" s="314" t="s">
        <v>902</v>
      </c>
      <c r="C107" s="340">
        <v>18</v>
      </c>
      <c r="D107" s="359">
        <v>2</v>
      </c>
      <c r="E107" s="478">
        <v>1</v>
      </c>
      <c r="F107" s="359">
        <v>1</v>
      </c>
      <c r="G107" s="478">
        <v>1</v>
      </c>
      <c r="H107" s="359">
        <v>3</v>
      </c>
      <c r="I107" s="478"/>
      <c r="J107" s="359"/>
      <c r="K107" s="478">
        <v>2</v>
      </c>
      <c r="L107" s="359"/>
      <c r="M107" s="478"/>
      <c r="N107" s="561"/>
      <c r="O107" s="340">
        <f t="shared" si="19"/>
        <v>8</v>
      </c>
      <c r="P107" s="340">
        <f t="shared" si="14"/>
        <v>96</v>
      </c>
      <c r="Q107" s="7">
        <v>9</v>
      </c>
      <c r="R107" s="68"/>
      <c r="S107" s="434">
        <v>46539</v>
      </c>
      <c r="T107" s="318">
        <v>5</v>
      </c>
      <c r="U107" s="318">
        <v>6</v>
      </c>
      <c r="V107" s="344">
        <v>45717</v>
      </c>
      <c r="W107" s="309">
        <v>14</v>
      </c>
      <c r="X107" s="309">
        <v>23</v>
      </c>
      <c r="Y107" s="309">
        <v>5</v>
      </c>
      <c r="Z107" s="429">
        <v>10</v>
      </c>
      <c r="AA107" s="184">
        <f t="shared" si="20"/>
        <v>52</v>
      </c>
      <c r="AB107" s="185">
        <f t="shared" si="21"/>
        <v>13</v>
      </c>
      <c r="AC107" s="185">
        <f t="shared" si="22"/>
        <v>52</v>
      </c>
      <c r="AD107" s="185">
        <f t="shared" si="23"/>
        <v>104</v>
      </c>
    </row>
    <row r="108" spans="1:48" ht="15" customHeight="1" x14ac:dyDescent="0.25">
      <c r="A108" s="314">
        <f t="shared" si="12"/>
        <v>107</v>
      </c>
      <c r="B108" s="314" t="s">
        <v>1101</v>
      </c>
      <c r="C108" s="340">
        <v>37</v>
      </c>
      <c r="D108" s="359"/>
      <c r="E108" s="478"/>
      <c r="F108" s="360"/>
      <c r="G108" s="480"/>
      <c r="H108" s="360"/>
      <c r="I108" s="478"/>
      <c r="J108" s="360"/>
      <c r="K108" s="480"/>
      <c r="L108" s="360"/>
      <c r="M108" s="480">
        <v>4</v>
      </c>
      <c r="N108" s="562"/>
      <c r="O108" s="340">
        <f t="shared" si="19"/>
        <v>33</v>
      </c>
      <c r="P108" s="340">
        <f t="shared" si="14"/>
        <v>55</v>
      </c>
      <c r="Q108" s="7">
        <v>1.5</v>
      </c>
      <c r="R108" s="63"/>
      <c r="S108" s="335">
        <v>45931</v>
      </c>
      <c r="T108" s="318">
        <v>3</v>
      </c>
      <c r="U108" s="318">
        <v>6</v>
      </c>
      <c r="V108" s="344">
        <v>45717</v>
      </c>
      <c r="W108" s="309">
        <v>10</v>
      </c>
      <c r="X108" s="309">
        <v>10</v>
      </c>
      <c r="Y108" s="309">
        <v>20</v>
      </c>
      <c r="Z108" s="429">
        <v>4</v>
      </c>
      <c r="AA108" s="184">
        <f t="shared" si="20"/>
        <v>44</v>
      </c>
      <c r="AB108" s="185">
        <f t="shared" si="21"/>
        <v>11</v>
      </c>
      <c r="AC108" s="185">
        <f t="shared" si="22"/>
        <v>44</v>
      </c>
      <c r="AD108" s="185">
        <f t="shared" si="23"/>
        <v>88</v>
      </c>
    </row>
    <row r="109" spans="1:48" ht="15" customHeight="1" x14ac:dyDescent="0.25">
      <c r="A109" s="314">
        <f t="shared" si="12"/>
        <v>108</v>
      </c>
      <c r="B109" s="314" t="s">
        <v>1102</v>
      </c>
      <c r="C109" s="340">
        <v>6</v>
      </c>
      <c r="D109" s="361"/>
      <c r="E109" s="482"/>
      <c r="F109" s="361"/>
      <c r="G109" s="482"/>
      <c r="H109" s="361"/>
      <c r="I109" s="478"/>
      <c r="J109" s="359"/>
      <c r="K109" s="478"/>
      <c r="L109" s="361"/>
      <c r="M109" s="482"/>
      <c r="N109" s="563"/>
      <c r="O109" s="340">
        <f t="shared" si="19"/>
        <v>6</v>
      </c>
      <c r="P109" s="340">
        <f t="shared" si="14"/>
        <v>24</v>
      </c>
      <c r="Q109" s="7">
        <v>13</v>
      </c>
      <c r="R109" s="131"/>
      <c r="S109" s="335">
        <v>46082</v>
      </c>
      <c r="T109" s="318">
        <v>4</v>
      </c>
      <c r="U109" s="318"/>
      <c r="V109" s="199">
        <v>45717</v>
      </c>
      <c r="W109" s="309">
        <v>5</v>
      </c>
      <c r="X109" s="309">
        <v>6</v>
      </c>
      <c r="Y109" s="309">
        <v>2</v>
      </c>
      <c r="Z109" s="429">
        <v>2</v>
      </c>
      <c r="AA109" s="184">
        <f t="shared" si="20"/>
        <v>15</v>
      </c>
      <c r="AB109" s="185">
        <f t="shared" si="21"/>
        <v>3.75</v>
      </c>
      <c r="AC109" s="185">
        <f t="shared" si="22"/>
        <v>15</v>
      </c>
      <c r="AD109" s="185">
        <f t="shared" si="23"/>
        <v>30</v>
      </c>
      <c r="AT109" s="97"/>
      <c r="AU109" s="97"/>
      <c r="AV109" s="97"/>
    </row>
    <row r="110" spans="1:48" ht="15" customHeight="1" x14ac:dyDescent="0.25">
      <c r="A110" s="314">
        <f t="shared" si="12"/>
        <v>109</v>
      </c>
      <c r="B110" s="314" t="s">
        <v>892</v>
      </c>
      <c r="C110" s="340">
        <v>11</v>
      </c>
      <c r="D110" s="370"/>
      <c r="E110" s="489"/>
      <c r="F110" s="359"/>
      <c r="G110" s="478"/>
      <c r="H110" s="359"/>
      <c r="I110" s="478"/>
      <c r="J110" s="359"/>
      <c r="K110" s="478"/>
      <c r="L110" s="359"/>
      <c r="M110" s="478"/>
      <c r="N110" s="561"/>
      <c r="O110" s="340">
        <f t="shared" si="19"/>
        <v>11</v>
      </c>
      <c r="P110" s="340">
        <f t="shared" si="14"/>
        <v>7</v>
      </c>
      <c r="Q110" s="7">
        <v>5</v>
      </c>
      <c r="R110" s="68"/>
      <c r="S110" s="335">
        <v>46447</v>
      </c>
      <c r="T110" s="318">
        <v>0</v>
      </c>
      <c r="U110" s="318"/>
      <c r="V110" s="344">
        <v>45689</v>
      </c>
      <c r="W110" s="309">
        <v>1</v>
      </c>
      <c r="X110" s="309">
        <v>1</v>
      </c>
      <c r="Y110" s="309">
        <v>3</v>
      </c>
      <c r="Z110" s="429">
        <v>4</v>
      </c>
      <c r="AA110" s="184">
        <f t="shared" si="20"/>
        <v>9</v>
      </c>
      <c r="AB110" s="185">
        <f t="shared" si="21"/>
        <v>2.25</v>
      </c>
      <c r="AC110" s="185">
        <f t="shared" si="22"/>
        <v>9</v>
      </c>
      <c r="AD110" s="185">
        <f t="shared" si="23"/>
        <v>18</v>
      </c>
    </row>
    <row r="111" spans="1:48" ht="15" customHeight="1" x14ac:dyDescent="0.25">
      <c r="A111" s="314">
        <f t="shared" si="12"/>
        <v>110</v>
      </c>
      <c r="B111" s="314" t="s">
        <v>1103</v>
      </c>
      <c r="C111" s="340">
        <v>22</v>
      </c>
      <c r="D111" s="359"/>
      <c r="E111" s="478">
        <v>2</v>
      </c>
      <c r="F111" s="359"/>
      <c r="G111" s="478"/>
      <c r="H111" s="359"/>
      <c r="I111" s="478"/>
      <c r="J111" s="359"/>
      <c r="K111" s="478"/>
      <c r="L111" s="359"/>
      <c r="M111" s="478">
        <v>2</v>
      </c>
      <c r="N111" s="561"/>
      <c r="O111" s="340">
        <f t="shared" si="19"/>
        <v>18</v>
      </c>
      <c r="P111" s="340">
        <f t="shared" si="14"/>
        <v>24</v>
      </c>
      <c r="Q111" s="7">
        <v>8</v>
      </c>
      <c r="R111" s="68"/>
      <c r="S111" s="335">
        <v>46966</v>
      </c>
      <c r="T111" s="318">
        <v>6</v>
      </c>
      <c r="U111" s="318">
        <v>4</v>
      </c>
      <c r="V111" s="344">
        <v>45717</v>
      </c>
      <c r="W111" s="309">
        <v>7</v>
      </c>
      <c r="X111" s="309">
        <v>3</v>
      </c>
      <c r="Y111" s="309">
        <v>7</v>
      </c>
      <c r="Z111" s="429">
        <v>4</v>
      </c>
      <c r="AA111" s="184">
        <f t="shared" si="20"/>
        <v>21</v>
      </c>
      <c r="AB111" s="185">
        <f t="shared" si="21"/>
        <v>5.25</v>
      </c>
      <c r="AC111" s="185">
        <f t="shared" si="22"/>
        <v>21</v>
      </c>
      <c r="AD111" s="185">
        <f t="shared" si="23"/>
        <v>42</v>
      </c>
    </row>
    <row r="112" spans="1:48" ht="15" customHeight="1" x14ac:dyDescent="0.25">
      <c r="A112" s="314">
        <f t="shared" si="12"/>
        <v>111</v>
      </c>
      <c r="B112" s="314" t="s">
        <v>971</v>
      </c>
      <c r="C112" s="340">
        <v>3</v>
      </c>
      <c r="D112" s="361"/>
      <c r="E112" s="482"/>
      <c r="F112" s="361"/>
      <c r="G112" s="482"/>
      <c r="H112" s="361"/>
      <c r="I112" s="482"/>
      <c r="J112" s="359"/>
      <c r="K112" s="478"/>
      <c r="L112" s="361"/>
      <c r="M112" s="482"/>
      <c r="N112" s="563"/>
      <c r="O112" s="340">
        <f t="shared" si="19"/>
        <v>3</v>
      </c>
      <c r="P112" s="340">
        <f t="shared" si="14"/>
        <v>7</v>
      </c>
      <c r="Q112" s="7">
        <v>15</v>
      </c>
      <c r="R112" s="68"/>
      <c r="S112" s="335">
        <v>46539</v>
      </c>
      <c r="T112" s="309">
        <v>0</v>
      </c>
      <c r="U112" s="318"/>
      <c r="V112" s="344">
        <v>45627</v>
      </c>
      <c r="W112" s="309">
        <v>2</v>
      </c>
      <c r="X112" s="309">
        <v>1</v>
      </c>
      <c r="Y112" s="309">
        <v>1</v>
      </c>
      <c r="Z112" s="429">
        <v>1</v>
      </c>
      <c r="AA112" s="184">
        <f t="shared" si="20"/>
        <v>5</v>
      </c>
      <c r="AB112" s="185">
        <f t="shared" si="21"/>
        <v>1.25</v>
      </c>
      <c r="AC112" s="185">
        <f t="shared" si="22"/>
        <v>5</v>
      </c>
      <c r="AD112" s="185">
        <f t="shared" si="23"/>
        <v>10</v>
      </c>
    </row>
    <row r="113" spans="1:48" x14ac:dyDescent="0.25">
      <c r="A113" s="314">
        <f t="shared" si="12"/>
        <v>112</v>
      </c>
      <c r="B113" s="314" t="s">
        <v>745</v>
      </c>
      <c r="C113" s="340">
        <v>2</v>
      </c>
      <c r="D113" s="361"/>
      <c r="E113" s="482">
        <v>1</v>
      </c>
      <c r="F113" s="361"/>
      <c r="G113" s="482"/>
      <c r="H113" s="361"/>
      <c r="I113" s="482"/>
      <c r="J113" s="359"/>
      <c r="K113" s="482"/>
      <c r="L113" s="361"/>
      <c r="M113" s="482"/>
      <c r="N113" s="563"/>
      <c r="O113" s="340">
        <f t="shared" si="19"/>
        <v>1</v>
      </c>
      <c r="P113" s="340">
        <f t="shared" si="14"/>
        <v>5</v>
      </c>
      <c r="Q113" s="7">
        <v>40</v>
      </c>
      <c r="R113" s="69"/>
      <c r="S113" s="199">
        <v>46784</v>
      </c>
      <c r="T113" s="309">
        <v>1</v>
      </c>
      <c r="U113" s="309">
        <v>2</v>
      </c>
      <c r="V113" s="199">
        <v>45717</v>
      </c>
      <c r="W113" s="107">
        <v>1</v>
      </c>
      <c r="X113" s="309"/>
      <c r="Y113" s="309">
        <v>1</v>
      </c>
      <c r="Z113" s="309">
        <v>1</v>
      </c>
      <c r="AA113" s="184">
        <f t="shared" si="20"/>
        <v>3</v>
      </c>
      <c r="AB113" s="185">
        <f t="shared" si="21"/>
        <v>0.75</v>
      </c>
      <c r="AC113" s="185">
        <f t="shared" si="22"/>
        <v>3</v>
      </c>
      <c r="AD113" s="185">
        <f t="shared" si="23"/>
        <v>6</v>
      </c>
    </row>
    <row r="114" spans="1:48" ht="15" customHeight="1" x14ac:dyDescent="0.25">
      <c r="A114" s="314">
        <f t="shared" si="12"/>
        <v>113</v>
      </c>
      <c r="B114" s="314" t="s">
        <v>744</v>
      </c>
      <c r="C114" s="340">
        <v>1</v>
      </c>
      <c r="D114" s="361"/>
      <c r="E114" s="482"/>
      <c r="F114" s="361"/>
      <c r="G114" s="482"/>
      <c r="H114" s="361"/>
      <c r="I114" s="482"/>
      <c r="J114" s="359"/>
      <c r="K114" s="482"/>
      <c r="L114" s="361"/>
      <c r="M114" s="482"/>
      <c r="N114" s="563"/>
      <c r="O114" s="340">
        <f t="shared" si="19"/>
        <v>1</v>
      </c>
      <c r="P114" s="340">
        <f t="shared" si="14"/>
        <v>1</v>
      </c>
      <c r="Q114" s="7">
        <v>40</v>
      </c>
      <c r="R114" s="69"/>
      <c r="S114" s="199">
        <v>45962</v>
      </c>
      <c r="T114" s="309">
        <v>0</v>
      </c>
      <c r="U114" s="309"/>
      <c r="V114" s="199">
        <v>45413</v>
      </c>
      <c r="X114" s="309"/>
      <c r="Y114" s="309">
        <v>1</v>
      </c>
      <c r="AA114" s="184">
        <f t="shared" si="20"/>
        <v>1</v>
      </c>
      <c r="AB114" s="185">
        <f t="shared" si="21"/>
        <v>0.25</v>
      </c>
      <c r="AC114" s="185">
        <f t="shared" si="22"/>
        <v>1</v>
      </c>
      <c r="AD114" s="185">
        <f t="shared" si="23"/>
        <v>2</v>
      </c>
    </row>
    <row r="115" spans="1:48" ht="15.75" customHeight="1" x14ac:dyDescent="0.25">
      <c r="A115" s="314">
        <f t="shared" si="12"/>
        <v>114</v>
      </c>
      <c r="B115" s="105" t="s">
        <v>982</v>
      </c>
      <c r="C115" s="340">
        <v>21</v>
      </c>
      <c r="D115" s="361"/>
      <c r="E115" s="481"/>
      <c r="F115" s="361"/>
      <c r="G115" s="482"/>
      <c r="H115" s="361">
        <v>1</v>
      </c>
      <c r="I115" s="482"/>
      <c r="J115" s="369"/>
      <c r="K115" s="481"/>
      <c r="L115" s="361"/>
      <c r="M115" s="481"/>
      <c r="N115" s="563"/>
      <c r="O115" s="340">
        <f t="shared" si="19"/>
        <v>20</v>
      </c>
      <c r="P115" s="340">
        <f t="shared" si="14"/>
        <v>-6</v>
      </c>
      <c r="Q115" s="44">
        <v>15</v>
      </c>
      <c r="R115" s="69"/>
      <c r="S115" s="199">
        <v>46447</v>
      </c>
      <c r="T115" s="309">
        <v>0</v>
      </c>
      <c r="U115" s="309"/>
      <c r="V115" s="199">
        <v>45689</v>
      </c>
      <c r="W115" s="107">
        <v>3</v>
      </c>
      <c r="X115" s="309">
        <v>1</v>
      </c>
      <c r="Y115" s="309">
        <v>2</v>
      </c>
      <c r="Z115" s="309">
        <v>1</v>
      </c>
      <c r="AA115" s="184">
        <f t="shared" si="20"/>
        <v>7</v>
      </c>
      <c r="AB115" s="185">
        <f t="shared" si="21"/>
        <v>1.75</v>
      </c>
      <c r="AC115" s="185">
        <f t="shared" si="22"/>
        <v>7</v>
      </c>
      <c r="AD115" s="185">
        <f t="shared" si="23"/>
        <v>14</v>
      </c>
      <c r="AT115" s="97"/>
      <c r="AU115" s="97"/>
      <c r="AV115" s="97"/>
    </row>
    <row r="116" spans="1:48" s="117" customFormat="1" ht="15" customHeight="1" x14ac:dyDescent="0.25">
      <c r="A116" s="314">
        <f t="shared" si="12"/>
        <v>115</v>
      </c>
      <c r="B116" s="314" t="s">
        <v>904</v>
      </c>
      <c r="C116" s="340">
        <v>10</v>
      </c>
      <c r="D116" s="359"/>
      <c r="E116" s="478"/>
      <c r="F116" s="359"/>
      <c r="G116" s="478"/>
      <c r="H116" s="359">
        <v>1</v>
      </c>
      <c r="I116" s="478"/>
      <c r="J116" s="361"/>
      <c r="K116" s="482"/>
      <c r="L116" s="359"/>
      <c r="M116" s="478"/>
      <c r="N116" s="561"/>
      <c r="O116" s="340">
        <f t="shared" si="19"/>
        <v>9</v>
      </c>
      <c r="P116" s="340">
        <f t="shared" si="14"/>
        <v>5</v>
      </c>
      <c r="Q116" s="7">
        <v>10</v>
      </c>
      <c r="R116" s="68"/>
      <c r="S116" s="335">
        <v>46113</v>
      </c>
      <c r="T116" s="318">
        <v>0</v>
      </c>
      <c r="U116" s="318"/>
      <c r="V116" s="344">
        <v>45689</v>
      </c>
      <c r="W116" s="309">
        <v>1</v>
      </c>
      <c r="X116" s="309">
        <v>3</v>
      </c>
      <c r="Y116" s="309">
        <v>2</v>
      </c>
      <c r="Z116" s="429">
        <v>1</v>
      </c>
      <c r="AA116" s="184">
        <f t="shared" si="20"/>
        <v>7</v>
      </c>
      <c r="AB116" s="185">
        <f t="shared" si="21"/>
        <v>1.75</v>
      </c>
      <c r="AC116" s="185">
        <f t="shared" si="22"/>
        <v>7</v>
      </c>
      <c r="AD116" s="185">
        <f t="shared" si="23"/>
        <v>14</v>
      </c>
      <c r="AE116" s="146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</row>
    <row r="117" spans="1:48" s="113" customFormat="1" ht="15" customHeight="1" x14ac:dyDescent="0.25">
      <c r="A117" s="314">
        <f t="shared" si="12"/>
        <v>116</v>
      </c>
      <c r="B117" s="314" t="s">
        <v>694</v>
      </c>
      <c r="C117" s="280">
        <v>10</v>
      </c>
      <c r="D117" s="359"/>
      <c r="E117" s="478">
        <v>1</v>
      </c>
      <c r="F117" s="359"/>
      <c r="G117" s="478">
        <v>1</v>
      </c>
      <c r="H117" s="359"/>
      <c r="I117" s="478"/>
      <c r="J117" s="359"/>
      <c r="K117" s="478">
        <v>3</v>
      </c>
      <c r="L117" s="359"/>
      <c r="M117" s="478"/>
      <c r="N117" s="561"/>
      <c r="O117" s="340">
        <f t="shared" si="19"/>
        <v>5</v>
      </c>
      <c r="P117" s="340">
        <f t="shared" si="14"/>
        <v>15</v>
      </c>
      <c r="Q117" s="7">
        <v>12</v>
      </c>
      <c r="R117" s="90"/>
      <c r="S117" s="344">
        <v>46661</v>
      </c>
      <c r="T117" s="318">
        <v>2</v>
      </c>
      <c r="U117" s="318"/>
      <c r="V117" s="344">
        <v>45689</v>
      </c>
      <c r="W117" s="318">
        <v>3</v>
      </c>
      <c r="X117" s="309">
        <v>1</v>
      </c>
      <c r="Y117" s="309">
        <v>1</v>
      </c>
      <c r="Z117" s="309">
        <v>5</v>
      </c>
      <c r="AA117" s="184">
        <f t="shared" si="20"/>
        <v>10</v>
      </c>
      <c r="AB117" s="185">
        <f t="shared" si="21"/>
        <v>2.5</v>
      </c>
      <c r="AC117" s="185">
        <f t="shared" si="22"/>
        <v>10</v>
      </c>
      <c r="AD117" s="185">
        <f t="shared" si="23"/>
        <v>20</v>
      </c>
      <c r="AE117" s="146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</row>
    <row r="118" spans="1:48" ht="15.75" customHeight="1" x14ac:dyDescent="0.25">
      <c r="A118" s="314">
        <f t="shared" si="12"/>
        <v>117</v>
      </c>
      <c r="B118" s="314" t="s">
        <v>905</v>
      </c>
      <c r="C118" s="340">
        <v>6</v>
      </c>
      <c r="D118" s="359">
        <v>1</v>
      </c>
      <c r="E118" s="478"/>
      <c r="F118" s="359"/>
      <c r="G118" s="480"/>
      <c r="H118" s="360"/>
      <c r="I118" s="480"/>
      <c r="J118" s="360"/>
      <c r="K118" s="480"/>
      <c r="L118" s="360"/>
      <c r="M118" s="480"/>
      <c r="N118" s="562"/>
      <c r="O118" s="340">
        <f t="shared" si="19"/>
        <v>5</v>
      </c>
      <c r="P118" s="340">
        <f t="shared" si="14"/>
        <v>7</v>
      </c>
      <c r="Q118" s="7">
        <v>6</v>
      </c>
      <c r="R118" s="63"/>
      <c r="S118" s="83">
        <v>45962</v>
      </c>
      <c r="T118" s="316">
        <v>0</v>
      </c>
      <c r="U118" s="313"/>
      <c r="V118" s="118">
        <v>45627</v>
      </c>
      <c r="W118" s="28">
        <v>2</v>
      </c>
      <c r="X118" s="28">
        <v>1</v>
      </c>
      <c r="Y118" s="28">
        <v>2</v>
      </c>
      <c r="Z118" s="429">
        <v>1</v>
      </c>
      <c r="AA118" s="184">
        <f t="shared" si="20"/>
        <v>6</v>
      </c>
      <c r="AB118" s="185">
        <f t="shared" si="21"/>
        <v>1.5</v>
      </c>
      <c r="AC118" s="185">
        <f t="shared" si="22"/>
        <v>6</v>
      </c>
      <c r="AD118" s="185">
        <f t="shared" si="23"/>
        <v>12</v>
      </c>
      <c r="AE118" s="146"/>
    </row>
    <row r="119" spans="1:48" ht="15" customHeight="1" x14ac:dyDescent="0.25">
      <c r="A119" s="314">
        <f t="shared" si="12"/>
        <v>118</v>
      </c>
      <c r="B119" s="314" t="s">
        <v>696</v>
      </c>
      <c r="C119" s="413">
        <v>9</v>
      </c>
      <c r="D119" s="359"/>
      <c r="E119" s="478"/>
      <c r="F119" s="359"/>
      <c r="G119" s="478"/>
      <c r="H119" s="359"/>
      <c r="I119" s="478"/>
      <c r="J119" s="359"/>
      <c r="K119" s="478"/>
      <c r="L119" s="359"/>
      <c r="M119" s="478">
        <v>1</v>
      </c>
      <c r="N119" s="561"/>
      <c r="O119" s="340">
        <f t="shared" si="19"/>
        <v>8</v>
      </c>
      <c r="P119" s="340">
        <f t="shared" si="14"/>
        <v>12</v>
      </c>
      <c r="Q119" s="7">
        <v>7</v>
      </c>
      <c r="R119" s="64"/>
      <c r="S119" s="344">
        <v>46600</v>
      </c>
      <c r="T119" s="318">
        <v>1</v>
      </c>
      <c r="U119" s="318">
        <v>1</v>
      </c>
      <c r="V119" s="344">
        <v>45717</v>
      </c>
      <c r="W119" s="318">
        <v>3</v>
      </c>
      <c r="X119" s="309">
        <v>3</v>
      </c>
      <c r="Y119" s="309">
        <v>3</v>
      </c>
      <c r="Z119" s="309">
        <v>1</v>
      </c>
      <c r="AA119" s="184">
        <f t="shared" si="20"/>
        <v>10</v>
      </c>
      <c r="AB119" s="185">
        <f t="shared" si="21"/>
        <v>2.5</v>
      </c>
      <c r="AC119" s="185">
        <f t="shared" si="22"/>
        <v>10</v>
      </c>
      <c r="AD119" s="185">
        <f t="shared" si="23"/>
        <v>20</v>
      </c>
    </row>
    <row r="120" spans="1:48" ht="15" customHeight="1" x14ac:dyDescent="0.25">
      <c r="A120" s="314">
        <f t="shared" si="12"/>
        <v>119</v>
      </c>
      <c r="B120" s="314" t="s">
        <v>907</v>
      </c>
      <c r="C120" s="341">
        <v>7</v>
      </c>
      <c r="D120" s="361"/>
      <c r="E120" s="482"/>
      <c r="F120" s="361"/>
      <c r="G120" s="482"/>
      <c r="H120" s="361"/>
      <c r="I120" s="482"/>
      <c r="J120" s="361"/>
      <c r="K120" s="482"/>
      <c r="L120" s="361"/>
      <c r="M120" s="482"/>
      <c r="N120" s="563"/>
      <c r="O120" s="340">
        <f t="shared" si="19"/>
        <v>7</v>
      </c>
      <c r="P120" s="340">
        <f t="shared" si="14"/>
        <v>3</v>
      </c>
      <c r="Q120" s="44">
        <v>8</v>
      </c>
      <c r="R120" s="131"/>
      <c r="S120" s="335">
        <v>46508</v>
      </c>
      <c r="T120" s="318">
        <v>0</v>
      </c>
      <c r="U120" s="318"/>
      <c r="V120" s="344">
        <v>45658</v>
      </c>
      <c r="W120" s="309">
        <v>1</v>
      </c>
      <c r="X120" s="309">
        <v>1</v>
      </c>
      <c r="Y120" s="309">
        <v>1</v>
      </c>
      <c r="Z120" s="429">
        <v>2</v>
      </c>
      <c r="AA120" s="184">
        <f t="shared" si="20"/>
        <v>5</v>
      </c>
      <c r="AB120" s="185">
        <f t="shared" si="21"/>
        <v>1.25</v>
      </c>
      <c r="AC120" s="185">
        <f t="shared" si="22"/>
        <v>5</v>
      </c>
      <c r="AD120" s="185">
        <f t="shared" si="23"/>
        <v>10</v>
      </c>
    </row>
    <row r="121" spans="1:48" ht="15.75" customHeight="1" x14ac:dyDescent="0.25">
      <c r="A121" s="314">
        <f t="shared" si="12"/>
        <v>120</v>
      </c>
      <c r="B121" s="314" t="s">
        <v>908</v>
      </c>
      <c r="C121" s="340">
        <v>14</v>
      </c>
      <c r="D121" s="361">
        <v>1</v>
      </c>
      <c r="E121" s="482"/>
      <c r="F121" s="361"/>
      <c r="G121" s="482"/>
      <c r="H121" s="361"/>
      <c r="I121" s="482"/>
      <c r="J121" s="361"/>
      <c r="K121" s="482"/>
      <c r="L121" s="361"/>
      <c r="M121" s="482"/>
      <c r="N121" s="563"/>
      <c r="O121" s="340">
        <f t="shared" si="19"/>
        <v>13</v>
      </c>
      <c r="P121" s="340">
        <f t="shared" si="14"/>
        <v>-3</v>
      </c>
      <c r="Q121" s="7">
        <v>8</v>
      </c>
      <c r="R121" s="68"/>
      <c r="S121" s="335">
        <v>46478</v>
      </c>
      <c r="T121" s="318">
        <v>0</v>
      </c>
      <c r="U121" s="318">
        <v>1</v>
      </c>
      <c r="V121" s="344">
        <v>45717</v>
      </c>
      <c r="W121" s="309">
        <v>2</v>
      </c>
      <c r="X121" s="309">
        <v>1</v>
      </c>
      <c r="Y121" s="309">
        <v>1</v>
      </c>
      <c r="Z121" s="429">
        <v>1</v>
      </c>
      <c r="AA121" s="184">
        <f t="shared" si="20"/>
        <v>5</v>
      </c>
      <c r="AB121" s="185">
        <f t="shared" si="21"/>
        <v>1.25</v>
      </c>
      <c r="AC121" s="185">
        <f t="shared" si="22"/>
        <v>5</v>
      </c>
      <c r="AD121" s="185">
        <f t="shared" si="23"/>
        <v>10</v>
      </c>
    </row>
    <row r="122" spans="1:48" s="97" customFormat="1" ht="16.5" customHeight="1" x14ac:dyDescent="0.25">
      <c r="A122" s="314">
        <f t="shared" si="12"/>
        <v>121</v>
      </c>
      <c r="B122" s="314" t="s">
        <v>341</v>
      </c>
      <c r="C122" s="340">
        <v>2</v>
      </c>
      <c r="D122" s="359"/>
      <c r="E122" s="478"/>
      <c r="F122" s="359"/>
      <c r="G122" s="480"/>
      <c r="H122" s="360"/>
      <c r="I122" s="480"/>
      <c r="J122" s="360"/>
      <c r="K122" s="480"/>
      <c r="L122" s="360"/>
      <c r="M122" s="480"/>
      <c r="N122" s="562"/>
      <c r="O122" s="340">
        <f t="shared" si="19"/>
        <v>2</v>
      </c>
      <c r="P122" s="340">
        <f t="shared" si="14"/>
        <v>0</v>
      </c>
      <c r="Q122" s="7">
        <v>19</v>
      </c>
      <c r="R122" s="63"/>
      <c r="S122" s="83">
        <v>46082</v>
      </c>
      <c r="T122" s="316">
        <v>0</v>
      </c>
      <c r="U122" s="313"/>
      <c r="V122" s="118">
        <v>45505</v>
      </c>
      <c r="W122" s="28"/>
      <c r="X122" s="28">
        <v>1</v>
      </c>
      <c r="Y122" s="28"/>
      <c r="Z122" s="429"/>
      <c r="AA122" s="184">
        <f t="shared" si="20"/>
        <v>1</v>
      </c>
      <c r="AB122" s="185">
        <f t="shared" si="21"/>
        <v>0.25</v>
      </c>
      <c r="AC122" s="185">
        <f t="shared" si="22"/>
        <v>1</v>
      </c>
      <c r="AD122" s="185">
        <f t="shared" si="23"/>
        <v>2</v>
      </c>
    </row>
    <row r="123" spans="1:48" ht="15" customHeight="1" x14ac:dyDescent="0.25">
      <c r="A123" s="314">
        <f t="shared" si="12"/>
        <v>122</v>
      </c>
      <c r="B123" s="314" t="s">
        <v>910</v>
      </c>
      <c r="C123" s="340">
        <v>3</v>
      </c>
      <c r="D123" s="369"/>
      <c r="E123" s="481"/>
      <c r="F123" s="369"/>
      <c r="G123" s="481"/>
      <c r="H123" s="369"/>
      <c r="I123" s="481"/>
      <c r="J123" s="369"/>
      <c r="K123" s="481"/>
      <c r="L123" s="369"/>
      <c r="M123" s="481"/>
      <c r="N123" s="565"/>
      <c r="O123" s="340">
        <f t="shared" si="19"/>
        <v>3</v>
      </c>
      <c r="P123" s="340">
        <f t="shared" si="14"/>
        <v>5</v>
      </c>
      <c r="Q123" s="7">
        <v>17</v>
      </c>
      <c r="R123" s="69"/>
      <c r="S123" s="337">
        <v>46935</v>
      </c>
      <c r="T123" s="309">
        <v>1</v>
      </c>
      <c r="U123" s="318"/>
      <c r="V123" s="199">
        <v>45658</v>
      </c>
      <c r="W123" s="309">
        <v>1</v>
      </c>
      <c r="X123" s="309">
        <v>1</v>
      </c>
      <c r="Y123" s="309">
        <v>1</v>
      </c>
      <c r="Z123" s="429">
        <v>1</v>
      </c>
      <c r="AA123" s="184">
        <f t="shared" si="20"/>
        <v>4</v>
      </c>
      <c r="AB123" s="185">
        <f t="shared" si="21"/>
        <v>1</v>
      </c>
      <c r="AC123" s="185">
        <f t="shared" si="22"/>
        <v>4</v>
      </c>
      <c r="AD123" s="185">
        <f t="shared" si="23"/>
        <v>8</v>
      </c>
    </row>
    <row r="124" spans="1:48" x14ac:dyDescent="0.25">
      <c r="A124" s="314">
        <f t="shared" si="12"/>
        <v>123</v>
      </c>
      <c r="B124" s="472" t="s">
        <v>909</v>
      </c>
      <c r="C124" s="340">
        <v>11</v>
      </c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340">
        <f t="shared" si="19"/>
        <v>11</v>
      </c>
      <c r="P124" s="340">
        <f t="shared" si="14"/>
        <v>3</v>
      </c>
      <c r="Q124" s="7">
        <v>15</v>
      </c>
      <c r="R124" s="68"/>
      <c r="S124" s="538">
        <v>46478</v>
      </c>
      <c r="T124" s="318">
        <v>0</v>
      </c>
      <c r="U124" s="318">
        <v>1</v>
      </c>
      <c r="V124" s="199">
        <v>45717</v>
      </c>
      <c r="W124" s="309">
        <v>1</v>
      </c>
      <c r="X124" s="309">
        <v>2</v>
      </c>
      <c r="Y124" s="309">
        <v>3</v>
      </c>
      <c r="Z124" s="429">
        <v>1</v>
      </c>
      <c r="AA124" s="184">
        <f t="shared" si="20"/>
        <v>7</v>
      </c>
      <c r="AB124" s="185">
        <f t="shared" si="21"/>
        <v>1.75</v>
      </c>
      <c r="AC124" s="185">
        <f t="shared" si="22"/>
        <v>7</v>
      </c>
      <c r="AD124" s="185">
        <f t="shared" si="23"/>
        <v>14</v>
      </c>
    </row>
    <row r="125" spans="1:48" ht="15" customHeight="1" x14ac:dyDescent="0.25">
      <c r="A125" s="314">
        <f t="shared" si="12"/>
        <v>124</v>
      </c>
      <c r="B125" s="314" t="s">
        <v>30</v>
      </c>
      <c r="C125" s="340">
        <v>2</v>
      </c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340">
        <f t="shared" si="19"/>
        <v>2</v>
      </c>
      <c r="P125" s="340">
        <f t="shared" si="14"/>
        <v>6</v>
      </c>
      <c r="Q125" s="7">
        <v>32</v>
      </c>
      <c r="R125" s="68"/>
      <c r="S125" s="337">
        <v>46631</v>
      </c>
      <c r="T125" s="318">
        <v>1</v>
      </c>
      <c r="U125" s="318"/>
      <c r="V125" s="199">
        <v>45474</v>
      </c>
      <c r="W125" s="309">
        <v>1</v>
      </c>
      <c r="X125" s="309">
        <v>1</v>
      </c>
      <c r="Y125" s="309">
        <v>1</v>
      </c>
      <c r="Z125" s="429">
        <v>1</v>
      </c>
      <c r="AA125" s="184">
        <f t="shared" si="20"/>
        <v>4</v>
      </c>
      <c r="AB125" s="185">
        <f t="shared" si="21"/>
        <v>1</v>
      </c>
      <c r="AC125" s="185">
        <f t="shared" si="22"/>
        <v>4</v>
      </c>
      <c r="AD125" s="185">
        <f t="shared" si="23"/>
        <v>8</v>
      </c>
    </row>
    <row r="126" spans="1:48" ht="15" customHeight="1" x14ac:dyDescent="0.25">
      <c r="A126" s="314">
        <f t="shared" si="12"/>
        <v>125</v>
      </c>
      <c r="B126" s="314" t="s">
        <v>1104</v>
      </c>
      <c r="C126" s="340">
        <v>65</v>
      </c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340">
        <f t="shared" si="19"/>
        <v>65</v>
      </c>
      <c r="P126" s="340">
        <f t="shared" si="14"/>
        <v>55</v>
      </c>
      <c r="Q126" s="7">
        <v>1.5</v>
      </c>
      <c r="R126" s="68"/>
      <c r="S126" s="335">
        <v>46113</v>
      </c>
      <c r="T126" s="318">
        <v>0</v>
      </c>
      <c r="U126" s="318">
        <v>1</v>
      </c>
      <c r="V126" s="344">
        <v>45717</v>
      </c>
      <c r="W126" s="309">
        <v>10</v>
      </c>
      <c r="X126" s="309">
        <v>30</v>
      </c>
      <c r="Y126" s="309">
        <v>10</v>
      </c>
      <c r="Z126" s="429">
        <v>10</v>
      </c>
      <c r="AA126" s="184">
        <f t="shared" si="20"/>
        <v>60</v>
      </c>
      <c r="AB126" s="185">
        <f t="shared" si="21"/>
        <v>15</v>
      </c>
      <c r="AC126" s="185">
        <f t="shared" si="22"/>
        <v>60</v>
      </c>
      <c r="AD126" s="185">
        <f t="shared" si="23"/>
        <v>120</v>
      </c>
    </row>
    <row r="127" spans="1:48" s="114" customFormat="1" ht="15" customHeight="1" x14ac:dyDescent="0.25">
      <c r="A127" s="314">
        <f t="shared" si="12"/>
        <v>126</v>
      </c>
      <c r="B127" s="314" t="s">
        <v>872</v>
      </c>
      <c r="C127" s="340">
        <v>3</v>
      </c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340">
        <f t="shared" si="19"/>
        <v>3</v>
      </c>
      <c r="P127" s="340">
        <f t="shared" si="14"/>
        <v>7</v>
      </c>
      <c r="Q127" s="7">
        <v>18</v>
      </c>
      <c r="R127" s="68"/>
      <c r="S127" s="335">
        <v>46661</v>
      </c>
      <c r="T127" s="318">
        <v>0</v>
      </c>
      <c r="U127" s="318">
        <v>2</v>
      </c>
      <c r="V127" s="344">
        <v>45717</v>
      </c>
      <c r="W127" s="309">
        <v>1</v>
      </c>
      <c r="X127" s="309">
        <v>1</v>
      </c>
      <c r="Y127" s="309">
        <v>2</v>
      </c>
      <c r="Z127" s="429">
        <v>1</v>
      </c>
      <c r="AA127" s="184">
        <f t="shared" si="20"/>
        <v>5</v>
      </c>
      <c r="AB127" s="185">
        <f t="shared" si="21"/>
        <v>1.25</v>
      </c>
      <c r="AC127" s="185">
        <f t="shared" si="22"/>
        <v>5</v>
      </c>
      <c r="AD127" s="185">
        <f t="shared" si="23"/>
        <v>10</v>
      </c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</row>
    <row r="128" spans="1:48" ht="16.5" customHeight="1" x14ac:dyDescent="0.25">
      <c r="A128" s="314">
        <f t="shared" si="12"/>
        <v>127</v>
      </c>
      <c r="B128" s="314" t="s">
        <v>677</v>
      </c>
      <c r="C128" s="340">
        <v>1</v>
      </c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340">
        <f t="shared" si="19"/>
        <v>1</v>
      </c>
      <c r="P128" s="340">
        <f t="shared" si="14"/>
        <v>1</v>
      </c>
      <c r="Q128" s="7">
        <v>19</v>
      </c>
      <c r="R128" s="68" t="s">
        <v>883</v>
      </c>
      <c r="S128" s="335">
        <v>46631</v>
      </c>
      <c r="T128" s="318">
        <v>0</v>
      </c>
      <c r="U128" s="318"/>
      <c r="V128" s="344">
        <v>45627</v>
      </c>
      <c r="W128" s="309"/>
      <c r="X128" s="309"/>
      <c r="Z128" s="429">
        <v>1</v>
      </c>
      <c r="AA128" s="184">
        <f t="shared" si="20"/>
        <v>1</v>
      </c>
      <c r="AB128" s="185">
        <f t="shared" si="21"/>
        <v>0.25</v>
      </c>
      <c r="AC128" s="185">
        <f t="shared" si="22"/>
        <v>1</v>
      </c>
      <c r="AD128" s="185">
        <f t="shared" si="23"/>
        <v>2</v>
      </c>
    </row>
    <row r="129" spans="1:48" ht="15" customHeight="1" x14ac:dyDescent="0.25">
      <c r="A129" s="314">
        <f t="shared" si="12"/>
        <v>128</v>
      </c>
      <c r="B129" s="314" t="s">
        <v>1105</v>
      </c>
      <c r="C129" s="340">
        <v>2</v>
      </c>
      <c r="D129" s="361"/>
      <c r="E129" s="482"/>
      <c r="F129" s="361"/>
      <c r="G129" s="482"/>
      <c r="H129" s="361"/>
      <c r="I129" s="482"/>
      <c r="J129" s="369"/>
      <c r="K129" s="481"/>
      <c r="L129" s="361"/>
      <c r="M129" s="481"/>
      <c r="N129" s="563"/>
      <c r="O129" s="340">
        <f t="shared" si="19"/>
        <v>2</v>
      </c>
      <c r="P129" s="340">
        <f t="shared" si="14"/>
        <v>6</v>
      </c>
      <c r="Q129" s="44">
        <v>15</v>
      </c>
      <c r="R129" s="69"/>
      <c r="S129" s="199">
        <v>46508</v>
      </c>
      <c r="T129" s="309">
        <v>0</v>
      </c>
      <c r="U129" s="309">
        <v>1</v>
      </c>
      <c r="V129" s="199">
        <v>45717</v>
      </c>
      <c r="W129" s="107">
        <v>1</v>
      </c>
      <c r="X129" s="309">
        <v>1</v>
      </c>
      <c r="Y129" s="309">
        <v>1</v>
      </c>
      <c r="Z129" s="309">
        <v>1</v>
      </c>
      <c r="AA129" s="184">
        <f t="shared" si="20"/>
        <v>4</v>
      </c>
      <c r="AB129" s="185">
        <f t="shared" si="21"/>
        <v>1</v>
      </c>
      <c r="AC129" s="185">
        <f t="shared" si="22"/>
        <v>4</v>
      </c>
      <c r="AD129" s="185">
        <f t="shared" si="23"/>
        <v>8</v>
      </c>
    </row>
    <row r="130" spans="1:48" ht="16.5" customHeight="1" x14ac:dyDescent="0.25">
      <c r="A130" s="314">
        <f t="shared" ref="A130:A172" si="24">A129+1</f>
        <v>129</v>
      </c>
      <c r="B130" s="314" t="s">
        <v>969</v>
      </c>
      <c r="C130" s="340">
        <v>3</v>
      </c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340">
        <f t="shared" ref="O130:O161" si="25">SUM(C130-D130-E130-F130-G130-H130-I130-J130-K130-L130-M130-N130)</f>
        <v>3</v>
      </c>
      <c r="P130" s="340">
        <f t="shared" ref="P130:P176" si="26">AD130-O130</f>
        <v>9</v>
      </c>
      <c r="Q130" s="7">
        <v>45</v>
      </c>
      <c r="R130" s="68"/>
      <c r="S130" s="335">
        <v>46447</v>
      </c>
      <c r="T130" s="318">
        <v>3</v>
      </c>
      <c r="U130" s="318">
        <v>3</v>
      </c>
      <c r="V130" s="199">
        <v>45717</v>
      </c>
      <c r="W130" s="309">
        <v>1</v>
      </c>
      <c r="X130" s="309">
        <v>2</v>
      </c>
      <c r="Y130" s="309">
        <v>2</v>
      </c>
      <c r="Z130" s="429">
        <v>1</v>
      </c>
      <c r="AA130" s="184">
        <f t="shared" ref="AA130:AA161" si="27">W130+X130+Y130+Z130</f>
        <v>6</v>
      </c>
      <c r="AB130" s="185">
        <f t="shared" ref="AB130:AB161" si="28">AA130/4</f>
        <v>1.5</v>
      </c>
      <c r="AC130" s="185">
        <f t="shared" ref="AC130:AC161" si="29">AB130*4</f>
        <v>6</v>
      </c>
      <c r="AD130" s="185">
        <f t="shared" ref="AD130:AD161" si="30">AC130*2</f>
        <v>12</v>
      </c>
    </row>
    <row r="131" spans="1:48" ht="15" customHeight="1" x14ac:dyDescent="0.25">
      <c r="A131" s="314">
        <f>A130+1</f>
        <v>130</v>
      </c>
      <c r="B131" s="314" t="s">
        <v>970</v>
      </c>
      <c r="C131" s="340">
        <v>8</v>
      </c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340">
        <f t="shared" si="25"/>
        <v>8</v>
      </c>
      <c r="P131" s="340">
        <f t="shared" si="26"/>
        <v>8</v>
      </c>
      <c r="Q131" s="7">
        <v>32</v>
      </c>
      <c r="R131" s="650"/>
      <c r="S131" s="335">
        <v>46235</v>
      </c>
      <c r="T131" s="318">
        <v>12</v>
      </c>
      <c r="U131" s="318">
        <v>6</v>
      </c>
      <c r="V131" s="199">
        <v>45717</v>
      </c>
      <c r="W131" s="309">
        <v>1</v>
      </c>
      <c r="X131" s="309">
        <v>2</v>
      </c>
      <c r="Y131" s="309">
        <v>1</v>
      </c>
      <c r="Z131" s="429">
        <v>4</v>
      </c>
      <c r="AA131" s="184">
        <f t="shared" si="27"/>
        <v>8</v>
      </c>
      <c r="AB131" s="185">
        <f t="shared" si="28"/>
        <v>2</v>
      </c>
      <c r="AC131" s="185">
        <f t="shared" si="29"/>
        <v>8</v>
      </c>
      <c r="AD131" s="185">
        <f t="shared" si="30"/>
        <v>16</v>
      </c>
    </row>
    <row r="132" spans="1:48" ht="14.25" customHeight="1" x14ac:dyDescent="0.25">
      <c r="A132" s="314">
        <f t="shared" si="24"/>
        <v>131</v>
      </c>
      <c r="B132" s="314" t="s">
        <v>1106</v>
      </c>
      <c r="C132" s="340">
        <v>6</v>
      </c>
      <c r="D132" s="361"/>
      <c r="E132" s="482"/>
      <c r="F132" s="361"/>
      <c r="G132" s="482"/>
      <c r="H132" s="361"/>
      <c r="I132" s="482"/>
      <c r="J132" s="359"/>
      <c r="K132" s="478"/>
      <c r="L132" s="361"/>
      <c r="M132" s="482"/>
      <c r="N132" s="563"/>
      <c r="O132" s="340">
        <f t="shared" si="25"/>
        <v>6</v>
      </c>
      <c r="P132" s="340">
        <f t="shared" si="26"/>
        <v>10</v>
      </c>
      <c r="Q132" s="7">
        <v>5</v>
      </c>
      <c r="R132" s="68"/>
      <c r="S132" s="335">
        <v>46478</v>
      </c>
      <c r="T132" s="318">
        <v>1</v>
      </c>
      <c r="U132" s="318">
        <v>1</v>
      </c>
      <c r="V132" s="199">
        <v>45717</v>
      </c>
      <c r="W132" s="309">
        <v>4</v>
      </c>
      <c r="X132" s="309">
        <v>2</v>
      </c>
      <c r="Y132" s="309">
        <v>1</v>
      </c>
      <c r="Z132" s="429">
        <v>1</v>
      </c>
      <c r="AA132" s="184">
        <f t="shared" si="27"/>
        <v>8</v>
      </c>
      <c r="AB132" s="185">
        <f t="shared" si="28"/>
        <v>2</v>
      </c>
      <c r="AC132" s="185">
        <f t="shared" si="29"/>
        <v>8</v>
      </c>
      <c r="AD132" s="185">
        <f t="shared" si="30"/>
        <v>16</v>
      </c>
    </row>
    <row r="133" spans="1:48" ht="13.5" customHeight="1" x14ac:dyDescent="0.25">
      <c r="A133" s="314">
        <f t="shared" si="24"/>
        <v>132</v>
      </c>
      <c r="B133" s="651" t="s">
        <v>49</v>
      </c>
      <c r="C133" s="653">
        <v>2</v>
      </c>
      <c r="D133" s="361"/>
      <c r="E133" s="478"/>
      <c r="F133" s="361"/>
      <c r="G133" s="478"/>
      <c r="H133" s="361"/>
      <c r="I133" s="478"/>
      <c r="J133" s="361"/>
      <c r="K133" s="482"/>
      <c r="L133" s="361"/>
      <c r="M133" s="478"/>
      <c r="N133" s="561"/>
      <c r="O133" s="340">
        <f t="shared" si="25"/>
        <v>2</v>
      </c>
      <c r="P133" s="340">
        <f t="shared" si="26"/>
        <v>6</v>
      </c>
      <c r="Q133" s="7">
        <v>49</v>
      </c>
      <c r="R133" s="70"/>
      <c r="S133" s="656">
        <v>45901</v>
      </c>
      <c r="T133" s="318">
        <v>0</v>
      </c>
      <c r="U133" s="318"/>
      <c r="V133" s="199">
        <v>45292</v>
      </c>
      <c r="W133" s="309">
        <v>1</v>
      </c>
      <c r="X133" s="309">
        <v>1</v>
      </c>
      <c r="Y133" s="309">
        <v>1</v>
      </c>
      <c r="Z133" s="429">
        <v>1</v>
      </c>
      <c r="AA133" s="184">
        <f t="shared" si="27"/>
        <v>4</v>
      </c>
      <c r="AB133" s="185">
        <f t="shared" si="28"/>
        <v>1</v>
      </c>
      <c r="AC133" s="185">
        <f t="shared" si="29"/>
        <v>4</v>
      </c>
      <c r="AD133" s="185">
        <f t="shared" si="30"/>
        <v>8</v>
      </c>
    </row>
    <row r="134" spans="1:48" ht="15" customHeight="1" x14ac:dyDescent="0.25">
      <c r="A134" s="314">
        <f t="shared" si="24"/>
        <v>133</v>
      </c>
      <c r="B134" s="314" t="s">
        <v>336</v>
      </c>
      <c r="C134" s="683">
        <v>1</v>
      </c>
      <c r="D134" s="543"/>
      <c r="E134" s="545"/>
      <c r="F134" s="543"/>
      <c r="G134" s="545"/>
      <c r="H134" s="543"/>
      <c r="I134" s="545"/>
      <c r="J134" s="543"/>
      <c r="K134" s="545">
        <v>1</v>
      </c>
      <c r="L134" s="543"/>
      <c r="M134" s="545"/>
      <c r="N134" s="648"/>
      <c r="O134" s="340">
        <f t="shared" si="25"/>
        <v>0</v>
      </c>
      <c r="P134" s="340">
        <f t="shared" si="26"/>
        <v>8</v>
      </c>
      <c r="Q134" s="44">
        <v>52</v>
      </c>
      <c r="R134" s="649"/>
      <c r="S134" s="687">
        <v>46023</v>
      </c>
      <c r="T134" s="274">
        <v>0</v>
      </c>
      <c r="U134" s="318"/>
      <c r="V134" s="527">
        <v>45658</v>
      </c>
      <c r="W134" s="200">
        <v>1</v>
      </c>
      <c r="X134" s="200">
        <v>1</v>
      </c>
      <c r="Y134" s="200">
        <v>1</v>
      </c>
      <c r="Z134" s="682">
        <v>1</v>
      </c>
      <c r="AA134" s="184">
        <f t="shared" si="27"/>
        <v>4</v>
      </c>
      <c r="AB134" s="185">
        <f t="shared" si="28"/>
        <v>1</v>
      </c>
      <c r="AC134" s="185">
        <f t="shared" si="29"/>
        <v>4</v>
      </c>
      <c r="AD134" s="185">
        <f t="shared" si="30"/>
        <v>8</v>
      </c>
    </row>
    <row r="135" spans="1:48" ht="15" customHeight="1" x14ac:dyDescent="0.25">
      <c r="A135" s="314">
        <f t="shared" si="24"/>
        <v>134</v>
      </c>
      <c r="B135" s="314" t="s">
        <v>1107</v>
      </c>
      <c r="C135" s="340">
        <v>22</v>
      </c>
      <c r="D135" s="359"/>
      <c r="E135" s="478">
        <v>1</v>
      </c>
      <c r="F135" s="359"/>
      <c r="G135" s="478"/>
      <c r="H135" s="359"/>
      <c r="I135" s="478"/>
      <c r="J135" s="361"/>
      <c r="K135" s="482"/>
      <c r="L135" s="359"/>
      <c r="M135" s="478"/>
      <c r="N135" s="561"/>
      <c r="O135" s="340">
        <f t="shared" si="25"/>
        <v>21</v>
      </c>
      <c r="P135" s="340">
        <f t="shared" si="26"/>
        <v>5</v>
      </c>
      <c r="Q135" s="7">
        <v>4.2</v>
      </c>
      <c r="R135" s="68"/>
      <c r="S135" s="335">
        <v>46478</v>
      </c>
      <c r="T135" s="318">
        <v>0</v>
      </c>
      <c r="U135" s="318"/>
      <c r="V135" s="344">
        <v>45566</v>
      </c>
      <c r="W135" s="309">
        <v>1</v>
      </c>
      <c r="X135" s="309">
        <v>1</v>
      </c>
      <c r="Y135" s="309">
        <v>10</v>
      </c>
      <c r="Z135" s="429">
        <v>1</v>
      </c>
      <c r="AA135" s="184">
        <f t="shared" si="27"/>
        <v>13</v>
      </c>
      <c r="AB135" s="185">
        <f t="shared" si="28"/>
        <v>3.25</v>
      </c>
      <c r="AC135" s="185">
        <f t="shared" si="29"/>
        <v>13</v>
      </c>
      <c r="AD135" s="185">
        <f t="shared" si="30"/>
        <v>26</v>
      </c>
    </row>
    <row r="136" spans="1:48" ht="15" customHeight="1" x14ac:dyDescent="0.25">
      <c r="A136" s="314">
        <f t="shared" si="24"/>
        <v>135</v>
      </c>
      <c r="B136" s="314" t="s">
        <v>684</v>
      </c>
      <c r="C136" s="340">
        <v>1</v>
      </c>
      <c r="D136" s="361"/>
      <c r="E136" s="482"/>
      <c r="F136" s="361"/>
      <c r="G136" s="482"/>
      <c r="H136" s="361"/>
      <c r="I136" s="482"/>
      <c r="J136" s="359"/>
      <c r="K136" s="482"/>
      <c r="L136" s="361"/>
      <c r="M136" s="482"/>
      <c r="N136" s="563"/>
      <c r="O136" s="340">
        <f t="shared" si="25"/>
        <v>1</v>
      </c>
      <c r="P136" s="340">
        <f t="shared" si="26"/>
        <v>15</v>
      </c>
      <c r="Q136" s="7">
        <v>10</v>
      </c>
      <c r="R136" s="451"/>
      <c r="S136" s="337">
        <v>46113</v>
      </c>
      <c r="T136" s="309">
        <v>0</v>
      </c>
      <c r="U136" s="309"/>
      <c r="V136" s="199">
        <v>45323</v>
      </c>
      <c r="W136" s="107">
        <v>4</v>
      </c>
      <c r="X136" s="309">
        <v>1</v>
      </c>
      <c r="Y136" s="309">
        <v>2</v>
      </c>
      <c r="Z136" s="309">
        <v>1</v>
      </c>
      <c r="AA136" s="184">
        <f t="shared" si="27"/>
        <v>8</v>
      </c>
      <c r="AB136" s="185">
        <f t="shared" si="28"/>
        <v>2</v>
      </c>
      <c r="AC136" s="185">
        <f t="shared" si="29"/>
        <v>8</v>
      </c>
      <c r="AD136" s="185">
        <f t="shared" si="30"/>
        <v>16</v>
      </c>
    </row>
    <row r="137" spans="1:48" x14ac:dyDescent="0.25">
      <c r="A137" s="314">
        <f t="shared" si="24"/>
        <v>136</v>
      </c>
      <c r="B137" s="314" t="s">
        <v>252</v>
      </c>
      <c r="C137" s="340">
        <v>12</v>
      </c>
      <c r="D137" s="359"/>
      <c r="E137" s="478"/>
      <c r="F137" s="359"/>
      <c r="G137" s="478"/>
      <c r="H137" s="359"/>
      <c r="I137" s="478"/>
      <c r="J137" s="359"/>
      <c r="K137" s="478"/>
      <c r="L137" s="359">
        <v>4</v>
      </c>
      <c r="M137" s="478"/>
      <c r="N137" s="561"/>
      <c r="O137" s="340">
        <f t="shared" si="25"/>
        <v>8</v>
      </c>
      <c r="P137" s="340">
        <f t="shared" si="26"/>
        <v>36</v>
      </c>
      <c r="Q137" s="7">
        <v>11</v>
      </c>
      <c r="R137" s="307"/>
      <c r="S137" s="335">
        <v>46600</v>
      </c>
      <c r="T137" s="318">
        <v>3</v>
      </c>
      <c r="U137" s="318">
        <v>1</v>
      </c>
      <c r="V137" s="344">
        <v>45717</v>
      </c>
      <c r="W137" s="309">
        <v>10</v>
      </c>
      <c r="X137" s="309">
        <v>4</v>
      </c>
      <c r="Y137" s="309">
        <v>4</v>
      </c>
      <c r="Z137" s="429">
        <v>4</v>
      </c>
      <c r="AA137" s="184">
        <f t="shared" si="27"/>
        <v>22</v>
      </c>
      <c r="AB137" s="185">
        <f t="shared" si="28"/>
        <v>5.5</v>
      </c>
      <c r="AC137" s="185">
        <f t="shared" si="29"/>
        <v>22</v>
      </c>
      <c r="AD137" s="185">
        <f t="shared" si="30"/>
        <v>44</v>
      </c>
    </row>
    <row r="138" spans="1:48" x14ac:dyDescent="0.25">
      <c r="A138" s="314">
        <f t="shared" si="24"/>
        <v>137</v>
      </c>
      <c r="B138" s="314" t="s">
        <v>1314</v>
      </c>
      <c r="C138" s="340">
        <v>3</v>
      </c>
      <c r="D138" s="361"/>
      <c r="E138" s="481"/>
      <c r="F138" s="361"/>
      <c r="G138" s="482"/>
      <c r="H138" s="361"/>
      <c r="I138" s="482"/>
      <c r="J138" s="369"/>
      <c r="K138" s="481"/>
      <c r="L138" s="361"/>
      <c r="M138" s="481"/>
      <c r="N138" s="563"/>
      <c r="O138" s="340">
        <f t="shared" si="25"/>
        <v>3</v>
      </c>
      <c r="P138" s="340">
        <f t="shared" si="26"/>
        <v>-3</v>
      </c>
      <c r="Q138" s="44">
        <v>20</v>
      </c>
      <c r="R138" s="451"/>
      <c r="S138" s="199">
        <v>46235</v>
      </c>
      <c r="T138" s="309">
        <v>0</v>
      </c>
      <c r="U138" s="309"/>
      <c r="V138" s="199">
        <v>45627</v>
      </c>
      <c r="X138" s="309"/>
      <c r="AA138" s="184">
        <f t="shared" si="27"/>
        <v>0</v>
      </c>
      <c r="AB138" s="185">
        <f t="shared" si="28"/>
        <v>0</v>
      </c>
      <c r="AC138" s="185">
        <f t="shared" si="29"/>
        <v>0</v>
      </c>
      <c r="AD138" s="185">
        <f t="shared" si="30"/>
        <v>0</v>
      </c>
    </row>
    <row r="139" spans="1:48" ht="15" customHeight="1" x14ac:dyDescent="0.25">
      <c r="A139" s="314">
        <f t="shared" si="24"/>
        <v>138</v>
      </c>
      <c r="B139" s="314" t="s">
        <v>959</v>
      </c>
      <c r="C139" s="340">
        <v>1</v>
      </c>
      <c r="D139" s="361"/>
      <c r="E139" s="481"/>
      <c r="F139" s="361"/>
      <c r="G139" s="482"/>
      <c r="H139" s="361"/>
      <c r="I139" s="482"/>
      <c r="J139" s="369"/>
      <c r="K139" s="481"/>
      <c r="L139" s="361"/>
      <c r="M139" s="481"/>
      <c r="N139" s="563"/>
      <c r="O139" s="340">
        <f t="shared" si="25"/>
        <v>1</v>
      </c>
      <c r="P139" s="340">
        <f t="shared" si="26"/>
        <v>5</v>
      </c>
      <c r="Q139" s="44">
        <v>25</v>
      </c>
      <c r="R139" s="451"/>
      <c r="S139" s="199">
        <v>46661</v>
      </c>
      <c r="T139" s="309">
        <v>0</v>
      </c>
      <c r="U139" s="309"/>
      <c r="V139" s="199">
        <v>45627</v>
      </c>
      <c r="X139" s="309"/>
      <c r="Y139" s="309">
        <v>2</v>
      </c>
      <c r="Z139" s="309">
        <v>1</v>
      </c>
      <c r="AA139" s="184">
        <f t="shared" si="27"/>
        <v>3</v>
      </c>
      <c r="AB139" s="185">
        <f t="shared" si="28"/>
        <v>0.75</v>
      </c>
      <c r="AC139" s="185">
        <f t="shared" si="29"/>
        <v>3</v>
      </c>
      <c r="AD139" s="185">
        <f t="shared" si="30"/>
        <v>6</v>
      </c>
    </row>
    <row r="140" spans="1:48" x14ac:dyDescent="0.25">
      <c r="A140" s="314">
        <f t="shared" si="24"/>
        <v>139</v>
      </c>
      <c r="B140" s="314" t="s">
        <v>955</v>
      </c>
      <c r="C140" s="340">
        <v>5</v>
      </c>
      <c r="D140" s="361"/>
      <c r="E140" s="482"/>
      <c r="F140" s="361"/>
      <c r="G140" s="482"/>
      <c r="H140" s="361"/>
      <c r="I140" s="482"/>
      <c r="J140" s="359"/>
      <c r="K140" s="478"/>
      <c r="L140" s="361"/>
      <c r="M140" s="482"/>
      <c r="N140" s="563"/>
      <c r="O140" s="340">
        <f t="shared" si="25"/>
        <v>5</v>
      </c>
      <c r="P140" s="340">
        <f t="shared" si="26"/>
        <v>7</v>
      </c>
      <c r="Q140" s="44">
        <v>24</v>
      </c>
      <c r="R140" s="307"/>
      <c r="S140" s="335">
        <v>46692</v>
      </c>
      <c r="T140" s="318">
        <v>0</v>
      </c>
      <c r="U140" s="318"/>
      <c r="V140" s="199">
        <v>45505</v>
      </c>
      <c r="W140" s="309">
        <v>1</v>
      </c>
      <c r="X140" s="309">
        <v>1</v>
      </c>
      <c r="Y140" s="309">
        <v>1</v>
      </c>
      <c r="Z140" s="429">
        <v>3</v>
      </c>
      <c r="AA140" s="184">
        <f t="shared" si="27"/>
        <v>6</v>
      </c>
      <c r="AB140" s="185">
        <f t="shared" si="28"/>
        <v>1.5</v>
      </c>
      <c r="AC140" s="185">
        <f t="shared" si="29"/>
        <v>6</v>
      </c>
      <c r="AD140" s="185">
        <f t="shared" si="30"/>
        <v>12</v>
      </c>
      <c r="AT140" s="97"/>
      <c r="AU140" s="97"/>
      <c r="AV140" s="97"/>
    </row>
    <row r="141" spans="1:48" ht="15" customHeight="1" x14ac:dyDescent="0.25">
      <c r="A141" s="314">
        <f t="shared" si="24"/>
        <v>140</v>
      </c>
      <c r="B141" s="3" t="s">
        <v>956</v>
      </c>
      <c r="C141" s="340">
        <v>1</v>
      </c>
      <c r="D141" s="361"/>
      <c r="E141" s="481"/>
      <c r="F141" s="361"/>
      <c r="G141" s="482"/>
      <c r="H141" s="361"/>
      <c r="I141" s="482"/>
      <c r="J141" s="369"/>
      <c r="K141" s="481"/>
      <c r="L141" s="361"/>
      <c r="M141" s="481"/>
      <c r="N141" s="563"/>
      <c r="O141" s="340">
        <f t="shared" si="25"/>
        <v>1</v>
      </c>
      <c r="P141" s="340">
        <f t="shared" si="26"/>
        <v>1</v>
      </c>
      <c r="Q141" s="44">
        <v>20</v>
      </c>
      <c r="R141" s="451"/>
      <c r="S141" s="199">
        <v>46874</v>
      </c>
      <c r="T141" s="309">
        <v>0</v>
      </c>
      <c r="U141" s="309"/>
      <c r="V141" s="199">
        <v>45536</v>
      </c>
      <c r="X141" s="309"/>
      <c r="Z141" s="309">
        <v>1</v>
      </c>
      <c r="AA141" s="184">
        <f t="shared" si="27"/>
        <v>1</v>
      </c>
      <c r="AB141" s="185">
        <f t="shared" si="28"/>
        <v>0.25</v>
      </c>
      <c r="AC141" s="185">
        <f t="shared" si="29"/>
        <v>1</v>
      </c>
      <c r="AD141" s="185">
        <f t="shared" si="30"/>
        <v>2</v>
      </c>
    </row>
    <row r="142" spans="1:48" s="113" customFormat="1" ht="15" customHeight="1" x14ac:dyDescent="0.25">
      <c r="A142" s="314">
        <f t="shared" si="24"/>
        <v>141</v>
      </c>
      <c r="B142" s="314" t="s">
        <v>957</v>
      </c>
      <c r="C142" s="340">
        <v>1</v>
      </c>
      <c r="D142" s="361"/>
      <c r="E142" s="481"/>
      <c r="F142" s="361"/>
      <c r="G142" s="482"/>
      <c r="H142" s="361"/>
      <c r="I142" s="482"/>
      <c r="J142" s="369"/>
      <c r="K142" s="481"/>
      <c r="L142" s="361"/>
      <c r="M142" s="481"/>
      <c r="N142" s="563"/>
      <c r="O142" s="340">
        <f t="shared" si="25"/>
        <v>1</v>
      </c>
      <c r="P142" s="340">
        <f t="shared" si="26"/>
        <v>1</v>
      </c>
      <c r="Q142" s="44">
        <v>35</v>
      </c>
      <c r="R142" s="451"/>
      <c r="S142" s="199">
        <v>46419</v>
      </c>
      <c r="T142" s="309">
        <v>0</v>
      </c>
      <c r="U142" s="309"/>
      <c r="V142" s="199">
        <v>45536</v>
      </c>
      <c r="W142" s="107"/>
      <c r="X142" s="309">
        <v>1</v>
      </c>
      <c r="Y142" s="309"/>
      <c r="Z142" s="309"/>
      <c r="AA142" s="184">
        <f t="shared" si="27"/>
        <v>1</v>
      </c>
      <c r="AB142" s="185">
        <f t="shared" si="28"/>
        <v>0.25</v>
      </c>
      <c r="AC142" s="185">
        <f t="shared" si="29"/>
        <v>1</v>
      </c>
      <c r="AD142" s="185">
        <f t="shared" si="30"/>
        <v>2</v>
      </c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</row>
    <row r="143" spans="1:48" ht="15" customHeight="1" x14ac:dyDescent="0.25">
      <c r="A143" s="314">
        <f t="shared" si="24"/>
        <v>142</v>
      </c>
      <c r="B143" s="314" t="s">
        <v>958</v>
      </c>
      <c r="C143" s="340">
        <v>1</v>
      </c>
      <c r="D143" s="361"/>
      <c r="E143" s="481"/>
      <c r="F143" s="361"/>
      <c r="G143" s="482"/>
      <c r="H143" s="361"/>
      <c r="I143" s="482"/>
      <c r="J143" s="369"/>
      <c r="K143" s="481"/>
      <c r="L143" s="361"/>
      <c r="M143" s="481"/>
      <c r="N143" s="563"/>
      <c r="O143" s="340">
        <f t="shared" si="25"/>
        <v>1</v>
      </c>
      <c r="P143" s="340">
        <f t="shared" si="26"/>
        <v>-1</v>
      </c>
      <c r="Q143" s="44">
        <v>27</v>
      </c>
      <c r="R143" s="451"/>
      <c r="S143" s="199">
        <v>46296</v>
      </c>
      <c r="T143" s="309">
        <v>0</v>
      </c>
      <c r="U143" s="309"/>
      <c r="V143" s="199">
        <v>45536</v>
      </c>
      <c r="X143" s="309"/>
      <c r="AA143" s="184">
        <f t="shared" si="27"/>
        <v>0</v>
      </c>
      <c r="AB143" s="185">
        <f t="shared" si="28"/>
        <v>0</v>
      </c>
      <c r="AC143" s="185">
        <f t="shared" si="29"/>
        <v>0</v>
      </c>
      <c r="AD143" s="185">
        <f t="shared" si="30"/>
        <v>0</v>
      </c>
    </row>
    <row r="144" spans="1:48" ht="16.5" customHeight="1" x14ac:dyDescent="0.25">
      <c r="A144" s="314">
        <f t="shared" si="24"/>
        <v>143</v>
      </c>
      <c r="B144" s="314" t="s">
        <v>1109</v>
      </c>
      <c r="C144" s="340">
        <v>68</v>
      </c>
      <c r="D144" s="359"/>
      <c r="E144" s="478"/>
      <c r="F144" s="359"/>
      <c r="G144" s="478">
        <v>10</v>
      </c>
      <c r="H144" s="359"/>
      <c r="I144" s="478"/>
      <c r="J144" s="361"/>
      <c r="K144" s="482"/>
      <c r="L144" s="359">
        <v>10</v>
      </c>
      <c r="M144" s="478">
        <v>2</v>
      </c>
      <c r="N144" s="561"/>
      <c r="O144" s="340">
        <f t="shared" si="25"/>
        <v>46</v>
      </c>
      <c r="P144" s="340">
        <f t="shared" si="26"/>
        <v>122</v>
      </c>
      <c r="Q144" s="7">
        <v>1.5</v>
      </c>
      <c r="R144" s="307"/>
      <c r="S144" s="335">
        <v>46539</v>
      </c>
      <c r="T144" s="318">
        <v>4</v>
      </c>
      <c r="U144" s="318">
        <v>3</v>
      </c>
      <c r="V144" s="344">
        <v>45717</v>
      </c>
      <c r="W144" s="309">
        <v>30</v>
      </c>
      <c r="X144" s="309">
        <v>20</v>
      </c>
      <c r="Y144" s="309">
        <v>12</v>
      </c>
      <c r="Z144" s="429">
        <v>22</v>
      </c>
      <c r="AA144" s="184">
        <f t="shared" si="27"/>
        <v>84</v>
      </c>
      <c r="AB144" s="185">
        <f t="shared" si="28"/>
        <v>21</v>
      </c>
      <c r="AC144" s="185">
        <f t="shared" si="29"/>
        <v>84</v>
      </c>
      <c r="AD144" s="185">
        <f t="shared" si="30"/>
        <v>168</v>
      </c>
    </row>
    <row r="145" spans="1:30" ht="15" customHeight="1" x14ac:dyDescent="0.25">
      <c r="A145" s="314">
        <f t="shared" si="24"/>
        <v>144</v>
      </c>
      <c r="B145" s="314" t="s">
        <v>843</v>
      </c>
      <c r="C145" s="340">
        <v>34</v>
      </c>
      <c r="D145" s="359"/>
      <c r="E145" s="478">
        <v>5</v>
      </c>
      <c r="F145" s="359"/>
      <c r="G145" s="478"/>
      <c r="H145" s="359"/>
      <c r="I145" s="478"/>
      <c r="J145" s="359"/>
      <c r="K145" s="478"/>
      <c r="L145" s="359">
        <v>3</v>
      </c>
      <c r="M145" s="478"/>
      <c r="N145" s="561"/>
      <c r="O145" s="340">
        <f t="shared" si="25"/>
        <v>26</v>
      </c>
      <c r="P145" s="340">
        <f t="shared" si="26"/>
        <v>20</v>
      </c>
      <c r="Q145" s="7">
        <v>1</v>
      </c>
      <c r="R145" s="8"/>
      <c r="S145" s="118">
        <v>46692</v>
      </c>
      <c r="T145" s="316">
        <v>0</v>
      </c>
      <c r="U145" s="316"/>
      <c r="V145" s="199">
        <v>45717</v>
      </c>
      <c r="W145" s="309">
        <v>1</v>
      </c>
      <c r="X145" s="107">
        <v>11</v>
      </c>
      <c r="Y145" s="309">
        <v>3</v>
      </c>
      <c r="Z145" s="309">
        <v>8</v>
      </c>
      <c r="AA145" s="184">
        <f t="shared" si="27"/>
        <v>23</v>
      </c>
      <c r="AB145" s="185">
        <f t="shared" si="28"/>
        <v>5.75</v>
      </c>
      <c r="AC145" s="185">
        <f t="shared" si="29"/>
        <v>23</v>
      </c>
      <c r="AD145" s="185">
        <f t="shared" si="30"/>
        <v>46</v>
      </c>
    </row>
    <row r="146" spans="1:30" ht="15" customHeight="1" x14ac:dyDescent="0.25">
      <c r="A146" s="314">
        <f t="shared" si="24"/>
        <v>145</v>
      </c>
      <c r="B146" s="651" t="s">
        <v>513</v>
      </c>
      <c r="C146" s="653">
        <v>2</v>
      </c>
      <c r="D146" s="359"/>
      <c r="E146" s="478"/>
      <c r="F146" s="359"/>
      <c r="G146" s="478"/>
      <c r="H146" s="359"/>
      <c r="I146" s="478"/>
      <c r="J146" s="373"/>
      <c r="K146" s="493"/>
      <c r="L146" s="359"/>
      <c r="M146" s="478"/>
      <c r="N146" s="561"/>
      <c r="O146" s="340">
        <f t="shared" si="25"/>
        <v>2</v>
      </c>
      <c r="P146" s="340">
        <f t="shared" si="26"/>
        <v>4</v>
      </c>
      <c r="Q146" s="44">
        <v>23</v>
      </c>
      <c r="R146" s="307"/>
      <c r="S146" s="657">
        <v>45809</v>
      </c>
      <c r="T146" s="316">
        <v>0</v>
      </c>
      <c r="U146" s="321"/>
      <c r="V146" s="77">
        <v>45170</v>
      </c>
      <c r="W146" s="28"/>
      <c r="X146" s="28">
        <v>1</v>
      </c>
      <c r="Y146" s="28">
        <v>1</v>
      </c>
      <c r="Z146" s="429">
        <v>1</v>
      </c>
      <c r="AA146" s="184">
        <f t="shared" si="27"/>
        <v>3</v>
      </c>
      <c r="AB146" s="185">
        <f t="shared" si="28"/>
        <v>0.75</v>
      </c>
      <c r="AC146" s="185">
        <f t="shared" si="29"/>
        <v>3</v>
      </c>
      <c r="AD146" s="185">
        <f t="shared" si="30"/>
        <v>6</v>
      </c>
    </row>
    <row r="147" spans="1:30" ht="15" customHeight="1" x14ac:dyDescent="0.25">
      <c r="A147" s="314">
        <f t="shared" si="24"/>
        <v>146</v>
      </c>
      <c r="B147" s="314" t="s">
        <v>90</v>
      </c>
      <c r="C147" s="340">
        <v>5</v>
      </c>
      <c r="D147" s="361"/>
      <c r="E147" s="482"/>
      <c r="F147" s="361"/>
      <c r="G147" s="482"/>
      <c r="H147" s="361"/>
      <c r="I147" s="482"/>
      <c r="J147" s="359"/>
      <c r="K147" s="478"/>
      <c r="L147" s="361"/>
      <c r="M147" s="482"/>
      <c r="N147" s="563"/>
      <c r="O147" s="340">
        <f t="shared" si="25"/>
        <v>5</v>
      </c>
      <c r="P147" s="340">
        <f t="shared" si="26"/>
        <v>5</v>
      </c>
      <c r="Q147" s="7">
        <v>9</v>
      </c>
      <c r="R147" s="307"/>
      <c r="S147" s="335">
        <v>46174</v>
      </c>
      <c r="T147" s="318">
        <v>7</v>
      </c>
      <c r="U147" s="318"/>
      <c r="V147" s="199">
        <v>45689</v>
      </c>
      <c r="W147" s="309">
        <v>1</v>
      </c>
      <c r="X147" s="309">
        <v>1</v>
      </c>
      <c r="Y147" s="309">
        <v>2</v>
      </c>
      <c r="Z147" s="429">
        <v>1</v>
      </c>
      <c r="AA147" s="184">
        <f t="shared" si="27"/>
        <v>5</v>
      </c>
      <c r="AB147" s="185">
        <f t="shared" si="28"/>
        <v>1.25</v>
      </c>
      <c r="AC147" s="185">
        <f t="shared" si="29"/>
        <v>5</v>
      </c>
      <c r="AD147" s="185">
        <f t="shared" si="30"/>
        <v>10</v>
      </c>
    </row>
    <row r="148" spans="1:30" ht="15" customHeight="1" x14ac:dyDescent="0.25">
      <c r="A148" s="314">
        <f t="shared" si="24"/>
        <v>147</v>
      </c>
      <c r="B148" s="314" t="s">
        <v>13</v>
      </c>
      <c r="C148" s="341">
        <v>3</v>
      </c>
      <c r="D148" s="361"/>
      <c r="E148" s="482"/>
      <c r="F148" s="361"/>
      <c r="G148" s="482"/>
      <c r="H148" s="361"/>
      <c r="I148" s="482"/>
      <c r="J148" s="361"/>
      <c r="K148" s="482"/>
      <c r="L148" s="361"/>
      <c r="M148" s="482"/>
      <c r="N148" s="563"/>
      <c r="O148" s="340">
        <f t="shared" si="25"/>
        <v>3</v>
      </c>
      <c r="P148" s="340">
        <f t="shared" si="26"/>
        <v>5</v>
      </c>
      <c r="Q148" s="7">
        <v>9</v>
      </c>
      <c r="R148" s="307"/>
      <c r="S148" s="335">
        <v>46235</v>
      </c>
      <c r="T148" s="318">
        <v>0</v>
      </c>
      <c r="U148" s="318"/>
      <c r="V148" s="344">
        <v>45474</v>
      </c>
      <c r="W148" s="309">
        <v>1</v>
      </c>
      <c r="X148" s="309">
        <v>1</v>
      </c>
      <c r="Y148" s="309">
        <v>1</v>
      </c>
      <c r="Z148" s="429">
        <v>1</v>
      </c>
      <c r="AA148" s="184">
        <f t="shared" si="27"/>
        <v>4</v>
      </c>
      <c r="AB148" s="185">
        <f t="shared" si="28"/>
        <v>1</v>
      </c>
      <c r="AC148" s="185">
        <f t="shared" si="29"/>
        <v>4</v>
      </c>
      <c r="AD148" s="185">
        <f t="shared" si="30"/>
        <v>8</v>
      </c>
    </row>
    <row r="149" spans="1:30" ht="15" customHeight="1" x14ac:dyDescent="0.25">
      <c r="A149" s="314">
        <f t="shared" si="24"/>
        <v>148</v>
      </c>
      <c r="B149" s="314" t="s">
        <v>639</v>
      </c>
      <c r="C149" s="340">
        <v>3</v>
      </c>
      <c r="D149" s="359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340">
        <f t="shared" si="25"/>
        <v>3</v>
      </c>
      <c r="P149" s="340">
        <f t="shared" si="26"/>
        <v>7</v>
      </c>
      <c r="Q149" s="7">
        <v>20</v>
      </c>
      <c r="R149" s="307"/>
      <c r="S149" s="335">
        <v>46204</v>
      </c>
      <c r="T149" s="318">
        <v>0</v>
      </c>
      <c r="U149" s="318"/>
      <c r="V149" s="199">
        <v>45444</v>
      </c>
      <c r="W149" s="309">
        <v>1</v>
      </c>
      <c r="X149" s="309">
        <v>1</v>
      </c>
      <c r="Y149" s="309">
        <v>2</v>
      </c>
      <c r="Z149" s="429">
        <v>1</v>
      </c>
      <c r="AA149" s="184">
        <f t="shared" si="27"/>
        <v>5</v>
      </c>
      <c r="AB149" s="185">
        <f t="shared" si="28"/>
        <v>1.25</v>
      </c>
      <c r="AC149" s="185">
        <f t="shared" si="29"/>
        <v>5</v>
      </c>
      <c r="AD149" s="185">
        <f t="shared" si="30"/>
        <v>10</v>
      </c>
    </row>
    <row r="150" spans="1:30" ht="15" customHeight="1" x14ac:dyDescent="0.25">
      <c r="A150" s="314">
        <f t="shared" si="24"/>
        <v>149</v>
      </c>
      <c r="B150" s="314" t="s">
        <v>911</v>
      </c>
      <c r="C150" s="341">
        <v>2</v>
      </c>
      <c r="D150" s="359"/>
      <c r="E150" s="478"/>
      <c r="F150" s="361"/>
      <c r="G150" s="482"/>
      <c r="H150" s="359"/>
      <c r="I150" s="478"/>
      <c r="J150" s="361"/>
      <c r="K150" s="482"/>
      <c r="L150" s="359"/>
      <c r="M150" s="478"/>
      <c r="N150" s="561"/>
      <c r="O150" s="340">
        <f t="shared" si="25"/>
        <v>2</v>
      </c>
      <c r="P150" s="340">
        <f t="shared" si="26"/>
        <v>6</v>
      </c>
      <c r="Q150" s="44">
        <v>23</v>
      </c>
      <c r="R150" s="307"/>
      <c r="S150" s="335">
        <v>47150</v>
      </c>
      <c r="T150" s="318">
        <v>5</v>
      </c>
      <c r="U150" s="318"/>
      <c r="V150" s="344">
        <v>45689</v>
      </c>
      <c r="W150" s="309">
        <v>1</v>
      </c>
      <c r="X150" s="122">
        <v>1</v>
      </c>
      <c r="Y150" s="309">
        <v>1</v>
      </c>
      <c r="Z150" s="429">
        <v>1</v>
      </c>
      <c r="AA150" s="184">
        <f t="shared" si="27"/>
        <v>4</v>
      </c>
      <c r="AB150" s="185">
        <f t="shared" si="28"/>
        <v>1</v>
      </c>
      <c r="AC150" s="185">
        <f t="shared" si="29"/>
        <v>4</v>
      </c>
      <c r="AD150" s="185">
        <f t="shared" si="30"/>
        <v>8</v>
      </c>
    </row>
    <row r="151" spans="1:30" ht="15" customHeight="1" x14ac:dyDescent="0.25">
      <c r="A151" s="314">
        <f t="shared" si="24"/>
        <v>150</v>
      </c>
      <c r="B151" s="314" t="s">
        <v>1110</v>
      </c>
      <c r="C151" s="340">
        <v>73</v>
      </c>
      <c r="D151" s="359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340">
        <f t="shared" si="25"/>
        <v>73</v>
      </c>
      <c r="P151" s="340">
        <f t="shared" si="26"/>
        <v>87</v>
      </c>
      <c r="Q151" s="7">
        <v>1</v>
      </c>
      <c r="R151" s="307"/>
      <c r="S151" s="335">
        <v>46235</v>
      </c>
      <c r="T151" s="318">
        <v>4</v>
      </c>
      <c r="U151" s="318">
        <v>4</v>
      </c>
      <c r="V151" s="344">
        <v>45717</v>
      </c>
      <c r="W151" s="309">
        <v>50</v>
      </c>
      <c r="X151" s="309">
        <v>10</v>
      </c>
      <c r="Y151" s="309">
        <v>10</v>
      </c>
      <c r="Z151" s="429">
        <v>10</v>
      </c>
      <c r="AA151" s="184">
        <f t="shared" si="27"/>
        <v>80</v>
      </c>
      <c r="AB151" s="185">
        <f t="shared" si="28"/>
        <v>20</v>
      </c>
      <c r="AC151" s="185">
        <f t="shared" si="29"/>
        <v>80</v>
      </c>
      <c r="AD151" s="185">
        <f t="shared" si="30"/>
        <v>160</v>
      </c>
    </row>
    <row r="152" spans="1:30" ht="15" customHeight="1" x14ac:dyDescent="0.25">
      <c r="A152" s="314">
        <f t="shared" si="24"/>
        <v>151</v>
      </c>
      <c r="B152" s="314" t="s">
        <v>1111</v>
      </c>
      <c r="C152" s="340">
        <v>6</v>
      </c>
      <c r="D152" s="359"/>
      <c r="E152" s="478">
        <v>1</v>
      </c>
      <c r="F152" s="359"/>
      <c r="G152" s="478">
        <v>1</v>
      </c>
      <c r="H152" s="359"/>
      <c r="I152" s="478">
        <v>1</v>
      </c>
      <c r="J152" s="361">
        <v>1</v>
      </c>
      <c r="K152" s="482">
        <v>2</v>
      </c>
      <c r="L152" s="359"/>
      <c r="M152" s="478"/>
      <c r="N152" s="561"/>
      <c r="O152" s="340">
        <f t="shared" si="25"/>
        <v>0</v>
      </c>
      <c r="P152" s="340">
        <f t="shared" si="26"/>
        <v>32</v>
      </c>
      <c r="Q152" s="7">
        <v>10</v>
      </c>
      <c r="R152" s="307"/>
      <c r="S152" s="335">
        <v>46388</v>
      </c>
      <c r="T152" s="318">
        <v>0</v>
      </c>
      <c r="U152" s="318"/>
      <c r="V152" s="344">
        <v>45658</v>
      </c>
      <c r="W152" s="309">
        <v>4</v>
      </c>
      <c r="X152" s="309">
        <v>2</v>
      </c>
      <c r="Y152" s="309">
        <v>4</v>
      </c>
      <c r="Z152" s="429">
        <v>6</v>
      </c>
      <c r="AA152" s="184">
        <f t="shared" si="27"/>
        <v>16</v>
      </c>
      <c r="AB152" s="185">
        <f t="shared" si="28"/>
        <v>4</v>
      </c>
      <c r="AC152" s="185">
        <f t="shared" si="29"/>
        <v>16</v>
      </c>
      <c r="AD152" s="185">
        <f t="shared" si="30"/>
        <v>32</v>
      </c>
    </row>
    <row r="153" spans="1:30" ht="15" customHeight="1" x14ac:dyDescent="0.25">
      <c r="A153" s="314">
        <f t="shared" si="24"/>
        <v>152</v>
      </c>
      <c r="B153" s="314" t="s">
        <v>1003</v>
      </c>
      <c r="C153" s="340">
        <v>107</v>
      </c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340">
        <f t="shared" si="25"/>
        <v>107</v>
      </c>
      <c r="P153" s="340">
        <f t="shared" si="26"/>
        <v>141</v>
      </c>
      <c r="Q153" s="7">
        <v>1.6</v>
      </c>
      <c r="R153" s="307"/>
      <c r="S153" s="434">
        <v>46023</v>
      </c>
      <c r="T153" s="318">
        <v>0</v>
      </c>
      <c r="U153" s="318"/>
      <c r="V153" s="199">
        <v>45474</v>
      </c>
      <c r="W153" s="309">
        <v>40</v>
      </c>
      <c r="X153" s="309">
        <v>24</v>
      </c>
      <c r="Y153" s="309">
        <v>20</v>
      </c>
      <c r="Z153" s="429">
        <v>40</v>
      </c>
      <c r="AA153" s="184">
        <f t="shared" si="27"/>
        <v>124</v>
      </c>
      <c r="AB153" s="185">
        <f t="shared" si="28"/>
        <v>31</v>
      </c>
      <c r="AC153" s="185">
        <f t="shared" si="29"/>
        <v>124</v>
      </c>
      <c r="AD153" s="185">
        <f t="shared" si="30"/>
        <v>248</v>
      </c>
    </row>
    <row r="154" spans="1:30" ht="15" customHeight="1" x14ac:dyDescent="0.25">
      <c r="A154" s="314">
        <f t="shared" si="24"/>
        <v>153</v>
      </c>
      <c r="B154" s="314" t="s">
        <v>357</v>
      </c>
      <c r="C154" s="340">
        <v>1</v>
      </c>
      <c r="D154" s="359"/>
      <c r="E154" s="478"/>
      <c r="F154" s="359"/>
      <c r="G154" s="478"/>
      <c r="H154" s="359"/>
      <c r="I154" s="478"/>
      <c r="J154" s="361"/>
      <c r="K154" s="482"/>
      <c r="L154" s="359"/>
      <c r="M154" s="478"/>
      <c r="N154" s="561"/>
      <c r="O154" s="340">
        <f t="shared" si="25"/>
        <v>1</v>
      </c>
      <c r="P154" s="340">
        <f t="shared" si="26"/>
        <v>7</v>
      </c>
      <c r="Q154" s="7">
        <v>20</v>
      </c>
      <c r="R154" s="307"/>
      <c r="S154" s="335">
        <v>46388</v>
      </c>
      <c r="T154" s="318">
        <v>1</v>
      </c>
      <c r="U154" s="318"/>
      <c r="V154" s="199">
        <v>45505</v>
      </c>
      <c r="W154" s="309">
        <v>1</v>
      </c>
      <c r="X154" s="309">
        <v>1</v>
      </c>
      <c r="Y154" s="309">
        <v>1</v>
      </c>
      <c r="Z154" s="429">
        <v>1</v>
      </c>
      <c r="AA154" s="184">
        <f t="shared" si="27"/>
        <v>4</v>
      </c>
      <c r="AB154" s="185">
        <f t="shared" si="28"/>
        <v>1</v>
      </c>
      <c r="AC154" s="185">
        <f t="shared" si="29"/>
        <v>4</v>
      </c>
      <c r="AD154" s="185">
        <f t="shared" si="30"/>
        <v>8</v>
      </c>
    </row>
    <row r="155" spans="1:30" ht="15" customHeight="1" x14ac:dyDescent="0.25">
      <c r="A155" s="314">
        <f t="shared" si="24"/>
        <v>154</v>
      </c>
      <c r="B155" s="314" t="s">
        <v>311</v>
      </c>
      <c r="C155" s="340">
        <v>0</v>
      </c>
      <c r="D155" s="361"/>
      <c r="E155" s="482"/>
      <c r="F155" s="361"/>
      <c r="G155" s="478"/>
      <c r="H155" s="361"/>
      <c r="I155" s="482"/>
      <c r="J155" s="359"/>
      <c r="K155" s="478"/>
      <c r="L155" s="361"/>
      <c r="M155" s="482"/>
      <c r="N155" s="563"/>
      <c r="O155" s="340">
        <f t="shared" si="25"/>
        <v>0</v>
      </c>
      <c r="P155" s="340">
        <f t="shared" si="26"/>
        <v>0</v>
      </c>
      <c r="Q155" s="7">
        <v>0.5</v>
      </c>
      <c r="R155" s="68"/>
      <c r="S155" s="326"/>
      <c r="T155" s="318"/>
      <c r="U155" s="318"/>
      <c r="V155" s="344"/>
      <c r="W155" s="309"/>
      <c r="X155" s="309"/>
      <c r="Z155" s="429"/>
      <c r="AA155" s="184">
        <f t="shared" si="27"/>
        <v>0</v>
      </c>
      <c r="AB155" s="185">
        <f t="shared" si="28"/>
        <v>0</v>
      </c>
      <c r="AC155" s="185">
        <f t="shared" si="29"/>
        <v>0</v>
      </c>
      <c r="AD155" s="185">
        <f t="shared" si="30"/>
        <v>0</v>
      </c>
    </row>
    <row r="156" spans="1:30" ht="15" customHeight="1" x14ac:dyDescent="0.25">
      <c r="A156" s="314">
        <f t="shared" si="24"/>
        <v>155</v>
      </c>
      <c r="B156" s="314" t="s">
        <v>11</v>
      </c>
      <c r="C156" s="340">
        <v>10</v>
      </c>
      <c r="D156" s="359"/>
      <c r="E156" s="478"/>
      <c r="F156" s="359"/>
      <c r="G156" s="478"/>
      <c r="H156" s="359"/>
      <c r="I156" s="478"/>
      <c r="J156" s="361"/>
      <c r="K156" s="482"/>
      <c r="L156" s="359"/>
      <c r="M156" s="478"/>
      <c r="N156" s="561"/>
      <c r="O156" s="340">
        <f t="shared" si="25"/>
        <v>10</v>
      </c>
      <c r="P156" s="340">
        <f t="shared" si="26"/>
        <v>-2</v>
      </c>
      <c r="Q156" s="7">
        <v>3</v>
      </c>
      <c r="R156" s="68"/>
      <c r="S156" s="335">
        <v>46569</v>
      </c>
      <c r="T156" s="318">
        <v>0</v>
      </c>
      <c r="U156" s="318">
        <v>1</v>
      </c>
      <c r="V156" s="344">
        <v>45717</v>
      </c>
      <c r="W156" s="309">
        <v>1</v>
      </c>
      <c r="X156" s="309">
        <v>1</v>
      </c>
      <c r="Y156" s="309">
        <v>1</v>
      </c>
      <c r="Z156" s="429">
        <v>1</v>
      </c>
      <c r="AA156" s="184">
        <f t="shared" si="27"/>
        <v>4</v>
      </c>
      <c r="AB156" s="185">
        <f t="shared" si="28"/>
        <v>1</v>
      </c>
      <c r="AC156" s="185">
        <f t="shared" si="29"/>
        <v>4</v>
      </c>
      <c r="AD156" s="185">
        <f t="shared" si="30"/>
        <v>8</v>
      </c>
    </row>
    <row r="157" spans="1:30" ht="15" customHeight="1" x14ac:dyDescent="0.25">
      <c r="A157" s="314">
        <f t="shared" si="24"/>
        <v>156</v>
      </c>
      <c r="B157" s="651" t="s">
        <v>293</v>
      </c>
      <c r="C157" s="653">
        <v>2</v>
      </c>
      <c r="D157" s="361"/>
      <c r="E157" s="482"/>
      <c r="F157" s="361"/>
      <c r="G157" s="482"/>
      <c r="H157" s="361"/>
      <c r="I157" s="482"/>
      <c r="J157" s="361"/>
      <c r="K157" s="482"/>
      <c r="L157" s="361"/>
      <c r="M157" s="491"/>
      <c r="N157" s="563"/>
      <c r="O157" s="340">
        <f t="shared" si="25"/>
        <v>2</v>
      </c>
      <c r="P157" s="340">
        <f t="shared" si="26"/>
        <v>20</v>
      </c>
      <c r="Q157" s="7">
        <v>3</v>
      </c>
      <c r="R157" s="307"/>
      <c r="S157" s="656">
        <v>45901</v>
      </c>
      <c r="T157" s="318">
        <v>0</v>
      </c>
      <c r="U157" s="318"/>
      <c r="V157" s="199">
        <v>45017</v>
      </c>
      <c r="W157" s="309">
        <v>3</v>
      </c>
      <c r="X157" s="309">
        <v>3</v>
      </c>
      <c r="Y157" s="309">
        <v>3</v>
      </c>
      <c r="Z157" s="429">
        <v>2</v>
      </c>
      <c r="AA157" s="184">
        <f t="shared" si="27"/>
        <v>11</v>
      </c>
      <c r="AB157" s="185">
        <f t="shared" si="28"/>
        <v>2.75</v>
      </c>
      <c r="AC157" s="185">
        <f t="shared" si="29"/>
        <v>11</v>
      </c>
      <c r="AD157" s="185">
        <f t="shared" si="30"/>
        <v>22</v>
      </c>
    </row>
    <row r="158" spans="1:30" ht="15" customHeight="1" x14ac:dyDescent="0.25">
      <c r="A158" s="314">
        <f t="shared" si="24"/>
        <v>157</v>
      </c>
      <c r="B158" s="314" t="s">
        <v>912</v>
      </c>
      <c r="C158" s="340">
        <v>6</v>
      </c>
      <c r="D158" s="361"/>
      <c r="E158" s="482"/>
      <c r="F158" s="361"/>
      <c r="G158" s="482"/>
      <c r="H158" s="361"/>
      <c r="I158" s="482"/>
      <c r="J158" s="361"/>
      <c r="K158" s="482"/>
      <c r="L158" s="361"/>
      <c r="M158" s="491"/>
      <c r="N158" s="563"/>
      <c r="O158" s="340">
        <f t="shared" si="25"/>
        <v>6</v>
      </c>
      <c r="P158" s="340">
        <f t="shared" si="26"/>
        <v>36</v>
      </c>
      <c r="Q158" s="7">
        <v>44</v>
      </c>
      <c r="R158" s="451"/>
      <c r="S158" s="335">
        <v>46174</v>
      </c>
      <c r="T158" s="318">
        <v>6</v>
      </c>
      <c r="U158" s="318">
        <v>4</v>
      </c>
      <c r="V158" s="199">
        <v>45717</v>
      </c>
      <c r="W158" s="309">
        <v>9</v>
      </c>
      <c r="X158" s="309">
        <v>3</v>
      </c>
      <c r="Y158" s="309">
        <v>3</v>
      </c>
      <c r="Z158" s="429">
        <v>6</v>
      </c>
      <c r="AA158" s="184">
        <f t="shared" si="27"/>
        <v>21</v>
      </c>
      <c r="AB158" s="185">
        <f t="shared" si="28"/>
        <v>5.25</v>
      </c>
      <c r="AC158" s="185">
        <f t="shared" si="29"/>
        <v>21</v>
      </c>
      <c r="AD158" s="185">
        <f t="shared" si="30"/>
        <v>42</v>
      </c>
    </row>
    <row r="159" spans="1:30" ht="15" customHeight="1" x14ac:dyDescent="0.25">
      <c r="A159" s="314">
        <f t="shared" si="24"/>
        <v>158</v>
      </c>
      <c r="B159" s="449" t="s">
        <v>913</v>
      </c>
      <c r="C159" s="465">
        <v>14</v>
      </c>
      <c r="D159" s="411">
        <v>1</v>
      </c>
      <c r="E159" s="490">
        <v>5</v>
      </c>
      <c r="F159" s="411"/>
      <c r="G159" s="490">
        <v>1</v>
      </c>
      <c r="H159" s="411"/>
      <c r="I159" s="490"/>
      <c r="J159" s="411"/>
      <c r="K159" s="490"/>
      <c r="L159" s="411"/>
      <c r="M159" s="685"/>
      <c r="N159" s="561"/>
      <c r="O159" s="340">
        <f t="shared" si="25"/>
        <v>7</v>
      </c>
      <c r="P159" s="340">
        <f t="shared" si="26"/>
        <v>15</v>
      </c>
      <c r="Q159" s="7">
        <v>7</v>
      </c>
      <c r="R159" s="628" t="s">
        <v>883</v>
      </c>
      <c r="S159" s="335">
        <v>46539</v>
      </c>
      <c r="T159" s="318">
        <v>1</v>
      </c>
      <c r="U159" s="318">
        <v>1</v>
      </c>
      <c r="V159" s="344">
        <v>45717</v>
      </c>
      <c r="W159" s="309">
        <v>1</v>
      </c>
      <c r="X159" s="309">
        <v>1</v>
      </c>
      <c r="Y159" s="309">
        <v>2</v>
      </c>
      <c r="Z159" s="429">
        <v>7</v>
      </c>
      <c r="AA159" s="184">
        <f t="shared" si="27"/>
        <v>11</v>
      </c>
      <c r="AB159" s="185">
        <f t="shared" si="28"/>
        <v>2.75</v>
      </c>
      <c r="AC159" s="185">
        <f t="shared" si="29"/>
        <v>11</v>
      </c>
      <c r="AD159" s="185">
        <f t="shared" si="30"/>
        <v>22</v>
      </c>
    </row>
    <row r="160" spans="1:30" ht="15" customHeight="1" x14ac:dyDescent="0.25">
      <c r="A160" s="314">
        <f t="shared" si="24"/>
        <v>159</v>
      </c>
      <c r="B160" s="314" t="s">
        <v>507</v>
      </c>
      <c r="C160" s="340">
        <v>4</v>
      </c>
      <c r="D160" s="359"/>
      <c r="E160" s="478"/>
      <c r="F160" s="373"/>
      <c r="G160" s="493"/>
      <c r="H160" s="359"/>
      <c r="I160" s="478"/>
      <c r="J160" s="359"/>
      <c r="K160" s="478"/>
      <c r="L160" s="373"/>
      <c r="M160" s="493"/>
      <c r="N160" s="561"/>
      <c r="O160" s="340">
        <f t="shared" si="25"/>
        <v>4</v>
      </c>
      <c r="P160" s="340">
        <f t="shared" si="26"/>
        <v>6</v>
      </c>
      <c r="Q160" s="7">
        <v>35</v>
      </c>
      <c r="R160" s="68"/>
      <c r="S160" s="336">
        <v>46569</v>
      </c>
      <c r="T160" s="316">
        <v>3</v>
      </c>
      <c r="U160" s="321"/>
      <c r="V160" s="77">
        <v>45689</v>
      </c>
      <c r="W160" s="28">
        <v>1</v>
      </c>
      <c r="X160" s="28">
        <v>1</v>
      </c>
      <c r="Y160" s="28">
        <v>1</v>
      </c>
      <c r="Z160" s="429">
        <v>2</v>
      </c>
      <c r="AA160" s="184">
        <f t="shared" si="27"/>
        <v>5</v>
      </c>
      <c r="AB160" s="185">
        <f t="shared" si="28"/>
        <v>1.25</v>
      </c>
      <c r="AC160" s="185">
        <f t="shared" si="29"/>
        <v>5</v>
      </c>
      <c r="AD160" s="185">
        <f t="shared" si="30"/>
        <v>10</v>
      </c>
    </row>
    <row r="161" spans="1:30" ht="15" customHeight="1" x14ac:dyDescent="0.25">
      <c r="A161" s="314">
        <f t="shared" si="24"/>
        <v>160</v>
      </c>
      <c r="B161" s="314" t="s">
        <v>983</v>
      </c>
      <c r="C161" s="340">
        <v>7</v>
      </c>
      <c r="D161" s="361"/>
      <c r="E161" s="481"/>
      <c r="F161" s="361"/>
      <c r="G161" s="482"/>
      <c r="H161" s="361"/>
      <c r="I161" s="482"/>
      <c r="J161" s="369"/>
      <c r="K161" s="481"/>
      <c r="L161" s="361"/>
      <c r="M161" s="481"/>
      <c r="N161" s="563"/>
      <c r="O161" s="340">
        <f t="shared" si="25"/>
        <v>7</v>
      </c>
      <c r="P161" s="340">
        <f t="shared" si="26"/>
        <v>35</v>
      </c>
      <c r="Q161" s="44">
        <v>15</v>
      </c>
      <c r="R161" s="451"/>
      <c r="S161" s="199">
        <v>46266</v>
      </c>
      <c r="T161" s="309">
        <v>0</v>
      </c>
      <c r="U161" s="309"/>
      <c r="V161" s="199">
        <v>45536</v>
      </c>
      <c r="W161" s="107">
        <v>10</v>
      </c>
      <c r="X161" s="309">
        <v>1</v>
      </c>
      <c r="Y161" s="309">
        <v>10</v>
      </c>
      <c r="AA161" s="184">
        <f t="shared" si="27"/>
        <v>21</v>
      </c>
      <c r="AB161" s="185">
        <f t="shared" si="28"/>
        <v>5.25</v>
      </c>
      <c r="AC161" s="185">
        <f t="shared" si="29"/>
        <v>21</v>
      </c>
      <c r="AD161" s="185">
        <f t="shared" si="30"/>
        <v>42</v>
      </c>
    </row>
    <row r="162" spans="1:30" ht="15" customHeight="1" x14ac:dyDescent="0.25">
      <c r="A162" s="314">
        <f t="shared" si="24"/>
        <v>161</v>
      </c>
      <c r="B162" s="314" t="s">
        <v>18</v>
      </c>
      <c r="C162" s="340">
        <v>2</v>
      </c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340">
        <f t="shared" ref="O162:O176" si="31">SUM(C162-D162-E162-F162-G162-H162-I162-J162-K162-L162-M162-N162)</f>
        <v>2</v>
      </c>
      <c r="P162" s="340">
        <f t="shared" si="26"/>
        <v>8</v>
      </c>
      <c r="Q162" s="7">
        <v>36</v>
      </c>
      <c r="R162" s="79"/>
      <c r="S162" s="344">
        <v>46600</v>
      </c>
      <c r="T162" s="318">
        <v>8</v>
      </c>
      <c r="U162" s="318"/>
      <c r="V162" s="344">
        <v>45689</v>
      </c>
      <c r="W162" s="309">
        <v>1</v>
      </c>
      <c r="X162" s="309">
        <v>1</v>
      </c>
      <c r="Y162" s="309">
        <v>2</v>
      </c>
      <c r="Z162" s="309">
        <v>1</v>
      </c>
      <c r="AA162" s="184">
        <f t="shared" ref="AA162:AA176" si="32">W162+X162+Y162+Z162</f>
        <v>5</v>
      </c>
      <c r="AB162" s="185">
        <f t="shared" ref="AB162:AB176" si="33">AA162/4</f>
        <v>1.25</v>
      </c>
      <c r="AC162" s="185">
        <f t="shared" ref="AC162:AC176" si="34">AB162*4</f>
        <v>5</v>
      </c>
      <c r="AD162" s="185">
        <f t="shared" ref="AD162:AD176" si="35">AC162*2</f>
        <v>10</v>
      </c>
    </row>
    <row r="163" spans="1:30" ht="15" customHeight="1" x14ac:dyDescent="0.25">
      <c r="A163" s="314">
        <f t="shared" si="24"/>
        <v>162</v>
      </c>
      <c r="B163" s="314" t="s">
        <v>152</v>
      </c>
      <c r="C163" s="340">
        <v>2</v>
      </c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340">
        <f t="shared" si="31"/>
        <v>2</v>
      </c>
      <c r="P163" s="340">
        <f t="shared" si="26"/>
        <v>6</v>
      </c>
      <c r="Q163" s="7">
        <v>60</v>
      </c>
      <c r="R163" s="68"/>
      <c r="S163" s="335">
        <v>45962</v>
      </c>
      <c r="T163" s="318">
        <v>0</v>
      </c>
      <c r="U163" s="318"/>
      <c r="V163" s="199">
        <v>45474</v>
      </c>
      <c r="W163" s="309">
        <v>1</v>
      </c>
      <c r="X163" s="309">
        <v>1</v>
      </c>
      <c r="Y163" s="309">
        <v>1</v>
      </c>
      <c r="Z163" s="429">
        <v>1</v>
      </c>
      <c r="AA163" s="184">
        <f t="shared" si="32"/>
        <v>4</v>
      </c>
      <c r="AB163" s="185">
        <f t="shared" si="33"/>
        <v>1</v>
      </c>
      <c r="AC163" s="185">
        <f t="shared" si="34"/>
        <v>4</v>
      </c>
      <c r="AD163" s="185">
        <f t="shared" si="35"/>
        <v>8</v>
      </c>
    </row>
    <row r="164" spans="1:30" ht="15" customHeight="1" x14ac:dyDescent="0.25">
      <c r="A164" s="314">
        <f t="shared" si="24"/>
        <v>163</v>
      </c>
      <c r="B164" s="314" t="s">
        <v>180</v>
      </c>
      <c r="C164" s="340">
        <v>35</v>
      </c>
      <c r="D164" s="359">
        <v>1</v>
      </c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340">
        <f t="shared" si="31"/>
        <v>34</v>
      </c>
      <c r="P164" s="340">
        <f t="shared" si="26"/>
        <v>96</v>
      </c>
      <c r="Q164" s="7">
        <v>5</v>
      </c>
      <c r="R164" s="307"/>
      <c r="S164" s="335">
        <v>46174</v>
      </c>
      <c r="T164" s="318">
        <v>4</v>
      </c>
      <c r="U164" s="318">
        <v>3</v>
      </c>
      <c r="V164" s="344">
        <v>45717</v>
      </c>
      <c r="W164" s="309">
        <v>21</v>
      </c>
      <c r="X164" s="309">
        <v>29</v>
      </c>
      <c r="Y164" s="309">
        <v>14</v>
      </c>
      <c r="Z164" s="429">
        <v>1</v>
      </c>
      <c r="AA164" s="184">
        <f t="shared" si="32"/>
        <v>65</v>
      </c>
      <c r="AB164" s="185">
        <f t="shared" si="33"/>
        <v>16.25</v>
      </c>
      <c r="AC164" s="185">
        <f t="shared" si="34"/>
        <v>65</v>
      </c>
      <c r="AD164" s="185">
        <f t="shared" si="35"/>
        <v>130</v>
      </c>
    </row>
    <row r="165" spans="1:30" ht="15" customHeight="1" x14ac:dyDescent="0.25">
      <c r="A165" s="314">
        <f t="shared" si="24"/>
        <v>164</v>
      </c>
      <c r="B165" s="314" t="s">
        <v>95</v>
      </c>
      <c r="C165" s="340">
        <v>0</v>
      </c>
      <c r="D165" s="361"/>
      <c r="E165" s="482"/>
      <c r="F165" s="361"/>
      <c r="G165" s="482"/>
      <c r="H165" s="361"/>
      <c r="I165" s="482"/>
      <c r="J165" s="359"/>
      <c r="K165" s="478"/>
      <c r="L165" s="361"/>
      <c r="M165" s="482"/>
      <c r="N165" s="563"/>
      <c r="O165" s="340">
        <f t="shared" si="31"/>
        <v>0</v>
      </c>
      <c r="P165" s="340">
        <f t="shared" si="26"/>
        <v>0</v>
      </c>
      <c r="Q165" s="7">
        <v>35</v>
      </c>
      <c r="R165" s="307" t="s">
        <v>87</v>
      </c>
      <c r="S165" s="335"/>
      <c r="T165" s="318"/>
      <c r="U165" s="318"/>
      <c r="V165" s="344"/>
      <c r="W165" s="309"/>
      <c r="X165" s="309"/>
      <c r="Z165" s="429"/>
      <c r="AA165" s="184">
        <f t="shared" si="32"/>
        <v>0</v>
      </c>
      <c r="AB165" s="185">
        <f t="shared" si="33"/>
        <v>0</v>
      </c>
      <c r="AC165" s="185">
        <f t="shared" si="34"/>
        <v>0</v>
      </c>
      <c r="AD165" s="185">
        <f t="shared" si="35"/>
        <v>0</v>
      </c>
    </row>
    <row r="166" spans="1:30" ht="15" customHeight="1" x14ac:dyDescent="0.25">
      <c r="A166" s="314">
        <f t="shared" si="24"/>
        <v>165</v>
      </c>
      <c r="B166" s="314" t="s">
        <v>181</v>
      </c>
      <c r="C166" s="340">
        <v>47</v>
      </c>
      <c r="D166" s="359">
        <v>1</v>
      </c>
      <c r="E166" s="478"/>
      <c r="F166" s="359"/>
      <c r="G166" s="478"/>
      <c r="H166" s="359"/>
      <c r="I166" s="478"/>
      <c r="J166" s="361">
        <v>1</v>
      </c>
      <c r="K166" s="482"/>
      <c r="L166" s="359"/>
      <c r="M166" s="478">
        <v>2</v>
      </c>
      <c r="N166" s="561"/>
      <c r="O166" s="340">
        <f t="shared" si="31"/>
        <v>43</v>
      </c>
      <c r="P166" s="340">
        <f t="shared" si="26"/>
        <v>59</v>
      </c>
      <c r="Q166" s="7">
        <v>5</v>
      </c>
      <c r="R166" s="307"/>
      <c r="S166" s="335">
        <v>46174</v>
      </c>
      <c r="T166" s="318">
        <v>7</v>
      </c>
      <c r="U166" s="318">
        <v>3</v>
      </c>
      <c r="V166" s="344">
        <v>45717</v>
      </c>
      <c r="W166" s="309">
        <v>18</v>
      </c>
      <c r="X166" s="309">
        <v>18</v>
      </c>
      <c r="Y166" s="309">
        <v>11</v>
      </c>
      <c r="Z166" s="429">
        <v>4</v>
      </c>
      <c r="AA166" s="184">
        <f t="shared" si="32"/>
        <v>51</v>
      </c>
      <c r="AB166" s="185">
        <f t="shared" si="33"/>
        <v>12.75</v>
      </c>
      <c r="AC166" s="185">
        <f t="shared" si="34"/>
        <v>51</v>
      </c>
      <c r="AD166" s="185">
        <f t="shared" si="35"/>
        <v>102</v>
      </c>
    </row>
    <row r="167" spans="1:30" ht="15" customHeight="1" x14ac:dyDescent="0.25">
      <c r="A167" s="314">
        <f t="shared" si="24"/>
        <v>166</v>
      </c>
      <c r="B167" s="314" t="s">
        <v>253</v>
      </c>
      <c r="C167" s="340">
        <v>31</v>
      </c>
      <c r="D167" s="361"/>
      <c r="E167" s="482">
        <v>2</v>
      </c>
      <c r="F167" s="361"/>
      <c r="G167" s="482"/>
      <c r="H167" s="361"/>
      <c r="I167" s="482"/>
      <c r="J167" s="361"/>
      <c r="K167" s="482"/>
      <c r="L167" s="361"/>
      <c r="M167" s="482"/>
      <c r="N167" s="563"/>
      <c r="O167" s="340">
        <f t="shared" si="31"/>
        <v>29</v>
      </c>
      <c r="P167" s="340">
        <f t="shared" si="26"/>
        <v>-13</v>
      </c>
      <c r="Q167" s="7">
        <v>5</v>
      </c>
      <c r="R167" s="451"/>
      <c r="S167" s="335">
        <v>46054</v>
      </c>
      <c r="T167" s="318">
        <v>1</v>
      </c>
      <c r="U167" s="318"/>
      <c r="V167" s="199">
        <v>45597</v>
      </c>
      <c r="W167" s="309">
        <v>2</v>
      </c>
      <c r="X167" s="107">
        <v>3</v>
      </c>
      <c r="Y167" s="309">
        <v>1</v>
      </c>
      <c r="Z167" s="429">
        <v>2</v>
      </c>
      <c r="AA167" s="184">
        <f t="shared" si="32"/>
        <v>8</v>
      </c>
      <c r="AB167" s="185">
        <f t="shared" si="33"/>
        <v>2</v>
      </c>
      <c r="AC167" s="185">
        <f t="shared" si="34"/>
        <v>8</v>
      </c>
      <c r="AD167" s="185">
        <f t="shared" si="35"/>
        <v>16</v>
      </c>
    </row>
    <row r="168" spans="1:30" ht="15" customHeight="1" x14ac:dyDescent="0.25">
      <c r="A168" s="314">
        <f t="shared" si="24"/>
        <v>167</v>
      </c>
      <c r="B168" s="314" t="s">
        <v>135</v>
      </c>
      <c r="C168" s="340">
        <v>19</v>
      </c>
      <c r="D168" s="361"/>
      <c r="E168" s="482"/>
      <c r="F168" s="361"/>
      <c r="G168" s="482"/>
      <c r="H168" s="361"/>
      <c r="I168" s="482"/>
      <c r="J168" s="361"/>
      <c r="K168" s="482"/>
      <c r="L168" s="361"/>
      <c r="M168" s="482"/>
      <c r="N168" s="566"/>
      <c r="O168" s="340">
        <f t="shared" si="31"/>
        <v>19</v>
      </c>
      <c r="P168" s="340">
        <f t="shared" si="26"/>
        <v>5</v>
      </c>
      <c r="Q168" s="167">
        <v>5</v>
      </c>
      <c r="R168" s="686" t="s">
        <v>87</v>
      </c>
      <c r="S168" s="546">
        <v>46113</v>
      </c>
      <c r="T168" s="318">
        <v>0</v>
      </c>
      <c r="U168" s="318">
        <v>1</v>
      </c>
      <c r="V168" s="344">
        <v>45717</v>
      </c>
      <c r="W168" s="309">
        <v>1</v>
      </c>
      <c r="X168" s="122">
        <v>4</v>
      </c>
      <c r="Y168" s="309">
        <v>5</v>
      </c>
      <c r="Z168" s="429">
        <v>2</v>
      </c>
      <c r="AA168" s="184">
        <f t="shared" si="32"/>
        <v>12</v>
      </c>
      <c r="AB168" s="185">
        <f t="shared" si="33"/>
        <v>3</v>
      </c>
      <c r="AC168" s="185">
        <f t="shared" si="34"/>
        <v>12</v>
      </c>
      <c r="AD168" s="185">
        <f t="shared" si="35"/>
        <v>24</v>
      </c>
    </row>
    <row r="169" spans="1:30" ht="15" customHeight="1" x14ac:dyDescent="0.25">
      <c r="A169" s="314">
        <f t="shared" si="24"/>
        <v>168</v>
      </c>
      <c r="B169" s="314" t="s">
        <v>29</v>
      </c>
      <c r="C169" s="340">
        <v>7</v>
      </c>
      <c r="D169" s="525"/>
      <c r="E169" s="544"/>
      <c r="F169" s="525"/>
      <c r="G169" s="526"/>
      <c r="H169" s="525"/>
      <c r="I169" s="526"/>
      <c r="J169" s="548"/>
      <c r="K169" s="544"/>
      <c r="L169" s="525"/>
      <c r="M169" s="544"/>
      <c r="N169" s="563"/>
      <c r="O169" s="340">
        <f t="shared" si="31"/>
        <v>7</v>
      </c>
      <c r="P169" s="340">
        <f t="shared" si="26"/>
        <v>9</v>
      </c>
      <c r="Q169" s="7">
        <v>8</v>
      </c>
      <c r="R169" s="70"/>
      <c r="S169" s="335">
        <v>46569</v>
      </c>
      <c r="T169" s="318">
        <v>0</v>
      </c>
      <c r="U169" s="318"/>
      <c r="V169" s="199">
        <v>45689</v>
      </c>
      <c r="W169" s="309">
        <v>1</v>
      </c>
      <c r="X169" s="309">
        <v>2</v>
      </c>
      <c r="Y169" s="309">
        <v>1</v>
      </c>
      <c r="Z169" s="429">
        <v>4</v>
      </c>
      <c r="AA169" s="184">
        <f t="shared" si="32"/>
        <v>8</v>
      </c>
      <c r="AB169" s="185">
        <f t="shared" si="33"/>
        <v>2</v>
      </c>
      <c r="AC169" s="185">
        <f t="shared" si="34"/>
        <v>8</v>
      </c>
      <c r="AD169" s="185">
        <f t="shared" si="35"/>
        <v>16</v>
      </c>
    </row>
    <row r="170" spans="1:30" ht="15" customHeight="1" x14ac:dyDescent="0.25">
      <c r="A170" s="314">
        <f t="shared" si="24"/>
        <v>169</v>
      </c>
      <c r="B170" s="281" t="s">
        <v>1113</v>
      </c>
      <c r="C170" s="340">
        <v>4</v>
      </c>
      <c r="D170" s="361"/>
      <c r="E170" s="491"/>
      <c r="F170" s="361"/>
      <c r="G170" s="482"/>
      <c r="H170" s="361"/>
      <c r="I170" s="482"/>
      <c r="J170" s="374"/>
      <c r="K170" s="491"/>
      <c r="L170" s="361"/>
      <c r="M170" s="491"/>
      <c r="N170" s="563"/>
      <c r="O170" s="340">
        <f t="shared" si="31"/>
        <v>4</v>
      </c>
      <c r="P170" s="340">
        <f t="shared" si="26"/>
        <v>22</v>
      </c>
      <c r="Q170" s="7">
        <v>25</v>
      </c>
      <c r="R170" s="70"/>
      <c r="S170" s="335">
        <v>46174</v>
      </c>
      <c r="T170" s="318">
        <v>0</v>
      </c>
      <c r="U170" s="318"/>
      <c r="V170" s="344">
        <v>45017</v>
      </c>
      <c r="W170" s="309">
        <v>1</v>
      </c>
      <c r="X170" s="122">
        <v>9</v>
      </c>
      <c r="Y170" s="309">
        <v>2</v>
      </c>
      <c r="Z170" s="429">
        <v>1</v>
      </c>
      <c r="AA170" s="184">
        <f t="shared" si="32"/>
        <v>13</v>
      </c>
      <c r="AB170" s="185">
        <f t="shared" si="33"/>
        <v>3.25</v>
      </c>
      <c r="AC170" s="185">
        <f t="shared" si="34"/>
        <v>13</v>
      </c>
      <c r="AD170" s="185">
        <f t="shared" si="35"/>
        <v>26</v>
      </c>
    </row>
    <row r="171" spans="1:30" ht="15" customHeight="1" x14ac:dyDescent="0.25">
      <c r="A171" s="314">
        <f t="shared" si="24"/>
        <v>170</v>
      </c>
      <c r="B171" s="314" t="s">
        <v>849</v>
      </c>
      <c r="C171" s="340">
        <v>20</v>
      </c>
      <c r="D171" s="361"/>
      <c r="E171" s="491"/>
      <c r="F171" s="361"/>
      <c r="G171" s="482"/>
      <c r="H171" s="361"/>
      <c r="I171" s="482"/>
      <c r="L171" s="361"/>
      <c r="N171" s="563"/>
      <c r="O171" s="340">
        <f t="shared" si="31"/>
        <v>20</v>
      </c>
      <c r="P171" s="340">
        <f t="shared" si="26"/>
        <v>22</v>
      </c>
      <c r="Q171" s="44">
        <v>2.5</v>
      </c>
      <c r="S171" s="199">
        <v>46204</v>
      </c>
      <c r="T171" s="309">
        <v>0</v>
      </c>
      <c r="U171" s="309"/>
      <c r="V171" s="199">
        <v>45627</v>
      </c>
      <c r="W171" s="309">
        <v>1</v>
      </c>
      <c r="X171" s="122">
        <v>10</v>
      </c>
      <c r="Z171" s="429">
        <v>10</v>
      </c>
      <c r="AA171" s="184">
        <f t="shared" si="32"/>
        <v>21</v>
      </c>
      <c r="AB171" s="185">
        <f t="shared" si="33"/>
        <v>5.25</v>
      </c>
      <c r="AC171" s="185">
        <f t="shared" si="34"/>
        <v>21</v>
      </c>
      <c r="AD171" s="185">
        <f t="shared" si="35"/>
        <v>42</v>
      </c>
    </row>
    <row r="172" spans="1:30" ht="15" customHeight="1" x14ac:dyDescent="0.25">
      <c r="A172" s="314">
        <f t="shared" si="24"/>
        <v>171</v>
      </c>
      <c r="B172" s="314" t="s">
        <v>943</v>
      </c>
      <c r="C172" s="340">
        <v>9</v>
      </c>
      <c r="D172" s="361"/>
      <c r="F172" s="361"/>
      <c r="G172" s="482"/>
      <c r="H172" s="361"/>
      <c r="I172" s="482"/>
      <c r="L172" s="361"/>
      <c r="N172" s="563"/>
      <c r="O172" s="340">
        <f t="shared" si="31"/>
        <v>9</v>
      </c>
      <c r="P172" s="340">
        <f t="shared" si="26"/>
        <v>7</v>
      </c>
      <c r="Q172" s="44">
        <v>5.7</v>
      </c>
      <c r="S172" s="199">
        <v>46174</v>
      </c>
      <c r="T172" s="309">
        <v>0</v>
      </c>
      <c r="U172" s="309"/>
      <c r="V172" s="199">
        <v>45505</v>
      </c>
      <c r="Y172" s="309">
        <v>4</v>
      </c>
      <c r="Z172" s="309">
        <v>4</v>
      </c>
      <c r="AA172" s="184">
        <f t="shared" si="32"/>
        <v>8</v>
      </c>
      <c r="AB172" s="185">
        <f t="shared" si="33"/>
        <v>2</v>
      </c>
      <c r="AC172" s="185">
        <f t="shared" si="34"/>
        <v>8</v>
      </c>
      <c r="AD172" s="185">
        <f t="shared" si="35"/>
        <v>16</v>
      </c>
    </row>
    <row r="173" spans="1:30" ht="15" customHeight="1" x14ac:dyDescent="0.25">
      <c r="A173" s="314">
        <f>A172+1</f>
        <v>172</v>
      </c>
      <c r="B173" s="314" t="s">
        <v>442</v>
      </c>
      <c r="C173" s="340">
        <v>7</v>
      </c>
      <c r="D173" s="361"/>
      <c r="E173" s="491"/>
      <c r="F173" s="361"/>
      <c r="G173" s="482"/>
      <c r="H173" s="361"/>
      <c r="I173" s="482"/>
      <c r="J173" s="374"/>
      <c r="K173" s="491"/>
      <c r="L173" s="361"/>
      <c r="M173" s="491"/>
      <c r="N173" s="563"/>
      <c r="O173" s="340">
        <f t="shared" si="31"/>
        <v>7</v>
      </c>
      <c r="P173" s="340">
        <f t="shared" si="26"/>
        <v>5</v>
      </c>
      <c r="Q173" s="7">
        <v>7</v>
      </c>
      <c r="R173" s="70"/>
      <c r="S173" s="335">
        <v>46600</v>
      </c>
      <c r="T173" s="318">
        <v>0</v>
      </c>
      <c r="U173" s="318"/>
      <c r="V173" s="344">
        <v>45658</v>
      </c>
      <c r="W173" s="309">
        <v>1</v>
      </c>
      <c r="X173" s="122">
        <v>1</v>
      </c>
      <c r="Y173" s="309">
        <v>3</v>
      </c>
      <c r="Z173" s="429">
        <v>1</v>
      </c>
      <c r="AA173" s="184">
        <f t="shared" si="32"/>
        <v>6</v>
      </c>
      <c r="AB173" s="185">
        <f t="shared" si="33"/>
        <v>1.5</v>
      </c>
      <c r="AC173" s="185">
        <f t="shared" si="34"/>
        <v>6</v>
      </c>
      <c r="AD173" s="185">
        <f t="shared" si="35"/>
        <v>12</v>
      </c>
    </row>
    <row r="174" spans="1:30" ht="15" customHeight="1" x14ac:dyDescent="0.25">
      <c r="A174" s="314">
        <f>A173+1</f>
        <v>173</v>
      </c>
      <c r="B174" s="651" t="s">
        <v>1114</v>
      </c>
      <c r="C174" s="653">
        <v>8</v>
      </c>
      <c r="D174" s="359"/>
      <c r="E174" s="495"/>
      <c r="F174" s="359"/>
      <c r="G174" s="478"/>
      <c r="H174" s="359">
        <v>3</v>
      </c>
      <c r="I174" s="478"/>
      <c r="J174" s="374"/>
      <c r="K174" s="495"/>
      <c r="L174" s="359"/>
      <c r="M174" s="495"/>
      <c r="N174" s="561"/>
      <c r="O174" s="340">
        <f t="shared" si="31"/>
        <v>5</v>
      </c>
      <c r="P174" s="340">
        <f t="shared" si="26"/>
        <v>9</v>
      </c>
      <c r="Q174" s="7">
        <v>5</v>
      </c>
      <c r="R174" s="70"/>
      <c r="S174" s="656">
        <v>45809</v>
      </c>
      <c r="T174" s="318">
        <v>0</v>
      </c>
      <c r="U174" s="318"/>
      <c r="V174" s="199">
        <v>45352</v>
      </c>
      <c r="W174" s="309">
        <v>1</v>
      </c>
      <c r="X174" s="122">
        <v>1</v>
      </c>
      <c r="Y174" s="309">
        <v>2</v>
      </c>
      <c r="Z174" s="429">
        <v>3</v>
      </c>
      <c r="AA174" s="184">
        <f t="shared" si="32"/>
        <v>7</v>
      </c>
      <c r="AB174" s="185">
        <f t="shared" si="33"/>
        <v>1.75</v>
      </c>
      <c r="AC174" s="185">
        <f t="shared" si="34"/>
        <v>7</v>
      </c>
      <c r="AD174" s="185">
        <f t="shared" si="35"/>
        <v>14</v>
      </c>
    </row>
    <row r="175" spans="1:30" ht="15" customHeight="1" x14ac:dyDescent="0.25">
      <c r="A175" s="449">
        <f>A174+1</f>
        <v>174</v>
      </c>
      <c r="B175" s="314" t="s">
        <v>754</v>
      </c>
      <c r="C175" s="195">
        <v>1</v>
      </c>
      <c r="D175" s="361"/>
      <c r="E175" s="482"/>
      <c r="F175" s="361"/>
      <c r="G175" s="482"/>
      <c r="H175" s="361"/>
      <c r="I175" s="482"/>
      <c r="J175" s="359"/>
      <c r="K175" s="482"/>
      <c r="L175" s="361"/>
      <c r="M175" s="482"/>
      <c r="N175" s="563"/>
      <c r="O175" s="340">
        <f t="shared" si="31"/>
        <v>1</v>
      </c>
      <c r="P175" s="340">
        <f t="shared" si="26"/>
        <v>5</v>
      </c>
      <c r="Q175" s="7">
        <v>69</v>
      </c>
      <c r="R175" s="69"/>
      <c r="S175" s="199">
        <v>46569</v>
      </c>
      <c r="T175" s="309">
        <v>1</v>
      </c>
      <c r="U175" s="309"/>
      <c r="V175" s="199">
        <v>45658</v>
      </c>
      <c r="X175" s="309">
        <v>1</v>
      </c>
      <c r="Y175" s="309">
        <v>1</v>
      </c>
      <c r="Z175" s="309">
        <v>1</v>
      </c>
      <c r="AA175" s="184">
        <f t="shared" si="32"/>
        <v>3</v>
      </c>
      <c r="AB175" s="185">
        <f t="shared" si="33"/>
        <v>0.75</v>
      </c>
      <c r="AC175" s="185">
        <f t="shared" si="34"/>
        <v>3</v>
      </c>
      <c r="AD175" s="185">
        <f t="shared" si="35"/>
        <v>6</v>
      </c>
    </row>
    <row r="176" spans="1:30" ht="15" customHeight="1" x14ac:dyDescent="0.25">
      <c r="A176" s="449">
        <f>A175+1</f>
        <v>175</v>
      </c>
      <c r="B176" s="314" t="s">
        <v>470</v>
      </c>
      <c r="C176" s="340">
        <v>2</v>
      </c>
      <c r="D176" s="361"/>
      <c r="E176" s="491"/>
      <c r="F176" s="361"/>
      <c r="G176" s="482"/>
      <c r="H176" s="361"/>
      <c r="I176" s="482"/>
      <c r="J176" s="374"/>
      <c r="K176" s="491"/>
      <c r="L176" s="361"/>
      <c r="M176" s="491"/>
      <c r="N176" s="563"/>
      <c r="O176" s="340">
        <f t="shared" si="31"/>
        <v>2</v>
      </c>
      <c r="P176" s="340">
        <f t="shared" si="26"/>
        <v>6</v>
      </c>
      <c r="Q176" s="7">
        <v>33</v>
      </c>
      <c r="R176" s="70"/>
      <c r="S176" s="335">
        <v>46419</v>
      </c>
      <c r="T176" s="318">
        <v>0</v>
      </c>
      <c r="U176" s="318"/>
      <c r="V176" s="344">
        <v>45658</v>
      </c>
      <c r="W176" s="309">
        <v>1</v>
      </c>
      <c r="X176" s="122">
        <v>1</v>
      </c>
      <c r="Y176" s="309">
        <v>1</v>
      </c>
      <c r="Z176" s="429">
        <v>1</v>
      </c>
      <c r="AA176" s="184">
        <f t="shared" si="32"/>
        <v>4</v>
      </c>
      <c r="AB176" s="185">
        <f t="shared" si="33"/>
        <v>1</v>
      </c>
      <c r="AC176" s="185">
        <f t="shared" si="34"/>
        <v>4</v>
      </c>
      <c r="AD176" s="185">
        <f t="shared" si="35"/>
        <v>8</v>
      </c>
    </row>
    <row r="177" spans="1:30" ht="15" customHeight="1" x14ac:dyDescent="0.25">
      <c r="A177" s="449">
        <f>A176+1</f>
        <v>176</v>
      </c>
      <c r="C177" s="47"/>
      <c r="D177" s="361"/>
      <c r="F177" s="361"/>
      <c r="G177" s="482"/>
      <c r="H177" s="361"/>
      <c r="I177" s="482"/>
      <c r="L177" s="361"/>
      <c r="N177" s="563"/>
      <c r="O177" s="340">
        <f>SUM(C177-D177-E177-F177-G177-H177-I177-J177-K177-L177-M177-N177)</f>
        <v>0</v>
      </c>
      <c r="P177" s="340">
        <f t="shared" ref="P130:P178" si="36">AD177-O177</f>
        <v>0</v>
      </c>
      <c r="AA177" s="184">
        <f>W177+X177+Y177+Z177</f>
        <v>0</v>
      </c>
      <c r="AB177" s="185">
        <f>AA177/4</f>
        <v>0</v>
      </c>
      <c r="AC177" s="185">
        <f>AB177*4</f>
        <v>0</v>
      </c>
      <c r="AD177" s="185">
        <f>AC177*2</f>
        <v>0</v>
      </c>
    </row>
    <row r="178" spans="1:30" ht="15" customHeight="1" x14ac:dyDescent="0.25">
      <c r="A178" s="315"/>
      <c r="C178" s="47"/>
      <c r="D178" s="361"/>
      <c r="F178" s="361"/>
      <c r="G178" s="482"/>
      <c r="H178" s="361"/>
      <c r="I178" s="482"/>
      <c r="L178" s="361"/>
      <c r="N178" s="563"/>
      <c r="O178" s="340">
        <f>SUM(C178-D178-E178-F178-G178-H178-I178-J178-K178-L178-M178-N178)</f>
        <v>0</v>
      </c>
      <c r="P178" s="340">
        <f t="shared" si="36"/>
        <v>0</v>
      </c>
      <c r="AA178" s="184">
        <f>W178+X178+Y178+Z178</f>
        <v>0</v>
      </c>
      <c r="AB178" s="185">
        <f>AA178/4</f>
        <v>0</v>
      </c>
      <c r="AC178" s="185">
        <f>AB178*4</f>
        <v>0</v>
      </c>
      <c r="AD178" s="185">
        <f>AC178*2</f>
        <v>0</v>
      </c>
    </row>
    <row r="179" spans="1:30" ht="15" customHeight="1" x14ac:dyDescent="0.25">
      <c r="A179" s="315"/>
      <c r="C179" s="47"/>
      <c r="D179" s="361"/>
      <c r="F179" s="361"/>
      <c r="G179" s="482"/>
      <c r="H179" s="361"/>
      <c r="I179" s="482"/>
      <c r="L179" s="361"/>
      <c r="N179" s="563"/>
      <c r="O179" s="47"/>
    </row>
    <row r="180" spans="1:30" ht="15" customHeight="1" x14ac:dyDescent="0.25">
      <c r="A180" s="315"/>
      <c r="C180" s="195"/>
      <c r="D180" s="361"/>
      <c r="F180" s="361"/>
      <c r="G180" s="482"/>
      <c r="H180" s="361"/>
      <c r="I180" s="482"/>
      <c r="L180" s="361"/>
      <c r="N180" s="563"/>
      <c r="O180" s="47"/>
    </row>
    <row r="181" spans="1:30" ht="15" customHeight="1" x14ac:dyDescent="0.25">
      <c r="A181" s="315"/>
      <c r="C181" s="47"/>
      <c r="D181" s="361"/>
      <c r="F181" s="361"/>
      <c r="G181" s="482"/>
      <c r="H181" s="361"/>
      <c r="L181" s="361"/>
      <c r="N181" s="563"/>
      <c r="O181" s="47"/>
    </row>
    <row r="182" spans="1:30" ht="15" customHeight="1" x14ac:dyDescent="0.25">
      <c r="A182" s="315"/>
      <c r="C182" s="47"/>
      <c r="D182" s="361"/>
      <c r="F182" s="361"/>
      <c r="G182" s="482"/>
      <c r="H182" s="361"/>
      <c r="L182" s="361"/>
      <c r="N182" s="563"/>
      <c r="O182" s="47"/>
    </row>
    <row r="183" spans="1:30" ht="15" customHeight="1" x14ac:dyDescent="0.25">
      <c r="A183" s="315"/>
      <c r="C183" s="47"/>
      <c r="D183" s="361"/>
      <c r="F183" s="361"/>
      <c r="G183" s="482"/>
      <c r="H183" s="361"/>
      <c r="L183" s="361"/>
      <c r="N183" s="563"/>
      <c r="O183" s="47"/>
    </row>
    <row r="184" spans="1:30" ht="15" customHeight="1" x14ac:dyDescent="0.25">
      <c r="A184" s="315"/>
      <c r="C184" s="47"/>
      <c r="D184" s="361"/>
      <c r="F184" s="361"/>
      <c r="G184" s="482"/>
      <c r="H184" s="361"/>
      <c r="L184" s="361"/>
      <c r="N184" s="563"/>
      <c r="O184" s="47"/>
    </row>
    <row r="185" spans="1:30" ht="15" customHeight="1" x14ac:dyDescent="0.25">
      <c r="A185" s="450"/>
      <c r="C185" s="47"/>
      <c r="D185" s="361"/>
      <c r="F185" s="361"/>
      <c r="G185" s="482"/>
      <c r="H185" s="361"/>
      <c r="L185" s="361"/>
      <c r="N185" s="563"/>
      <c r="O185" s="47"/>
    </row>
    <row r="186" spans="1:30" ht="15" customHeight="1" x14ac:dyDescent="0.25">
      <c r="C186" s="47"/>
      <c r="D186" s="361"/>
      <c r="F186" s="361"/>
      <c r="G186" s="482"/>
      <c r="H186" s="361"/>
      <c r="L186" s="361"/>
      <c r="N186" s="563"/>
      <c r="O186" s="47"/>
    </row>
    <row r="187" spans="1:30" ht="15" customHeight="1" x14ac:dyDescent="0.25">
      <c r="C187" s="47"/>
      <c r="D187" s="361"/>
      <c r="F187" s="361"/>
      <c r="G187" s="482"/>
      <c r="H187" s="361"/>
      <c r="L187" s="361"/>
      <c r="N187" s="563"/>
      <c r="O187" s="47"/>
    </row>
    <row r="188" spans="1:30" ht="15" customHeight="1" x14ac:dyDescent="0.25">
      <c r="C188" s="47"/>
      <c r="D188" s="361"/>
      <c r="F188" s="361"/>
      <c r="G188" s="482"/>
      <c r="H188" s="361"/>
      <c r="L188" s="361"/>
      <c r="N188" s="563"/>
      <c r="O188" s="47"/>
    </row>
    <row r="189" spans="1:30" ht="15" customHeight="1" x14ac:dyDescent="0.25">
      <c r="C189" s="47"/>
      <c r="D189" s="361"/>
      <c r="F189" s="361"/>
      <c r="G189" s="482"/>
      <c r="L189" s="361"/>
      <c r="N189" s="563"/>
      <c r="O189" s="47"/>
    </row>
    <row r="190" spans="1:30" ht="15" customHeight="1" x14ac:dyDescent="0.25">
      <c r="C190" s="47"/>
      <c r="D190" s="361"/>
      <c r="F190" s="361"/>
      <c r="G190" s="482"/>
      <c r="L190" s="361"/>
      <c r="N190" s="563"/>
    </row>
    <row r="191" spans="1:30" ht="15" customHeight="1" x14ac:dyDescent="0.25">
      <c r="C191" s="195"/>
      <c r="D191" s="361"/>
      <c r="F191" s="361"/>
      <c r="G191" s="482"/>
      <c r="L191" s="361"/>
      <c r="N191" s="563"/>
    </row>
    <row r="192" spans="1:30" ht="15" customHeight="1" x14ac:dyDescent="0.25">
      <c r="C192" s="195"/>
      <c r="D192" s="361"/>
      <c r="F192" s="361"/>
      <c r="G192" s="482"/>
      <c r="L192" s="361"/>
      <c r="N192" s="563"/>
    </row>
    <row r="193" spans="3:14" ht="15" customHeight="1" x14ac:dyDescent="0.25">
      <c r="C193" s="47"/>
      <c r="D193" s="361"/>
      <c r="F193" s="361"/>
      <c r="G193" s="482"/>
      <c r="L193" s="361"/>
      <c r="N193" s="563"/>
    </row>
    <row r="194" spans="3:14" ht="15" customHeight="1" x14ac:dyDescent="0.25">
      <c r="C194" s="47"/>
      <c r="D194" s="361"/>
      <c r="F194" s="361"/>
      <c r="G194" s="482"/>
      <c r="L194" s="361"/>
      <c r="N194" s="563"/>
    </row>
    <row r="195" spans="3:14" ht="15" customHeight="1" x14ac:dyDescent="0.25">
      <c r="C195" s="47"/>
      <c r="D195" s="361"/>
      <c r="F195" s="361"/>
      <c r="G195" s="482"/>
      <c r="L195" s="361"/>
    </row>
    <row r="196" spans="3:14" ht="15" customHeight="1" x14ac:dyDescent="0.25">
      <c r="C196" s="47"/>
      <c r="D196" s="361"/>
      <c r="F196" s="361"/>
      <c r="G196" s="482"/>
      <c r="L196" s="361"/>
    </row>
    <row r="197" spans="3:14" ht="15" customHeight="1" x14ac:dyDescent="0.25">
      <c r="C197" s="47"/>
      <c r="D197" s="361"/>
      <c r="F197" s="361"/>
      <c r="G197" s="482"/>
      <c r="L197" s="361"/>
    </row>
    <row r="198" spans="3:14" ht="15" customHeight="1" x14ac:dyDescent="0.25">
      <c r="C198" s="47"/>
      <c r="D198" s="361"/>
      <c r="G198" s="482"/>
      <c r="L198" s="361"/>
    </row>
    <row r="199" spans="3:14" ht="15" customHeight="1" x14ac:dyDescent="0.25">
      <c r="C199" s="47"/>
      <c r="D199" s="361"/>
      <c r="G199" s="482"/>
    </row>
    <row r="200" spans="3:14" ht="15" customHeight="1" x14ac:dyDescent="0.25">
      <c r="C200" s="47"/>
      <c r="D200" s="361"/>
      <c r="G200" s="482"/>
    </row>
    <row r="201" spans="3:14" ht="15" customHeight="1" x14ac:dyDescent="0.25">
      <c r="C201" s="47"/>
      <c r="D201" s="361"/>
      <c r="G201" s="482"/>
    </row>
    <row r="202" spans="3:14" ht="15" customHeight="1" x14ac:dyDescent="0.25">
      <c r="C202" s="47"/>
      <c r="D202" s="361"/>
      <c r="G202" s="482"/>
    </row>
    <row r="203" spans="3:14" ht="15" customHeight="1" x14ac:dyDescent="0.25">
      <c r="C203" s="47"/>
      <c r="D203" s="361"/>
      <c r="G203" s="482"/>
    </row>
    <row r="204" spans="3:14" ht="15" customHeight="1" x14ac:dyDescent="0.25">
      <c r="C204" s="47"/>
      <c r="D204" s="361"/>
      <c r="G204" s="482"/>
    </row>
    <row r="205" spans="3:14" ht="15" customHeight="1" x14ac:dyDescent="0.25">
      <c r="C205" s="47"/>
      <c r="D205" s="361"/>
      <c r="G205" s="482"/>
    </row>
    <row r="206" spans="3:14" ht="15" customHeight="1" x14ac:dyDescent="0.25">
      <c r="C206" s="47"/>
      <c r="D206" s="361"/>
      <c r="G206" s="482"/>
    </row>
    <row r="207" spans="3:14" ht="15" customHeight="1" x14ac:dyDescent="0.25">
      <c r="C207" s="47"/>
      <c r="D207" s="361"/>
      <c r="G207" s="482"/>
    </row>
    <row r="208" spans="3:14" ht="15" customHeight="1" x14ac:dyDescent="0.25">
      <c r="C208" s="47"/>
      <c r="D208" s="361"/>
      <c r="G208" s="482"/>
    </row>
    <row r="209" spans="3:7" ht="15" customHeight="1" x14ac:dyDescent="0.25">
      <c r="C209" s="47"/>
      <c r="D209" s="361"/>
      <c r="G209" s="482"/>
    </row>
    <row r="210" spans="3:7" ht="15" customHeight="1" x14ac:dyDescent="0.25">
      <c r="C210" s="47"/>
      <c r="D210" s="361"/>
      <c r="G210" s="482"/>
    </row>
    <row r="211" spans="3:7" ht="15" customHeight="1" x14ac:dyDescent="0.25">
      <c r="C211" s="47"/>
      <c r="D211" s="361"/>
      <c r="G211" s="482"/>
    </row>
    <row r="212" spans="3:7" ht="15" customHeight="1" x14ac:dyDescent="0.25">
      <c r="C212" s="47"/>
      <c r="D212" s="361"/>
      <c r="G212" s="482"/>
    </row>
    <row r="213" spans="3:7" ht="15" customHeight="1" x14ac:dyDescent="0.25">
      <c r="C213" s="47"/>
      <c r="D213" s="361"/>
      <c r="G213" s="482"/>
    </row>
    <row r="214" spans="3:7" ht="15" customHeight="1" x14ac:dyDescent="0.25">
      <c r="C214" s="47"/>
      <c r="D214" s="361"/>
      <c r="G214" s="482"/>
    </row>
    <row r="215" spans="3:7" ht="15" customHeight="1" x14ac:dyDescent="0.25">
      <c r="C215" s="47"/>
      <c r="D215" s="361"/>
      <c r="G215" s="482"/>
    </row>
    <row r="216" spans="3:7" ht="15" customHeight="1" x14ac:dyDescent="0.25">
      <c r="C216" s="47"/>
      <c r="D216" s="361"/>
      <c r="G216" s="482"/>
    </row>
    <row r="217" spans="3:7" ht="15" customHeight="1" x14ac:dyDescent="0.25">
      <c r="C217" s="47"/>
      <c r="D217" s="361"/>
      <c r="G217" s="482"/>
    </row>
    <row r="218" spans="3:7" ht="15" customHeight="1" x14ac:dyDescent="0.25">
      <c r="C218" s="47"/>
      <c r="D218" s="361"/>
      <c r="G218" s="482"/>
    </row>
    <row r="219" spans="3:7" ht="15" customHeight="1" x14ac:dyDescent="0.25">
      <c r="C219" s="47"/>
      <c r="D219" s="361"/>
      <c r="G219" s="482"/>
    </row>
    <row r="220" spans="3:7" ht="15" customHeight="1" x14ac:dyDescent="0.25">
      <c r="C220" s="47"/>
      <c r="D220" s="361"/>
      <c r="G220" s="482"/>
    </row>
    <row r="221" spans="3:7" ht="15" customHeight="1" x14ac:dyDescent="0.25">
      <c r="C221" s="47"/>
      <c r="D221" s="361"/>
      <c r="G221" s="482"/>
    </row>
    <row r="222" spans="3:7" ht="15" customHeight="1" x14ac:dyDescent="0.25">
      <c r="C222" s="47"/>
      <c r="D222" s="361"/>
      <c r="G222" s="482"/>
    </row>
    <row r="223" spans="3:7" ht="15" customHeight="1" x14ac:dyDescent="0.25">
      <c r="C223" s="47"/>
      <c r="D223" s="361"/>
      <c r="G223" s="482"/>
    </row>
    <row r="224" spans="3:7" ht="15" customHeight="1" x14ac:dyDescent="0.25">
      <c r="C224" s="47"/>
      <c r="D224" s="361"/>
      <c r="G224" s="482"/>
    </row>
    <row r="225" spans="3:7" ht="15" customHeight="1" x14ac:dyDescent="0.25">
      <c r="C225" s="47"/>
      <c r="G225" s="482"/>
    </row>
    <row r="226" spans="3:7" ht="15" customHeight="1" x14ac:dyDescent="0.25">
      <c r="C226" s="47"/>
      <c r="G226" s="482"/>
    </row>
    <row r="227" spans="3:7" ht="15" customHeight="1" x14ac:dyDescent="0.25">
      <c r="C227" s="47"/>
      <c r="G227" s="482"/>
    </row>
    <row r="228" spans="3:7" ht="15" customHeight="1" x14ac:dyDescent="0.25">
      <c r="C228" s="195"/>
      <c r="G228" s="482"/>
    </row>
    <row r="229" spans="3:7" ht="15" customHeight="1" x14ac:dyDescent="0.25">
      <c r="C229" s="47"/>
      <c r="G229" s="482"/>
    </row>
    <row r="230" spans="3:7" ht="15" customHeight="1" x14ac:dyDescent="0.25">
      <c r="C230" s="47"/>
      <c r="G230" s="482"/>
    </row>
    <row r="231" spans="3:7" ht="15" customHeight="1" x14ac:dyDescent="0.25">
      <c r="C231" s="47"/>
      <c r="G231" s="482"/>
    </row>
    <row r="232" spans="3:7" ht="15" customHeight="1" x14ac:dyDescent="0.25">
      <c r="C232" s="195"/>
      <c r="G232" s="482"/>
    </row>
    <row r="233" spans="3:7" ht="15" customHeight="1" x14ac:dyDescent="0.25">
      <c r="C233" s="195"/>
      <c r="G233" s="482"/>
    </row>
    <row r="234" spans="3:7" ht="15" customHeight="1" x14ac:dyDescent="0.25">
      <c r="C234" s="47"/>
      <c r="G234" s="482"/>
    </row>
    <row r="235" spans="3:7" ht="15" customHeight="1" x14ac:dyDescent="0.25">
      <c r="C235" s="47"/>
      <c r="G235" s="482"/>
    </row>
    <row r="236" spans="3:7" ht="15" customHeight="1" x14ac:dyDescent="0.25">
      <c r="C236" s="47"/>
      <c r="G236" s="482"/>
    </row>
    <row r="237" spans="3:7" ht="15" customHeight="1" x14ac:dyDescent="0.25">
      <c r="C237" s="47"/>
      <c r="G237" s="482"/>
    </row>
    <row r="238" spans="3:7" ht="15" customHeight="1" x14ac:dyDescent="0.25">
      <c r="C238" s="47"/>
      <c r="G238" s="482"/>
    </row>
    <row r="239" spans="3:7" ht="15" customHeight="1" x14ac:dyDescent="0.25">
      <c r="C239" s="47"/>
      <c r="G239" s="482"/>
    </row>
    <row r="240" spans="3:7" ht="15" customHeight="1" x14ac:dyDescent="0.25">
      <c r="C240" s="47"/>
      <c r="G240" s="482"/>
    </row>
    <row r="241" spans="3:7" ht="15" customHeight="1" x14ac:dyDescent="0.25">
      <c r="C241" s="47"/>
      <c r="G241" s="482"/>
    </row>
    <row r="242" spans="3:7" ht="15" customHeight="1" x14ac:dyDescent="0.25">
      <c r="C242" s="47"/>
      <c r="G242" s="482"/>
    </row>
    <row r="243" spans="3:7" ht="15" customHeight="1" x14ac:dyDescent="0.25">
      <c r="C243" s="47"/>
      <c r="G243" s="482"/>
    </row>
    <row r="244" spans="3:7" ht="15" customHeight="1" x14ac:dyDescent="0.25">
      <c r="C244" s="47"/>
      <c r="G244" s="482"/>
    </row>
    <row r="245" spans="3:7" ht="15" customHeight="1" x14ac:dyDescent="0.25">
      <c r="C245" s="47"/>
      <c r="G245" s="482"/>
    </row>
    <row r="246" spans="3:7" ht="15" customHeight="1" x14ac:dyDescent="0.25">
      <c r="C246" s="47"/>
      <c r="G246" s="482"/>
    </row>
    <row r="247" spans="3:7" ht="15" customHeight="1" x14ac:dyDescent="0.25">
      <c r="C247" s="47"/>
      <c r="G247" s="482"/>
    </row>
    <row r="248" spans="3:7" ht="15" customHeight="1" x14ac:dyDescent="0.25">
      <c r="C248" s="47"/>
      <c r="G248" s="482"/>
    </row>
    <row r="249" spans="3:7" ht="15" customHeight="1" x14ac:dyDescent="0.25">
      <c r="C249" s="47"/>
      <c r="G249" s="482"/>
    </row>
    <row r="250" spans="3:7" ht="15" customHeight="1" x14ac:dyDescent="0.25">
      <c r="C250" s="47"/>
      <c r="G250" s="482"/>
    </row>
    <row r="251" spans="3:7" ht="15" customHeight="1" x14ac:dyDescent="0.25">
      <c r="C251" s="47"/>
      <c r="G251" s="482"/>
    </row>
    <row r="252" spans="3:7" ht="15" customHeight="1" x14ac:dyDescent="0.25">
      <c r="C252" s="47"/>
      <c r="G252" s="482"/>
    </row>
    <row r="253" spans="3:7" ht="15" customHeight="1" x14ac:dyDescent="0.25">
      <c r="C253" s="195"/>
      <c r="G253" s="482"/>
    </row>
    <row r="254" spans="3:7" ht="15" customHeight="1" x14ac:dyDescent="0.25">
      <c r="C254" s="47"/>
      <c r="G254" s="482"/>
    </row>
    <row r="255" spans="3:7" ht="15" customHeight="1" x14ac:dyDescent="0.25">
      <c r="C255" s="47"/>
      <c r="G255" s="482"/>
    </row>
    <row r="256" spans="3:7" ht="15" customHeight="1" x14ac:dyDescent="0.25">
      <c r="C256" s="47"/>
      <c r="G256" s="482"/>
    </row>
    <row r="257" spans="3:7" ht="15" customHeight="1" x14ac:dyDescent="0.25">
      <c r="C257" s="47"/>
      <c r="G257" s="482"/>
    </row>
    <row r="258" spans="3:7" ht="15" customHeight="1" x14ac:dyDescent="0.25">
      <c r="C258" s="47"/>
      <c r="G258" s="482"/>
    </row>
    <row r="259" spans="3:7" ht="15" customHeight="1" x14ac:dyDescent="0.25">
      <c r="C259" s="47"/>
      <c r="G259" s="482"/>
    </row>
    <row r="260" spans="3:7" ht="15" customHeight="1" x14ac:dyDescent="0.25">
      <c r="C260" s="47"/>
      <c r="G260" s="482"/>
    </row>
    <row r="261" spans="3:7" ht="15" customHeight="1" x14ac:dyDescent="0.25">
      <c r="C261" s="195"/>
      <c r="G261" s="482"/>
    </row>
    <row r="262" spans="3:7" ht="15" customHeight="1" x14ac:dyDescent="0.25">
      <c r="C262" s="47"/>
      <c r="G262" s="482"/>
    </row>
    <row r="263" spans="3:7" ht="15" customHeight="1" x14ac:dyDescent="0.25">
      <c r="C263" s="47"/>
      <c r="G263" s="482"/>
    </row>
    <row r="264" spans="3:7" ht="15" customHeight="1" x14ac:dyDescent="0.25">
      <c r="C264" s="47"/>
      <c r="G264" s="482"/>
    </row>
    <row r="265" spans="3:7" ht="15" customHeight="1" x14ac:dyDescent="0.25">
      <c r="C265" s="47"/>
      <c r="G265" s="482"/>
    </row>
    <row r="266" spans="3:7" ht="15" customHeight="1" x14ac:dyDescent="0.25">
      <c r="C266" s="47"/>
      <c r="G266" s="482"/>
    </row>
    <row r="267" spans="3:7" ht="15" customHeight="1" x14ac:dyDescent="0.25">
      <c r="C267" s="47"/>
      <c r="G267" s="482"/>
    </row>
    <row r="268" spans="3:7" ht="15" customHeight="1" x14ac:dyDescent="0.25">
      <c r="C268" s="47"/>
      <c r="G268" s="482"/>
    </row>
    <row r="269" spans="3:7" ht="15" customHeight="1" x14ac:dyDescent="0.25">
      <c r="C269" s="47"/>
      <c r="G269" s="482"/>
    </row>
    <row r="270" spans="3:7" ht="15" customHeight="1" x14ac:dyDescent="0.25">
      <c r="C270" s="47"/>
      <c r="G270" s="482"/>
    </row>
    <row r="271" spans="3:7" ht="15" customHeight="1" x14ac:dyDescent="0.25">
      <c r="C271" s="195"/>
      <c r="G271" s="482"/>
    </row>
    <row r="272" spans="3:7" ht="15" customHeight="1" x14ac:dyDescent="0.25">
      <c r="C272" s="47"/>
      <c r="G272" s="482"/>
    </row>
    <row r="273" spans="3:7" ht="15" customHeight="1" x14ac:dyDescent="0.25">
      <c r="C273" s="47"/>
      <c r="G273" s="482"/>
    </row>
    <row r="274" spans="3:7" ht="15" customHeight="1" x14ac:dyDescent="0.25">
      <c r="C274" s="47"/>
      <c r="G274" s="482"/>
    </row>
    <row r="275" spans="3:7" ht="15" customHeight="1" x14ac:dyDescent="0.25">
      <c r="C275" s="47"/>
    </row>
    <row r="276" spans="3:7" ht="15" customHeight="1" x14ac:dyDescent="0.25">
      <c r="C276" s="47"/>
    </row>
    <row r="277" spans="3:7" ht="15" customHeight="1" x14ac:dyDescent="0.25">
      <c r="C277" s="47"/>
    </row>
    <row r="278" spans="3:7" ht="15" customHeight="1" x14ac:dyDescent="0.25">
      <c r="C278" s="47"/>
    </row>
    <row r="279" spans="3:7" ht="15" customHeight="1" x14ac:dyDescent="0.25">
      <c r="C279" s="47"/>
    </row>
    <row r="280" spans="3:7" ht="15" customHeight="1" x14ac:dyDescent="0.25">
      <c r="C280" s="47"/>
    </row>
    <row r="281" spans="3:7" ht="15" customHeight="1" x14ac:dyDescent="0.25">
      <c r="C281" s="47"/>
    </row>
    <row r="282" spans="3:7" ht="15" customHeight="1" x14ac:dyDescent="0.25">
      <c r="C282" s="47"/>
    </row>
    <row r="283" spans="3:7" ht="15" customHeight="1" x14ac:dyDescent="0.25">
      <c r="C283" s="47"/>
    </row>
    <row r="284" spans="3:7" ht="15" customHeight="1" x14ac:dyDescent="0.25">
      <c r="C284" s="47"/>
    </row>
    <row r="285" spans="3:7" ht="15" customHeight="1" x14ac:dyDescent="0.25">
      <c r="C285" s="47"/>
    </row>
    <row r="286" spans="3:7" ht="15" customHeight="1" x14ac:dyDescent="0.25">
      <c r="C286" s="47"/>
    </row>
    <row r="287" spans="3:7" ht="15" customHeight="1" x14ac:dyDescent="0.25">
      <c r="C287" s="47"/>
    </row>
    <row r="288" spans="3:7" ht="15" customHeight="1" x14ac:dyDescent="0.25">
      <c r="C288" s="47"/>
    </row>
    <row r="289" spans="3:3" ht="15" customHeight="1" x14ac:dyDescent="0.25">
      <c r="C289" s="47"/>
    </row>
    <row r="290" spans="3:3" ht="15" customHeight="1" x14ac:dyDescent="0.25">
      <c r="C290" s="47"/>
    </row>
    <row r="291" spans="3:3" ht="15" customHeight="1" x14ac:dyDescent="0.25">
      <c r="C291" s="47"/>
    </row>
    <row r="292" spans="3:3" ht="15" customHeight="1" x14ac:dyDescent="0.25">
      <c r="C292" s="47"/>
    </row>
    <row r="293" spans="3:3" ht="15" customHeight="1" x14ac:dyDescent="0.25">
      <c r="C293" s="47"/>
    </row>
    <row r="294" spans="3:3" ht="15" customHeight="1" x14ac:dyDescent="0.25">
      <c r="C294" s="47"/>
    </row>
    <row r="295" spans="3:3" ht="15" customHeight="1" x14ac:dyDescent="0.25">
      <c r="C295" s="47"/>
    </row>
    <row r="296" spans="3:3" ht="15" customHeight="1" x14ac:dyDescent="0.25">
      <c r="C296" s="47"/>
    </row>
    <row r="297" spans="3:3" ht="15" customHeight="1" x14ac:dyDescent="0.25">
      <c r="C297" s="47"/>
    </row>
    <row r="298" spans="3:3" ht="15" customHeight="1" x14ac:dyDescent="0.25">
      <c r="C298" s="47"/>
    </row>
    <row r="299" spans="3:3" ht="15" customHeight="1" x14ac:dyDescent="0.25">
      <c r="C299" s="47"/>
    </row>
    <row r="300" spans="3:3" ht="15" customHeight="1" x14ac:dyDescent="0.25">
      <c r="C300" s="195"/>
    </row>
    <row r="301" spans="3:3" ht="15" customHeight="1" x14ac:dyDescent="0.25">
      <c r="C301" s="47"/>
    </row>
    <row r="302" spans="3:3" ht="15" customHeight="1" x14ac:dyDescent="0.25">
      <c r="C302" s="47"/>
    </row>
    <row r="303" spans="3:3" ht="15" customHeight="1" x14ac:dyDescent="0.25">
      <c r="C303" s="47"/>
    </row>
    <row r="304" spans="3:3" ht="15" customHeight="1" x14ac:dyDescent="0.25">
      <c r="C304" s="47"/>
    </row>
    <row r="305" spans="3:3" ht="15" customHeight="1" x14ac:dyDescent="0.25">
      <c r="C305" s="47"/>
    </row>
    <row r="306" spans="3:3" ht="15" customHeight="1" x14ac:dyDescent="0.25">
      <c r="C306" s="47"/>
    </row>
    <row r="307" spans="3:3" ht="15" customHeight="1" x14ac:dyDescent="0.25">
      <c r="C307" s="47"/>
    </row>
    <row r="308" spans="3:3" ht="15" customHeight="1" x14ac:dyDescent="0.25">
      <c r="C308" s="47"/>
    </row>
    <row r="309" spans="3:3" ht="15" customHeight="1" x14ac:dyDescent="0.25">
      <c r="C309" s="47"/>
    </row>
    <row r="310" spans="3:3" ht="15" customHeight="1" x14ac:dyDescent="0.25">
      <c r="C310" s="47"/>
    </row>
    <row r="311" spans="3:3" ht="15" customHeight="1" x14ac:dyDescent="0.25">
      <c r="C311" s="47"/>
    </row>
    <row r="312" spans="3:3" ht="15" customHeight="1" x14ac:dyDescent="0.25">
      <c r="C312" s="47"/>
    </row>
    <row r="313" spans="3:3" ht="15" customHeight="1" x14ac:dyDescent="0.25">
      <c r="C313" s="47"/>
    </row>
    <row r="314" spans="3:3" ht="15" customHeight="1" x14ac:dyDescent="0.25">
      <c r="C314" s="47"/>
    </row>
    <row r="315" spans="3:3" ht="15" customHeight="1" x14ac:dyDescent="0.25">
      <c r="C315" s="47"/>
    </row>
    <row r="316" spans="3:3" ht="15" customHeight="1" x14ac:dyDescent="0.25">
      <c r="C316" s="47"/>
    </row>
    <row r="317" spans="3:3" ht="15" customHeight="1" x14ac:dyDescent="0.25">
      <c r="C317" s="47"/>
    </row>
    <row r="318" spans="3:3" ht="15" customHeight="1" x14ac:dyDescent="0.25">
      <c r="C318" s="47"/>
    </row>
    <row r="319" spans="3:3" ht="15" customHeight="1" x14ac:dyDescent="0.25">
      <c r="C319" s="47"/>
    </row>
    <row r="320" spans="3:3" ht="15" customHeight="1" x14ac:dyDescent="0.25">
      <c r="C320" s="47"/>
    </row>
    <row r="321" spans="3:3" ht="15" customHeight="1" x14ac:dyDescent="0.25">
      <c r="C321" s="47"/>
    </row>
    <row r="322" spans="3:3" ht="15" customHeight="1" x14ac:dyDescent="0.25">
      <c r="C322" s="47"/>
    </row>
    <row r="323" spans="3:3" ht="15" customHeight="1" x14ac:dyDescent="0.25">
      <c r="C323" s="47"/>
    </row>
    <row r="324" spans="3:3" ht="15" customHeight="1" x14ac:dyDescent="0.25">
      <c r="C324" s="47"/>
    </row>
    <row r="325" spans="3:3" ht="15" customHeight="1" x14ac:dyDescent="0.25">
      <c r="C325" s="47"/>
    </row>
    <row r="326" spans="3:3" ht="15" customHeight="1" x14ac:dyDescent="0.25">
      <c r="C326" s="47"/>
    </row>
    <row r="327" spans="3:3" ht="15" customHeight="1" x14ac:dyDescent="0.25">
      <c r="C327" s="47"/>
    </row>
    <row r="328" spans="3:3" ht="15" customHeight="1" x14ac:dyDescent="0.25">
      <c r="C328" s="47"/>
    </row>
    <row r="329" spans="3:3" ht="15" customHeight="1" x14ac:dyDescent="0.25">
      <c r="C329" s="47"/>
    </row>
    <row r="330" spans="3:3" ht="15" customHeight="1" x14ac:dyDescent="0.25">
      <c r="C330" s="47"/>
    </row>
    <row r="331" spans="3:3" ht="15" customHeight="1" x14ac:dyDescent="0.25">
      <c r="C331" s="47"/>
    </row>
    <row r="332" spans="3:3" ht="15" customHeight="1" x14ac:dyDescent="0.25">
      <c r="C332" s="47"/>
    </row>
    <row r="333" spans="3:3" ht="15" customHeight="1" x14ac:dyDescent="0.25">
      <c r="C333" s="47"/>
    </row>
    <row r="334" spans="3:3" ht="15" customHeight="1" x14ac:dyDescent="0.25">
      <c r="C334" s="195"/>
    </row>
    <row r="335" spans="3:3" ht="15" customHeight="1" x14ac:dyDescent="0.25"/>
    <row r="336" spans="3:3" ht="15" customHeight="1" x14ac:dyDescent="0.25"/>
    <row r="337" spans="46:48" ht="15" customHeight="1" x14ac:dyDescent="0.25"/>
    <row r="338" spans="46:48" ht="15" customHeight="1" x14ac:dyDescent="0.25"/>
    <row r="339" spans="46:48" ht="15" customHeight="1" x14ac:dyDescent="0.25"/>
    <row r="340" spans="46:48" ht="15" customHeight="1" x14ac:dyDescent="0.25"/>
    <row r="341" spans="46:48" ht="15" customHeight="1" x14ac:dyDescent="0.25"/>
    <row r="342" spans="46:48" ht="15" customHeight="1" x14ac:dyDescent="0.25"/>
    <row r="343" spans="46:48" ht="15" customHeight="1" x14ac:dyDescent="0.25"/>
    <row r="344" spans="46:48" ht="15" customHeight="1" x14ac:dyDescent="0.25"/>
    <row r="345" spans="46:48" ht="15" customHeight="1" x14ac:dyDescent="0.25"/>
    <row r="346" spans="46:48" ht="15" customHeight="1" x14ac:dyDescent="0.25"/>
    <row r="347" spans="46:48" ht="15" customHeight="1" x14ac:dyDescent="0.25">
      <c r="AT347" s="97"/>
      <c r="AU347" s="97"/>
      <c r="AV347" s="97"/>
    </row>
    <row r="348" spans="46:48" ht="15" customHeight="1" x14ac:dyDescent="0.25">
      <c r="AT348" s="97"/>
      <c r="AU348" s="97"/>
      <c r="AV348" s="97"/>
    </row>
    <row r="349" spans="46:48" ht="15" customHeight="1" x14ac:dyDescent="0.25">
      <c r="AT349" s="97"/>
      <c r="AU349" s="97"/>
      <c r="AV349" s="97"/>
    </row>
    <row r="350" spans="46:48" ht="15" customHeight="1" x14ac:dyDescent="0.25">
      <c r="AT350" s="97"/>
      <c r="AU350" s="97"/>
      <c r="AV350" s="97"/>
    </row>
    <row r="351" spans="46:48" ht="15" customHeight="1" x14ac:dyDescent="0.25">
      <c r="AT351" s="97"/>
      <c r="AU351" s="97"/>
      <c r="AV351" s="97"/>
    </row>
  </sheetData>
  <autoFilter ref="A1:AV179"/>
  <sortState ref="B2:AD176">
    <sortCondition ref="B2"/>
  </sortState>
  <pageMargins left="0.17" right="0.16" top="0.23622047244094491" bottom="0.47244094488188981" header="0.31496062992125984" footer="0.47244094488188981"/>
  <pageSetup scale="85" orientation="portrait" horizontalDpi="4294967293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6"/>
  <dimension ref="A1:Q527"/>
  <sheetViews>
    <sheetView topLeftCell="A61" workbookViewId="0">
      <selection activeCell="G67" sqref="G67"/>
    </sheetView>
  </sheetViews>
  <sheetFormatPr baseColWidth="10" defaultRowHeight="15" x14ac:dyDescent="0.25"/>
  <cols>
    <col min="1" max="1" width="4.42578125" style="16" customWidth="1"/>
    <col min="2" max="2" width="53.42578125" style="16" customWidth="1"/>
    <col min="3" max="3" width="10" style="28" customWidth="1"/>
    <col min="4" max="4" width="7.5703125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8" ht="30" x14ac:dyDescent="0.25">
      <c r="A1" s="42" t="s">
        <v>0</v>
      </c>
      <c r="B1" s="42" t="s">
        <v>706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6">
        <v>1</v>
      </c>
      <c r="B2" s="314" t="s">
        <v>772</v>
      </c>
      <c r="C2" s="340">
        <v>4</v>
      </c>
      <c r="D2" s="15">
        <v>18</v>
      </c>
      <c r="E2" s="7">
        <v>31</v>
      </c>
      <c r="F2" s="141">
        <f t="shared" ref="F2:F65" si="0">(E2-D2)/(E2)</f>
        <v>0.41935483870967744</v>
      </c>
      <c r="G2" s="142">
        <f t="shared" ref="G2:G65" si="1">D2*C2</f>
        <v>72</v>
      </c>
      <c r="H2" s="143">
        <f t="shared" ref="H2:H65" si="2">E2*C2</f>
        <v>124</v>
      </c>
    </row>
    <row r="3" spans="1:8" x14ac:dyDescent="0.25">
      <c r="A3" s="16">
        <f t="shared" ref="A3:A66" si="3">A2+1</f>
        <v>2</v>
      </c>
      <c r="B3" s="314" t="s">
        <v>535</v>
      </c>
      <c r="C3" s="340">
        <v>2</v>
      </c>
      <c r="D3" s="15">
        <v>18.3</v>
      </c>
      <c r="E3" s="10">
        <v>32</v>
      </c>
      <c r="F3" s="141">
        <f t="shared" si="0"/>
        <v>0.42812499999999998</v>
      </c>
      <c r="G3" s="142">
        <f t="shared" si="1"/>
        <v>36.6</v>
      </c>
      <c r="H3" s="143">
        <f t="shared" si="2"/>
        <v>64</v>
      </c>
    </row>
    <row r="4" spans="1:8" ht="15.75" x14ac:dyDescent="0.25">
      <c r="A4" s="16">
        <f t="shared" si="3"/>
        <v>3</v>
      </c>
      <c r="B4" s="164" t="s">
        <v>862</v>
      </c>
      <c r="C4" s="102">
        <v>1</v>
      </c>
      <c r="D4" s="101">
        <v>25.3</v>
      </c>
      <c r="E4" s="169">
        <v>45</v>
      </c>
      <c r="F4" s="141">
        <f t="shared" si="0"/>
        <v>0.43777777777777777</v>
      </c>
      <c r="G4" s="142">
        <f t="shared" si="1"/>
        <v>25.3</v>
      </c>
      <c r="H4" s="143">
        <f t="shared" si="2"/>
        <v>45</v>
      </c>
    </row>
    <row r="5" spans="1:8" s="97" customFormat="1" x14ac:dyDescent="0.25">
      <c r="A5" s="13">
        <f t="shared" si="3"/>
        <v>4</v>
      </c>
      <c r="B5" s="314" t="s">
        <v>859</v>
      </c>
      <c r="C5" s="340">
        <v>66</v>
      </c>
      <c r="D5" s="15">
        <v>0.56000000000000005</v>
      </c>
      <c r="E5" s="7">
        <v>2</v>
      </c>
      <c r="F5" s="141">
        <f t="shared" si="0"/>
        <v>0.72</v>
      </c>
      <c r="G5" s="142">
        <f t="shared" si="1"/>
        <v>36.96</v>
      </c>
      <c r="H5" s="143">
        <f t="shared" si="2"/>
        <v>132</v>
      </c>
    </row>
    <row r="6" spans="1:8" x14ac:dyDescent="0.25">
      <c r="A6" s="16">
        <f t="shared" si="3"/>
        <v>5</v>
      </c>
      <c r="B6" s="314" t="s">
        <v>1201</v>
      </c>
      <c r="C6" s="340">
        <v>99</v>
      </c>
      <c r="D6" s="10">
        <v>1.3</v>
      </c>
      <c r="E6" s="7">
        <v>2.25</v>
      </c>
      <c r="F6" s="141">
        <f t="shared" si="0"/>
        <v>0.42222222222222222</v>
      </c>
      <c r="G6" s="142">
        <f t="shared" si="1"/>
        <v>128.70000000000002</v>
      </c>
      <c r="H6" s="143">
        <f t="shared" si="2"/>
        <v>222.75</v>
      </c>
    </row>
    <row r="7" spans="1:8" x14ac:dyDescent="0.25">
      <c r="A7" s="16">
        <f t="shared" si="3"/>
        <v>6</v>
      </c>
      <c r="B7" s="314" t="s">
        <v>775</v>
      </c>
      <c r="C7" s="340">
        <v>1</v>
      </c>
      <c r="D7" s="15">
        <v>50.3</v>
      </c>
      <c r="E7" s="7">
        <v>85</v>
      </c>
      <c r="F7" s="141">
        <f t="shared" si="0"/>
        <v>0.40823529411764709</v>
      </c>
      <c r="G7" s="142">
        <f t="shared" si="1"/>
        <v>50.3</v>
      </c>
      <c r="H7" s="143">
        <f t="shared" si="2"/>
        <v>85</v>
      </c>
    </row>
    <row r="8" spans="1:8" x14ac:dyDescent="0.25">
      <c r="A8" s="16">
        <f t="shared" si="3"/>
        <v>7</v>
      </c>
      <c r="B8" s="314" t="s">
        <v>774</v>
      </c>
      <c r="C8" s="340">
        <v>1</v>
      </c>
      <c r="D8" s="10">
        <v>50.3</v>
      </c>
      <c r="E8" s="7">
        <v>85</v>
      </c>
      <c r="F8" s="141">
        <f t="shared" si="0"/>
        <v>0.40823529411764709</v>
      </c>
      <c r="G8" s="142">
        <f t="shared" si="1"/>
        <v>50.3</v>
      </c>
      <c r="H8" s="143">
        <f t="shared" si="2"/>
        <v>85</v>
      </c>
    </row>
    <row r="9" spans="1:8" x14ac:dyDescent="0.25">
      <c r="A9" s="16">
        <f t="shared" si="3"/>
        <v>8</v>
      </c>
      <c r="B9" s="314" t="s">
        <v>524</v>
      </c>
      <c r="C9" s="413">
        <v>1</v>
      </c>
      <c r="D9" s="404">
        <v>20.3</v>
      </c>
      <c r="E9" s="7">
        <v>40</v>
      </c>
      <c r="F9" s="141">
        <f t="shared" si="0"/>
        <v>0.49249999999999999</v>
      </c>
      <c r="G9" s="142">
        <f t="shared" si="1"/>
        <v>20.3</v>
      </c>
      <c r="H9" s="143">
        <f t="shared" si="2"/>
        <v>40</v>
      </c>
    </row>
    <row r="10" spans="1:8" x14ac:dyDescent="0.25">
      <c r="A10" s="16">
        <f t="shared" si="3"/>
        <v>9</v>
      </c>
      <c r="B10" s="314" t="s">
        <v>1027</v>
      </c>
      <c r="C10" s="653">
        <v>8</v>
      </c>
      <c r="D10" s="15">
        <v>3.25</v>
      </c>
      <c r="E10" s="10">
        <v>5</v>
      </c>
      <c r="F10" s="141">
        <f t="shared" si="0"/>
        <v>0.35</v>
      </c>
      <c r="G10" s="142">
        <f t="shared" si="1"/>
        <v>26</v>
      </c>
      <c r="H10" s="143">
        <f t="shared" si="2"/>
        <v>40</v>
      </c>
    </row>
    <row r="11" spans="1:8" x14ac:dyDescent="0.25">
      <c r="A11" s="16">
        <f t="shared" si="3"/>
        <v>10</v>
      </c>
      <c r="B11" s="4" t="s">
        <v>822</v>
      </c>
      <c r="C11" s="413">
        <v>2</v>
      </c>
      <c r="D11" s="15">
        <v>13</v>
      </c>
      <c r="E11" s="7">
        <v>26</v>
      </c>
      <c r="F11" s="141">
        <f t="shared" si="0"/>
        <v>0.5</v>
      </c>
      <c r="G11" s="142">
        <f t="shared" si="1"/>
        <v>26</v>
      </c>
      <c r="H11" s="143">
        <f t="shared" si="2"/>
        <v>52</v>
      </c>
    </row>
    <row r="12" spans="1:8" x14ac:dyDescent="0.25">
      <c r="A12" s="16">
        <f t="shared" si="3"/>
        <v>11</v>
      </c>
      <c r="B12" s="4" t="s">
        <v>277</v>
      </c>
      <c r="C12" s="340">
        <v>3</v>
      </c>
      <c r="D12" s="15">
        <v>37.299999999999997</v>
      </c>
      <c r="E12" s="7">
        <v>63</v>
      </c>
      <c r="F12" s="141">
        <f t="shared" si="0"/>
        <v>0.40793650793650799</v>
      </c>
      <c r="G12" s="142">
        <f t="shared" si="1"/>
        <v>111.89999999999999</v>
      </c>
      <c r="H12" s="143">
        <f t="shared" si="2"/>
        <v>189</v>
      </c>
    </row>
    <row r="13" spans="1:8" x14ac:dyDescent="0.25">
      <c r="A13" s="16">
        <f t="shared" si="3"/>
        <v>12</v>
      </c>
      <c r="B13" s="314" t="s">
        <v>695</v>
      </c>
      <c r="C13" s="340">
        <v>50</v>
      </c>
      <c r="D13" s="15">
        <v>0.2</v>
      </c>
      <c r="E13" s="7">
        <v>0.75</v>
      </c>
      <c r="F13" s="141">
        <f t="shared" si="0"/>
        <v>0.73333333333333339</v>
      </c>
      <c r="G13" s="142">
        <f t="shared" si="1"/>
        <v>10</v>
      </c>
      <c r="H13" s="143">
        <f t="shared" si="2"/>
        <v>37.5</v>
      </c>
    </row>
    <row r="14" spans="1:8" ht="14.25" customHeight="1" x14ac:dyDescent="0.25">
      <c r="A14" s="16">
        <f t="shared" si="3"/>
        <v>13</v>
      </c>
      <c r="B14" s="314" t="s">
        <v>320</v>
      </c>
      <c r="C14" s="340">
        <v>4</v>
      </c>
      <c r="D14" s="15">
        <v>7</v>
      </c>
      <c r="E14" s="7">
        <v>12</v>
      </c>
      <c r="F14" s="141">
        <f t="shared" si="0"/>
        <v>0.41666666666666669</v>
      </c>
      <c r="G14" s="142">
        <f t="shared" si="1"/>
        <v>28</v>
      </c>
      <c r="H14" s="143">
        <f t="shared" si="2"/>
        <v>48</v>
      </c>
    </row>
    <row r="15" spans="1:8" x14ac:dyDescent="0.25">
      <c r="A15" s="16">
        <f t="shared" si="3"/>
        <v>14</v>
      </c>
      <c r="B15" s="314" t="s">
        <v>821</v>
      </c>
      <c r="C15" s="340">
        <v>3</v>
      </c>
      <c r="D15" s="15">
        <v>12.3</v>
      </c>
      <c r="E15" s="7">
        <v>30</v>
      </c>
      <c r="F15" s="141">
        <f t="shared" si="0"/>
        <v>0.59</v>
      </c>
      <c r="G15" s="142">
        <f t="shared" si="1"/>
        <v>36.900000000000006</v>
      </c>
      <c r="H15" s="143">
        <f t="shared" si="2"/>
        <v>90</v>
      </c>
    </row>
    <row r="16" spans="1:8" x14ac:dyDescent="0.25">
      <c r="A16" s="16">
        <f t="shared" si="3"/>
        <v>15</v>
      </c>
      <c r="B16" s="314" t="s">
        <v>765</v>
      </c>
      <c r="C16" s="340">
        <v>24</v>
      </c>
      <c r="D16" s="15">
        <v>0.43</v>
      </c>
      <c r="E16" s="7">
        <v>2.5</v>
      </c>
      <c r="F16" s="141">
        <f t="shared" si="0"/>
        <v>0.82799999999999996</v>
      </c>
      <c r="G16" s="142">
        <f t="shared" si="1"/>
        <v>10.32</v>
      </c>
      <c r="H16" s="143">
        <f t="shared" si="2"/>
        <v>60</v>
      </c>
    </row>
    <row r="17" spans="1:8" x14ac:dyDescent="0.25">
      <c r="A17" s="16">
        <f t="shared" si="3"/>
        <v>16</v>
      </c>
      <c r="B17" s="314" t="s">
        <v>724</v>
      </c>
      <c r="C17" s="340">
        <v>9</v>
      </c>
      <c r="D17" s="10">
        <v>2.5</v>
      </c>
      <c r="E17" s="7">
        <v>10</v>
      </c>
      <c r="F17" s="141">
        <f t="shared" si="0"/>
        <v>0.75</v>
      </c>
      <c r="G17" s="142">
        <f t="shared" si="1"/>
        <v>22.5</v>
      </c>
      <c r="H17" s="143">
        <f t="shared" si="2"/>
        <v>90</v>
      </c>
    </row>
    <row r="18" spans="1:8" x14ac:dyDescent="0.25">
      <c r="A18" s="16">
        <f t="shared" si="3"/>
        <v>17</v>
      </c>
      <c r="B18" s="314" t="s">
        <v>947</v>
      </c>
      <c r="C18" s="340">
        <v>1</v>
      </c>
      <c r="D18" s="10">
        <v>38.299999999999997</v>
      </c>
      <c r="E18" s="7">
        <v>68</v>
      </c>
      <c r="F18" s="141">
        <f t="shared" si="0"/>
        <v>0.436764705882353</v>
      </c>
      <c r="G18" s="142">
        <f t="shared" si="1"/>
        <v>38.299999999999997</v>
      </c>
      <c r="H18" s="143">
        <f t="shared" si="2"/>
        <v>68</v>
      </c>
    </row>
    <row r="19" spans="1:8" x14ac:dyDescent="0.25">
      <c r="A19" s="16">
        <f t="shared" si="3"/>
        <v>18</v>
      </c>
      <c r="B19" s="314" t="s">
        <v>794</v>
      </c>
      <c r="C19" s="340">
        <v>2</v>
      </c>
      <c r="D19" s="15">
        <v>15</v>
      </c>
      <c r="E19" s="7">
        <v>45</v>
      </c>
      <c r="F19" s="141">
        <f t="shared" si="0"/>
        <v>0.66666666666666663</v>
      </c>
      <c r="G19" s="142">
        <f t="shared" si="1"/>
        <v>30</v>
      </c>
      <c r="H19" s="143">
        <f t="shared" si="2"/>
        <v>90</v>
      </c>
    </row>
    <row r="20" spans="1:8" x14ac:dyDescent="0.25">
      <c r="A20" s="16">
        <f t="shared" si="3"/>
        <v>19</v>
      </c>
      <c r="B20" s="314" t="s">
        <v>1361</v>
      </c>
      <c r="C20" s="340">
        <v>3</v>
      </c>
      <c r="D20" s="15">
        <v>32.299999999999997</v>
      </c>
      <c r="E20" s="7">
        <v>65</v>
      </c>
      <c r="F20" s="141">
        <f t="shared" si="0"/>
        <v>0.50307692307692309</v>
      </c>
      <c r="G20" s="142">
        <f t="shared" si="1"/>
        <v>96.899999999999991</v>
      </c>
      <c r="H20" s="143">
        <f t="shared" si="2"/>
        <v>195</v>
      </c>
    </row>
    <row r="21" spans="1:8" x14ac:dyDescent="0.25">
      <c r="A21" s="16">
        <f t="shared" si="3"/>
        <v>20</v>
      </c>
      <c r="B21" s="314" t="s">
        <v>103</v>
      </c>
      <c r="C21" s="340">
        <v>10</v>
      </c>
      <c r="D21" s="15">
        <v>11.3</v>
      </c>
      <c r="E21" s="7">
        <v>20</v>
      </c>
      <c r="F21" s="141">
        <f t="shared" si="0"/>
        <v>0.43499999999999994</v>
      </c>
      <c r="G21" s="142">
        <f t="shared" si="1"/>
        <v>113</v>
      </c>
      <c r="H21" s="143">
        <f t="shared" si="2"/>
        <v>200</v>
      </c>
    </row>
    <row r="22" spans="1:8" x14ac:dyDescent="0.25">
      <c r="A22" s="16">
        <f t="shared" si="3"/>
        <v>21</v>
      </c>
      <c r="B22" s="314" t="s">
        <v>1029</v>
      </c>
      <c r="C22" s="340">
        <v>1</v>
      </c>
      <c r="D22" s="15">
        <v>30.3</v>
      </c>
      <c r="E22" s="7">
        <v>80</v>
      </c>
      <c r="F22" s="141">
        <f t="shared" si="0"/>
        <v>0.62125000000000008</v>
      </c>
      <c r="G22" s="142">
        <f t="shared" si="1"/>
        <v>30.3</v>
      </c>
      <c r="H22" s="143">
        <f t="shared" si="2"/>
        <v>80</v>
      </c>
    </row>
    <row r="23" spans="1:8" x14ac:dyDescent="0.25">
      <c r="A23" s="16">
        <f t="shared" si="3"/>
        <v>22</v>
      </c>
      <c r="B23" s="314" t="s">
        <v>492</v>
      </c>
      <c r="C23" s="340">
        <v>1</v>
      </c>
      <c r="D23" s="10">
        <v>30.3</v>
      </c>
      <c r="E23" s="7">
        <v>80</v>
      </c>
      <c r="F23" s="141">
        <f t="shared" si="0"/>
        <v>0.62125000000000008</v>
      </c>
      <c r="G23" s="142">
        <f t="shared" si="1"/>
        <v>30.3</v>
      </c>
      <c r="H23" s="143">
        <f t="shared" si="2"/>
        <v>80</v>
      </c>
    </row>
    <row r="24" spans="1:8" x14ac:dyDescent="0.25">
      <c r="A24" s="16">
        <f t="shared" si="3"/>
        <v>23</v>
      </c>
      <c r="B24" s="314" t="s">
        <v>1030</v>
      </c>
      <c r="C24" s="340">
        <v>2</v>
      </c>
      <c r="D24" s="15">
        <v>30.3</v>
      </c>
      <c r="E24" s="7">
        <v>80</v>
      </c>
      <c r="F24" s="141">
        <f t="shared" si="0"/>
        <v>0.62125000000000008</v>
      </c>
      <c r="G24" s="142">
        <f t="shared" si="1"/>
        <v>60.6</v>
      </c>
      <c r="H24" s="143">
        <f t="shared" si="2"/>
        <v>160</v>
      </c>
    </row>
    <row r="25" spans="1:8" x14ac:dyDescent="0.25">
      <c r="A25" s="16">
        <f t="shared" si="3"/>
        <v>24</v>
      </c>
      <c r="B25" s="314" t="s">
        <v>1028</v>
      </c>
      <c r="C25" s="340">
        <v>1</v>
      </c>
      <c r="D25" s="15">
        <v>30</v>
      </c>
      <c r="E25" s="7">
        <v>80</v>
      </c>
      <c r="F25" s="141">
        <f t="shared" si="0"/>
        <v>0.625</v>
      </c>
      <c r="G25" s="142">
        <f t="shared" si="1"/>
        <v>30</v>
      </c>
      <c r="H25" s="143">
        <f t="shared" si="2"/>
        <v>80</v>
      </c>
    </row>
    <row r="26" spans="1:8" x14ac:dyDescent="0.25">
      <c r="A26" s="16">
        <f t="shared" si="3"/>
        <v>25</v>
      </c>
      <c r="B26" s="314" t="s">
        <v>1450</v>
      </c>
      <c r="C26" s="340">
        <v>0</v>
      </c>
      <c r="D26" s="10">
        <v>65</v>
      </c>
      <c r="E26" s="7">
        <v>110</v>
      </c>
      <c r="F26" s="141">
        <f t="shared" si="0"/>
        <v>0.40909090909090912</v>
      </c>
      <c r="G26" s="142">
        <f t="shared" si="1"/>
        <v>0</v>
      </c>
      <c r="H26" s="143">
        <f t="shared" si="2"/>
        <v>0</v>
      </c>
    </row>
    <row r="27" spans="1:8" x14ac:dyDescent="0.25">
      <c r="A27" s="16">
        <f t="shared" si="3"/>
        <v>26</v>
      </c>
      <c r="B27" s="314" t="s">
        <v>1031</v>
      </c>
      <c r="C27" s="340">
        <v>9</v>
      </c>
      <c r="D27" s="10">
        <v>8.66</v>
      </c>
      <c r="E27" s="7">
        <v>17</v>
      </c>
      <c r="F27" s="141">
        <f t="shared" si="0"/>
        <v>0.49058823529411766</v>
      </c>
      <c r="G27" s="142">
        <f t="shared" si="1"/>
        <v>77.94</v>
      </c>
      <c r="H27" s="143">
        <f t="shared" si="2"/>
        <v>153</v>
      </c>
    </row>
    <row r="28" spans="1:8" x14ac:dyDescent="0.25">
      <c r="A28" s="16">
        <f t="shared" si="3"/>
        <v>27</v>
      </c>
      <c r="B28" s="314" t="s">
        <v>1022</v>
      </c>
      <c r="C28" s="340">
        <v>52</v>
      </c>
      <c r="D28" s="10">
        <v>1.75</v>
      </c>
      <c r="E28" s="7">
        <v>2.8</v>
      </c>
      <c r="F28" s="141">
        <f t="shared" si="0"/>
        <v>0.37499999999999994</v>
      </c>
      <c r="G28" s="142">
        <f t="shared" si="1"/>
        <v>91</v>
      </c>
      <c r="H28" s="143">
        <f t="shared" si="2"/>
        <v>145.6</v>
      </c>
    </row>
    <row r="29" spans="1:8" x14ac:dyDescent="0.25">
      <c r="A29" s="16">
        <f t="shared" si="3"/>
        <v>28</v>
      </c>
      <c r="B29" s="314" t="s">
        <v>527</v>
      </c>
      <c r="C29" s="340">
        <v>1</v>
      </c>
      <c r="D29" s="15">
        <v>20.3</v>
      </c>
      <c r="E29" s="7">
        <v>40</v>
      </c>
      <c r="F29" s="141">
        <f t="shared" si="0"/>
        <v>0.49249999999999999</v>
      </c>
      <c r="G29" s="142">
        <f t="shared" si="1"/>
        <v>20.3</v>
      </c>
      <c r="H29" s="143">
        <f t="shared" si="2"/>
        <v>40</v>
      </c>
    </row>
    <row r="30" spans="1:8" x14ac:dyDescent="0.25">
      <c r="A30" s="16">
        <f t="shared" si="3"/>
        <v>29</v>
      </c>
      <c r="B30" s="314" t="s">
        <v>948</v>
      </c>
      <c r="C30" s="340">
        <v>1</v>
      </c>
      <c r="D30" s="10">
        <v>40.299999999999997</v>
      </c>
      <c r="E30" s="7">
        <v>68</v>
      </c>
      <c r="F30" s="141">
        <f t="shared" si="0"/>
        <v>0.40735294117647064</v>
      </c>
      <c r="G30" s="142">
        <f t="shared" si="1"/>
        <v>40.299999999999997</v>
      </c>
      <c r="H30" s="143">
        <f t="shared" si="2"/>
        <v>68</v>
      </c>
    </row>
    <row r="31" spans="1:8" x14ac:dyDescent="0.25">
      <c r="A31" s="16">
        <f t="shared" si="3"/>
        <v>30</v>
      </c>
      <c r="B31" s="314" t="s">
        <v>756</v>
      </c>
      <c r="C31" s="340">
        <v>8</v>
      </c>
      <c r="D31" s="15">
        <v>1.95</v>
      </c>
      <c r="E31" s="7">
        <v>4</v>
      </c>
      <c r="F31" s="141">
        <f t="shared" si="0"/>
        <v>0.51249999999999996</v>
      </c>
      <c r="G31" s="142">
        <f t="shared" si="1"/>
        <v>15.6</v>
      </c>
      <c r="H31" s="143">
        <f t="shared" si="2"/>
        <v>32</v>
      </c>
    </row>
    <row r="32" spans="1:8" x14ac:dyDescent="0.25">
      <c r="A32" s="16">
        <f t="shared" si="3"/>
        <v>31</v>
      </c>
      <c r="B32" s="314" t="s">
        <v>829</v>
      </c>
      <c r="C32" s="340">
        <v>197</v>
      </c>
      <c r="D32" s="10">
        <v>1.95</v>
      </c>
      <c r="E32" s="7">
        <v>3.2</v>
      </c>
      <c r="F32" s="141">
        <f t="shared" si="0"/>
        <v>0.39062500000000006</v>
      </c>
      <c r="G32" s="142">
        <f t="shared" si="1"/>
        <v>384.15</v>
      </c>
      <c r="H32" s="143">
        <f t="shared" si="2"/>
        <v>630.40000000000009</v>
      </c>
    </row>
    <row r="33" spans="1:8" x14ac:dyDescent="0.25">
      <c r="A33" s="16">
        <f t="shared" si="3"/>
        <v>32</v>
      </c>
      <c r="B33" s="314" t="s">
        <v>581</v>
      </c>
      <c r="C33" s="340">
        <v>1</v>
      </c>
      <c r="D33" s="15">
        <v>20.3</v>
      </c>
      <c r="E33" s="10">
        <v>68</v>
      </c>
      <c r="F33" s="141">
        <f t="shared" si="0"/>
        <v>0.70147058823529418</v>
      </c>
      <c r="G33" s="142">
        <f t="shared" si="1"/>
        <v>20.3</v>
      </c>
      <c r="H33" s="143">
        <f t="shared" si="2"/>
        <v>68</v>
      </c>
    </row>
    <row r="34" spans="1:8" x14ac:dyDescent="0.25">
      <c r="A34" s="16">
        <f t="shared" si="3"/>
        <v>33</v>
      </c>
      <c r="B34" s="314" t="s">
        <v>299</v>
      </c>
      <c r="C34" s="340">
        <v>8</v>
      </c>
      <c r="D34" s="10">
        <v>5.3</v>
      </c>
      <c r="E34" s="7">
        <v>10</v>
      </c>
      <c r="F34" s="141">
        <f t="shared" si="0"/>
        <v>0.47000000000000003</v>
      </c>
      <c r="G34" s="142">
        <f t="shared" si="1"/>
        <v>42.4</v>
      </c>
      <c r="H34" s="143">
        <f t="shared" si="2"/>
        <v>80</v>
      </c>
    </row>
    <row r="35" spans="1:8" x14ac:dyDescent="0.25">
      <c r="A35" s="16">
        <f t="shared" si="3"/>
        <v>34</v>
      </c>
      <c r="B35" s="4" t="s">
        <v>962</v>
      </c>
      <c r="C35" s="340">
        <v>89</v>
      </c>
      <c r="D35" s="10">
        <v>0.6</v>
      </c>
      <c r="E35" s="7">
        <v>1.1299999999999999</v>
      </c>
      <c r="F35" s="141">
        <f t="shared" si="0"/>
        <v>0.46902654867256632</v>
      </c>
      <c r="G35" s="142">
        <f t="shared" si="1"/>
        <v>53.4</v>
      </c>
      <c r="H35" s="143">
        <f t="shared" si="2"/>
        <v>100.57</v>
      </c>
    </row>
    <row r="36" spans="1:8" x14ac:dyDescent="0.25">
      <c r="A36" s="16">
        <f t="shared" si="3"/>
        <v>35</v>
      </c>
      <c r="B36" s="314" t="s">
        <v>1486</v>
      </c>
      <c r="C36" s="340">
        <v>1</v>
      </c>
      <c r="D36" s="10">
        <v>35</v>
      </c>
      <c r="E36" s="7">
        <v>68</v>
      </c>
      <c r="F36" s="141">
        <f t="shared" si="0"/>
        <v>0.48529411764705882</v>
      </c>
      <c r="G36" s="142">
        <f t="shared" si="1"/>
        <v>35</v>
      </c>
      <c r="H36" s="143">
        <f t="shared" si="2"/>
        <v>68</v>
      </c>
    </row>
    <row r="37" spans="1:8" s="97" customFormat="1" x14ac:dyDescent="0.25">
      <c r="A37" s="16">
        <f t="shared" si="3"/>
        <v>36</v>
      </c>
      <c r="B37" s="314" t="s">
        <v>685</v>
      </c>
      <c r="C37" s="340">
        <v>1</v>
      </c>
      <c r="D37" s="15">
        <v>85.3</v>
      </c>
      <c r="E37" s="10">
        <v>142</v>
      </c>
      <c r="F37" s="141">
        <f t="shared" si="0"/>
        <v>0.39929577464788735</v>
      </c>
      <c r="G37" s="142">
        <f t="shared" si="1"/>
        <v>85.3</v>
      </c>
      <c r="H37" s="143">
        <f t="shared" si="2"/>
        <v>142</v>
      </c>
    </row>
    <row r="38" spans="1:8" x14ac:dyDescent="0.25">
      <c r="A38" s="16">
        <f t="shared" si="3"/>
        <v>37</v>
      </c>
      <c r="B38" s="314" t="s">
        <v>760</v>
      </c>
      <c r="C38" s="340">
        <v>1</v>
      </c>
      <c r="D38" s="15">
        <v>10</v>
      </c>
      <c r="E38" s="7">
        <v>17</v>
      </c>
      <c r="F38" s="141">
        <f t="shared" si="0"/>
        <v>0.41176470588235292</v>
      </c>
      <c r="G38" s="142">
        <f t="shared" si="1"/>
        <v>10</v>
      </c>
      <c r="H38" s="143">
        <f t="shared" si="2"/>
        <v>17</v>
      </c>
    </row>
    <row r="39" spans="1:8" x14ac:dyDescent="0.25">
      <c r="A39" s="16">
        <f t="shared" si="3"/>
        <v>38</v>
      </c>
      <c r="B39" s="314" t="s">
        <v>1205</v>
      </c>
      <c r="C39" s="340">
        <v>2</v>
      </c>
      <c r="D39" s="15">
        <v>200.3</v>
      </c>
      <c r="E39" s="7">
        <v>350</v>
      </c>
      <c r="F39" s="141">
        <f t="shared" si="0"/>
        <v>0.42771428571428566</v>
      </c>
      <c r="G39" s="142">
        <f t="shared" si="1"/>
        <v>400.6</v>
      </c>
      <c r="H39" s="143">
        <f t="shared" si="2"/>
        <v>700</v>
      </c>
    </row>
    <row r="40" spans="1:8" x14ac:dyDescent="0.25">
      <c r="A40" s="16">
        <f t="shared" si="3"/>
        <v>39</v>
      </c>
      <c r="B40" s="314" t="s">
        <v>641</v>
      </c>
      <c r="C40" s="340">
        <v>1</v>
      </c>
      <c r="D40" s="15">
        <v>15.3</v>
      </c>
      <c r="E40" s="7">
        <v>110</v>
      </c>
      <c r="F40" s="141">
        <f t="shared" si="0"/>
        <v>0.86090909090909096</v>
      </c>
      <c r="G40" s="142">
        <f t="shared" si="1"/>
        <v>15.3</v>
      </c>
      <c r="H40" s="143">
        <f t="shared" si="2"/>
        <v>110</v>
      </c>
    </row>
    <row r="41" spans="1:8" x14ac:dyDescent="0.25">
      <c r="A41" s="16">
        <f t="shared" si="3"/>
        <v>40</v>
      </c>
      <c r="B41" s="314" t="s">
        <v>647</v>
      </c>
      <c r="C41" s="413">
        <v>6</v>
      </c>
      <c r="D41" s="404">
        <v>15.3</v>
      </c>
      <c r="E41" s="7">
        <v>29</v>
      </c>
      <c r="F41" s="141">
        <f t="shared" si="0"/>
        <v>0.47241379310344828</v>
      </c>
      <c r="G41" s="142">
        <f t="shared" si="1"/>
        <v>91.800000000000011</v>
      </c>
      <c r="H41" s="143">
        <f t="shared" si="2"/>
        <v>174</v>
      </c>
    </row>
    <row r="42" spans="1:8" x14ac:dyDescent="0.25">
      <c r="A42" s="16">
        <f t="shared" si="3"/>
        <v>41</v>
      </c>
      <c r="B42" s="314" t="s">
        <v>646</v>
      </c>
      <c r="C42" s="413">
        <v>2</v>
      </c>
      <c r="D42" s="404">
        <v>15.3</v>
      </c>
      <c r="E42" s="7">
        <v>29</v>
      </c>
      <c r="F42" s="141">
        <f t="shared" si="0"/>
        <v>0.47241379310344828</v>
      </c>
      <c r="G42" s="142">
        <f t="shared" si="1"/>
        <v>30.6</v>
      </c>
      <c r="H42" s="143">
        <f t="shared" si="2"/>
        <v>58</v>
      </c>
    </row>
    <row r="43" spans="1:8" x14ac:dyDescent="0.25">
      <c r="A43" s="16">
        <f t="shared" si="3"/>
        <v>42</v>
      </c>
      <c r="B43" s="314" t="s">
        <v>825</v>
      </c>
      <c r="C43" s="340">
        <v>1</v>
      </c>
      <c r="D43" s="15">
        <v>8.3000000000000007</v>
      </c>
      <c r="E43" s="7">
        <v>20</v>
      </c>
      <c r="F43" s="141">
        <f t="shared" si="0"/>
        <v>0.58499999999999996</v>
      </c>
      <c r="G43" s="142">
        <f t="shared" si="1"/>
        <v>8.3000000000000007</v>
      </c>
      <c r="H43" s="143">
        <f t="shared" si="2"/>
        <v>20</v>
      </c>
    </row>
    <row r="44" spans="1:8" x14ac:dyDescent="0.25">
      <c r="A44" s="16">
        <f t="shared" si="3"/>
        <v>43</v>
      </c>
      <c r="B44" s="314" t="s">
        <v>826</v>
      </c>
      <c r="C44" s="340">
        <v>1</v>
      </c>
      <c r="D44" s="15">
        <v>10.3</v>
      </c>
      <c r="E44" s="7">
        <v>20</v>
      </c>
      <c r="F44" s="141">
        <f t="shared" si="0"/>
        <v>0.48499999999999999</v>
      </c>
      <c r="G44" s="142">
        <f t="shared" si="1"/>
        <v>10.3</v>
      </c>
      <c r="H44" s="143">
        <f t="shared" si="2"/>
        <v>20</v>
      </c>
    </row>
    <row r="45" spans="1:8" x14ac:dyDescent="0.25">
      <c r="A45" s="16">
        <f t="shared" si="3"/>
        <v>44</v>
      </c>
      <c r="B45" s="314" t="s">
        <v>914</v>
      </c>
      <c r="C45" s="340">
        <v>131</v>
      </c>
      <c r="D45" s="15">
        <v>0.55000000000000004</v>
      </c>
      <c r="E45" s="7">
        <v>1</v>
      </c>
      <c r="F45" s="141">
        <f t="shared" si="0"/>
        <v>0.44999999999999996</v>
      </c>
      <c r="G45" s="142">
        <f t="shared" si="1"/>
        <v>72.050000000000011</v>
      </c>
      <c r="H45" s="143">
        <f t="shared" si="2"/>
        <v>131</v>
      </c>
    </row>
    <row r="46" spans="1:8" x14ac:dyDescent="0.25">
      <c r="A46" s="16">
        <f t="shared" si="3"/>
        <v>45</v>
      </c>
      <c r="B46" s="314" t="s">
        <v>1032</v>
      </c>
      <c r="C46" s="340">
        <v>4</v>
      </c>
      <c r="D46" s="15">
        <v>9.3000000000000007</v>
      </c>
      <c r="E46" s="10">
        <v>20</v>
      </c>
      <c r="F46" s="141">
        <f t="shared" si="0"/>
        <v>0.53499999999999992</v>
      </c>
      <c r="G46" s="142">
        <f t="shared" si="1"/>
        <v>37.200000000000003</v>
      </c>
      <c r="H46" s="143">
        <f t="shared" si="2"/>
        <v>80</v>
      </c>
    </row>
    <row r="47" spans="1:8" x14ac:dyDescent="0.25">
      <c r="A47" s="16">
        <f t="shared" si="3"/>
        <v>46</v>
      </c>
      <c r="B47" s="314" t="s">
        <v>950</v>
      </c>
      <c r="C47" s="653">
        <v>25</v>
      </c>
      <c r="D47" s="15">
        <v>1.5960000000000001</v>
      </c>
      <c r="E47" s="10">
        <v>4.4000000000000004</v>
      </c>
      <c r="F47" s="141">
        <f t="shared" si="0"/>
        <v>0.63727272727272732</v>
      </c>
      <c r="G47" s="142">
        <f t="shared" si="1"/>
        <v>39.900000000000006</v>
      </c>
      <c r="H47" s="143">
        <f t="shared" si="2"/>
        <v>110.00000000000001</v>
      </c>
    </row>
    <row r="48" spans="1:8" x14ac:dyDescent="0.25">
      <c r="A48" s="16">
        <f t="shared" si="3"/>
        <v>47</v>
      </c>
      <c r="B48" s="314" t="s">
        <v>526</v>
      </c>
      <c r="C48" s="340">
        <v>1</v>
      </c>
      <c r="D48" s="15">
        <v>20.3</v>
      </c>
      <c r="E48" s="7">
        <v>40</v>
      </c>
      <c r="F48" s="141">
        <f t="shared" si="0"/>
        <v>0.49249999999999999</v>
      </c>
      <c r="G48" s="142">
        <f t="shared" si="1"/>
        <v>20.3</v>
      </c>
      <c r="H48" s="143">
        <f t="shared" si="2"/>
        <v>40</v>
      </c>
    </row>
    <row r="49" spans="1:17" x14ac:dyDescent="0.25">
      <c r="A49" s="16">
        <f t="shared" si="3"/>
        <v>48</v>
      </c>
      <c r="B49" s="314" t="s">
        <v>182</v>
      </c>
      <c r="C49" s="340">
        <v>13</v>
      </c>
      <c r="D49" s="10">
        <v>5.8</v>
      </c>
      <c r="E49" s="7">
        <v>10</v>
      </c>
      <c r="F49" s="141">
        <f t="shared" si="0"/>
        <v>0.42000000000000004</v>
      </c>
      <c r="G49" s="142">
        <f t="shared" si="1"/>
        <v>75.399999999999991</v>
      </c>
      <c r="H49" s="143">
        <f t="shared" si="2"/>
        <v>130</v>
      </c>
    </row>
    <row r="50" spans="1:17" x14ac:dyDescent="0.25">
      <c r="A50" s="16">
        <f t="shared" si="3"/>
        <v>49</v>
      </c>
      <c r="B50" s="314" t="s">
        <v>1215</v>
      </c>
      <c r="C50" s="340">
        <v>9</v>
      </c>
      <c r="D50" s="15">
        <v>2.08</v>
      </c>
      <c r="E50" s="7">
        <v>4</v>
      </c>
      <c r="F50" s="141">
        <f t="shared" si="0"/>
        <v>0.48</v>
      </c>
      <c r="G50" s="142">
        <f t="shared" si="1"/>
        <v>18.72</v>
      </c>
      <c r="H50" s="143">
        <f t="shared" si="2"/>
        <v>36</v>
      </c>
    </row>
    <row r="51" spans="1:17" x14ac:dyDescent="0.25">
      <c r="A51" s="16">
        <f t="shared" si="3"/>
        <v>50</v>
      </c>
      <c r="B51" s="314" t="s">
        <v>1216</v>
      </c>
      <c r="C51" s="340">
        <v>15</v>
      </c>
      <c r="D51" s="15">
        <v>2.08</v>
      </c>
      <c r="E51" s="7">
        <v>4</v>
      </c>
      <c r="F51" s="141">
        <f t="shared" si="0"/>
        <v>0.48</v>
      </c>
      <c r="G51" s="142">
        <f t="shared" si="1"/>
        <v>31.200000000000003</v>
      </c>
      <c r="H51" s="143">
        <f t="shared" si="2"/>
        <v>60</v>
      </c>
    </row>
    <row r="52" spans="1:17" x14ac:dyDescent="0.25">
      <c r="A52" s="16">
        <f t="shared" si="3"/>
        <v>51</v>
      </c>
      <c r="B52" s="314" t="s">
        <v>583</v>
      </c>
      <c r="C52" s="340">
        <v>2</v>
      </c>
      <c r="D52" s="15">
        <v>20.3</v>
      </c>
      <c r="E52" s="10">
        <v>40</v>
      </c>
      <c r="F52" s="141">
        <f t="shared" si="0"/>
        <v>0.49249999999999999</v>
      </c>
      <c r="G52" s="142">
        <f t="shared" si="1"/>
        <v>40.6</v>
      </c>
      <c r="H52" s="143">
        <f t="shared" si="2"/>
        <v>80</v>
      </c>
    </row>
    <row r="53" spans="1:17" x14ac:dyDescent="0.25">
      <c r="A53" s="16">
        <f t="shared" si="3"/>
        <v>52</v>
      </c>
      <c r="B53" s="314" t="s">
        <v>1187</v>
      </c>
      <c r="C53" s="340">
        <v>119</v>
      </c>
      <c r="D53" s="10">
        <v>2.21</v>
      </c>
      <c r="E53" s="7">
        <v>4</v>
      </c>
      <c r="F53" s="141">
        <f t="shared" si="0"/>
        <v>0.44750000000000001</v>
      </c>
      <c r="G53" s="142">
        <f t="shared" si="1"/>
        <v>262.99</v>
      </c>
      <c r="H53" s="143">
        <f t="shared" si="2"/>
        <v>476</v>
      </c>
    </row>
    <row r="54" spans="1:17" x14ac:dyDescent="0.25">
      <c r="A54" s="16">
        <f t="shared" si="3"/>
        <v>53</v>
      </c>
      <c r="B54" s="314" t="s">
        <v>657</v>
      </c>
      <c r="C54" s="340">
        <v>2</v>
      </c>
      <c r="D54" s="10">
        <v>45.3</v>
      </c>
      <c r="E54" s="7">
        <v>82</v>
      </c>
      <c r="F54" s="141">
        <f t="shared" si="0"/>
        <v>0.44756097560975611</v>
      </c>
      <c r="G54" s="142">
        <f t="shared" si="1"/>
        <v>90.6</v>
      </c>
      <c r="H54" s="143">
        <f t="shared" si="2"/>
        <v>164</v>
      </c>
    </row>
    <row r="55" spans="1:17" x14ac:dyDescent="0.25">
      <c r="A55" s="16">
        <f t="shared" si="3"/>
        <v>54</v>
      </c>
      <c r="B55" s="314" t="s">
        <v>805</v>
      </c>
      <c r="C55" s="340">
        <v>1</v>
      </c>
      <c r="D55" s="15">
        <v>9.3000000000000007</v>
      </c>
      <c r="E55" s="10">
        <v>50</v>
      </c>
      <c r="F55" s="141">
        <f t="shared" si="0"/>
        <v>0.81400000000000006</v>
      </c>
      <c r="G55" s="142">
        <f t="shared" si="1"/>
        <v>9.3000000000000007</v>
      </c>
      <c r="H55" s="143">
        <f t="shared" si="2"/>
        <v>50</v>
      </c>
      <c r="J55" s="38"/>
      <c r="K55" s="38"/>
      <c r="L55" s="37"/>
      <c r="M55" s="36"/>
      <c r="N55" s="36"/>
      <c r="O55" s="35"/>
      <c r="P55" s="34"/>
      <c r="Q55" s="33"/>
    </row>
    <row r="56" spans="1:17" x14ac:dyDescent="0.25">
      <c r="A56" s="16">
        <f t="shared" si="3"/>
        <v>55</v>
      </c>
      <c r="B56" s="314" t="s">
        <v>806</v>
      </c>
      <c r="C56" s="340">
        <v>18</v>
      </c>
      <c r="D56" s="10">
        <v>2.5</v>
      </c>
      <c r="E56" s="7">
        <v>8</v>
      </c>
      <c r="F56" s="141">
        <f t="shared" si="0"/>
        <v>0.6875</v>
      </c>
      <c r="G56" s="142">
        <f t="shared" si="1"/>
        <v>45</v>
      </c>
      <c r="H56" s="143">
        <f t="shared" si="2"/>
        <v>144</v>
      </c>
    </row>
    <row r="57" spans="1:17" x14ac:dyDescent="0.25">
      <c r="A57" s="16">
        <f t="shared" si="3"/>
        <v>56</v>
      </c>
      <c r="B57" s="314" t="s">
        <v>1429</v>
      </c>
      <c r="C57" s="415">
        <v>2</v>
      </c>
      <c r="D57" s="10">
        <v>9.3000000000000007</v>
      </c>
      <c r="E57" s="7">
        <v>49</v>
      </c>
      <c r="F57" s="141">
        <f t="shared" si="0"/>
        <v>0.81020408163265312</v>
      </c>
      <c r="G57" s="142">
        <f t="shared" si="1"/>
        <v>18.600000000000001</v>
      </c>
      <c r="H57" s="143">
        <f t="shared" si="2"/>
        <v>98</v>
      </c>
    </row>
    <row r="58" spans="1:17" x14ac:dyDescent="0.25">
      <c r="A58" s="16">
        <f t="shared" si="3"/>
        <v>57</v>
      </c>
      <c r="B58" s="314" t="s">
        <v>1033</v>
      </c>
      <c r="C58" s="340">
        <v>162</v>
      </c>
      <c r="D58" s="15">
        <v>0.6</v>
      </c>
      <c r="E58" s="7">
        <v>1.2</v>
      </c>
      <c r="F58" s="141">
        <f t="shared" si="0"/>
        <v>0.5</v>
      </c>
      <c r="G58" s="142">
        <f t="shared" si="1"/>
        <v>97.2</v>
      </c>
      <c r="H58" s="143">
        <f t="shared" si="2"/>
        <v>194.4</v>
      </c>
    </row>
    <row r="59" spans="1:17" x14ac:dyDescent="0.25">
      <c r="A59" s="16">
        <f t="shared" si="3"/>
        <v>58</v>
      </c>
      <c r="B59" s="314" t="s">
        <v>776</v>
      </c>
      <c r="C59" s="340">
        <v>96</v>
      </c>
      <c r="D59" s="15">
        <v>0.55000000000000004</v>
      </c>
      <c r="E59" s="7">
        <v>1</v>
      </c>
      <c r="F59" s="141">
        <f t="shared" si="0"/>
        <v>0.44999999999999996</v>
      </c>
      <c r="G59" s="142">
        <f t="shared" si="1"/>
        <v>52.800000000000004</v>
      </c>
      <c r="H59" s="143">
        <f t="shared" si="2"/>
        <v>96</v>
      </c>
    </row>
    <row r="60" spans="1:17" x14ac:dyDescent="0.25">
      <c r="A60" s="16">
        <f t="shared" si="3"/>
        <v>59</v>
      </c>
      <c r="B60" s="314" t="s">
        <v>1034</v>
      </c>
      <c r="C60" s="340">
        <v>41</v>
      </c>
      <c r="D60" s="15">
        <v>0.66</v>
      </c>
      <c r="E60" s="7">
        <v>2</v>
      </c>
      <c r="F60" s="141">
        <f t="shared" si="0"/>
        <v>0.66999999999999993</v>
      </c>
      <c r="G60" s="142">
        <f t="shared" si="1"/>
        <v>27.060000000000002</v>
      </c>
      <c r="H60" s="143">
        <f t="shared" si="2"/>
        <v>82</v>
      </c>
    </row>
    <row r="61" spans="1:17" x14ac:dyDescent="0.25">
      <c r="A61" s="16">
        <f t="shared" si="3"/>
        <v>60</v>
      </c>
      <c r="B61" s="314" t="s">
        <v>736</v>
      </c>
      <c r="C61" s="340">
        <v>3</v>
      </c>
      <c r="D61" s="10">
        <v>16.3</v>
      </c>
      <c r="E61" s="7">
        <v>29</v>
      </c>
      <c r="F61" s="141">
        <f t="shared" si="0"/>
        <v>0.43793103448275861</v>
      </c>
      <c r="G61" s="142">
        <f t="shared" si="1"/>
        <v>48.900000000000006</v>
      </c>
      <c r="H61" s="143">
        <f t="shared" si="2"/>
        <v>87</v>
      </c>
    </row>
    <row r="62" spans="1:17" x14ac:dyDescent="0.25">
      <c r="A62" s="16">
        <f t="shared" si="3"/>
        <v>61</v>
      </c>
      <c r="B62" s="314" t="s">
        <v>1418</v>
      </c>
      <c r="C62" s="413">
        <v>15</v>
      </c>
      <c r="D62" s="404">
        <v>7</v>
      </c>
      <c r="E62" s="7">
        <v>12</v>
      </c>
      <c r="F62" s="141">
        <f t="shared" si="0"/>
        <v>0.41666666666666669</v>
      </c>
      <c r="G62" s="142">
        <f t="shared" si="1"/>
        <v>105</v>
      </c>
      <c r="H62" s="143">
        <f t="shared" si="2"/>
        <v>180</v>
      </c>
    </row>
    <row r="63" spans="1:17" s="97" customFormat="1" x14ac:dyDescent="0.25">
      <c r="A63" s="16">
        <f t="shared" si="3"/>
        <v>62</v>
      </c>
      <c r="B63" s="314" t="s">
        <v>915</v>
      </c>
      <c r="C63" s="340">
        <v>27</v>
      </c>
      <c r="D63" s="15">
        <v>10.55</v>
      </c>
      <c r="E63" s="7">
        <v>20</v>
      </c>
      <c r="F63" s="141">
        <f t="shared" si="0"/>
        <v>0.47249999999999998</v>
      </c>
      <c r="G63" s="142">
        <f t="shared" si="1"/>
        <v>284.85000000000002</v>
      </c>
      <c r="H63" s="143">
        <f t="shared" si="2"/>
        <v>540</v>
      </c>
    </row>
    <row r="64" spans="1:17" x14ac:dyDescent="0.25">
      <c r="A64" s="16">
        <f t="shared" si="3"/>
        <v>63</v>
      </c>
      <c r="B64" s="314" t="s">
        <v>777</v>
      </c>
      <c r="C64" s="340">
        <v>28</v>
      </c>
      <c r="D64" s="15">
        <v>1.18</v>
      </c>
      <c r="E64" s="7">
        <v>2</v>
      </c>
      <c r="F64" s="141">
        <f t="shared" si="0"/>
        <v>0.41000000000000003</v>
      </c>
      <c r="G64" s="142">
        <f t="shared" si="1"/>
        <v>33.04</v>
      </c>
      <c r="H64" s="143">
        <f t="shared" si="2"/>
        <v>56</v>
      </c>
    </row>
    <row r="65" spans="1:8" x14ac:dyDescent="0.25">
      <c r="A65" s="16">
        <f t="shared" si="3"/>
        <v>64</v>
      </c>
      <c r="B65" s="314" t="s">
        <v>519</v>
      </c>
      <c r="C65" s="340">
        <v>1</v>
      </c>
      <c r="D65" s="10">
        <v>24.3</v>
      </c>
      <c r="E65" s="7">
        <v>45</v>
      </c>
      <c r="F65" s="141">
        <f t="shared" si="0"/>
        <v>0.45999999999999996</v>
      </c>
      <c r="G65" s="142">
        <f t="shared" si="1"/>
        <v>24.3</v>
      </c>
      <c r="H65" s="143">
        <f t="shared" si="2"/>
        <v>45</v>
      </c>
    </row>
    <row r="66" spans="1:8" x14ac:dyDescent="0.25">
      <c r="A66" s="16">
        <f t="shared" si="3"/>
        <v>65</v>
      </c>
      <c r="B66" s="314" t="s">
        <v>949</v>
      </c>
      <c r="C66" s="415">
        <v>1</v>
      </c>
      <c r="D66" s="10">
        <v>25.3</v>
      </c>
      <c r="E66" s="7">
        <v>55</v>
      </c>
      <c r="F66" s="141">
        <f t="shared" ref="F66:F129" si="4">(E66-D66)/(E66)</f>
        <v>0.54</v>
      </c>
      <c r="G66" s="142">
        <f t="shared" ref="G66:G129" si="5">D66*C66</f>
        <v>25.3</v>
      </c>
      <c r="H66" s="143">
        <f t="shared" ref="H66:H129" si="6">E66*C66</f>
        <v>55</v>
      </c>
    </row>
    <row r="67" spans="1:8" x14ac:dyDescent="0.25">
      <c r="A67" s="16">
        <f t="shared" ref="A67:A130" si="7">A66+1</f>
        <v>66</v>
      </c>
      <c r="B67" s="314" t="s">
        <v>675</v>
      </c>
      <c r="C67" s="340">
        <v>8</v>
      </c>
      <c r="D67" s="15">
        <v>3</v>
      </c>
      <c r="E67" s="7">
        <v>7</v>
      </c>
      <c r="F67" s="141">
        <f t="shared" si="4"/>
        <v>0.5714285714285714</v>
      </c>
      <c r="G67" s="142">
        <f t="shared" si="5"/>
        <v>24</v>
      </c>
      <c r="H67" s="143">
        <f t="shared" si="6"/>
        <v>56</v>
      </c>
    </row>
    <row r="68" spans="1:8" x14ac:dyDescent="0.25">
      <c r="A68" s="16">
        <f t="shared" si="7"/>
        <v>67</v>
      </c>
      <c r="B68" s="314" t="s">
        <v>861</v>
      </c>
      <c r="C68" s="340">
        <v>16</v>
      </c>
      <c r="D68" s="15">
        <v>1.87</v>
      </c>
      <c r="E68" s="7">
        <v>10</v>
      </c>
      <c r="F68" s="141">
        <f t="shared" si="4"/>
        <v>0.81299999999999994</v>
      </c>
      <c r="G68" s="142">
        <f t="shared" si="5"/>
        <v>29.92</v>
      </c>
      <c r="H68" s="143">
        <f t="shared" si="6"/>
        <v>160</v>
      </c>
    </row>
    <row r="69" spans="1:8" x14ac:dyDescent="0.25">
      <c r="A69" s="16">
        <f t="shared" si="7"/>
        <v>68</v>
      </c>
      <c r="B69" s="314" t="s">
        <v>129</v>
      </c>
      <c r="C69" s="340">
        <v>4</v>
      </c>
      <c r="D69" s="10">
        <v>20.3</v>
      </c>
      <c r="E69" s="7">
        <v>35</v>
      </c>
      <c r="F69" s="141">
        <f t="shared" si="4"/>
        <v>0.42</v>
      </c>
      <c r="G69" s="142">
        <f t="shared" si="5"/>
        <v>81.2</v>
      </c>
      <c r="H69" s="143">
        <f t="shared" si="6"/>
        <v>140</v>
      </c>
    </row>
    <row r="70" spans="1:8" x14ac:dyDescent="0.25">
      <c r="A70" s="16">
        <f t="shared" si="7"/>
        <v>69</v>
      </c>
      <c r="B70" s="314" t="s">
        <v>130</v>
      </c>
      <c r="C70" s="340">
        <v>3</v>
      </c>
      <c r="D70" s="15">
        <v>22</v>
      </c>
      <c r="E70" s="7">
        <v>39</v>
      </c>
      <c r="F70" s="141">
        <f t="shared" si="4"/>
        <v>0.4358974358974359</v>
      </c>
      <c r="G70" s="142">
        <f t="shared" si="5"/>
        <v>66</v>
      </c>
      <c r="H70" s="143">
        <f t="shared" si="6"/>
        <v>117</v>
      </c>
    </row>
    <row r="71" spans="1:8" x14ac:dyDescent="0.25">
      <c r="A71" s="16">
        <f t="shared" si="7"/>
        <v>70</v>
      </c>
      <c r="B71" s="472" t="s">
        <v>132</v>
      </c>
      <c r="C71" s="340">
        <v>6</v>
      </c>
      <c r="D71" s="10">
        <v>25.45</v>
      </c>
      <c r="E71" s="7">
        <v>39</v>
      </c>
      <c r="F71" s="141">
        <f t="shared" si="4"/>
        <v>0.34743589743589748</v>
      </c>
      <c r="G71" s="142">
        <f t="shared" si="5"/>
        <v>152.69999999999999</v>
      </c>
      <c r="H71" s="143">
        <f t="shared" si="6"/>
        <v>234</v>
      </c>
    </row>
    <row r="72" spans="1:8" x14ac:dyDescent="0.25">
      <c r="A72" s="16">
        <f t="shared" si="7"/>
        <v>71</v>
      </c>
      <c r="B72" s="314" t="s">
        <v>1035</v>
      </c>
      <c r="C72" s="340">
        <v>98</v>
      </c>
      <c r="D72" s="10">
        <v>0.3</v>
      </c>
      <c r="E72" s="7">
        <v>0.5</v>
      </c>
      <c r="F72" s="141">
        <f t="shared" si="4"/>
        <v>0.4</v>
      </c>
      <c r="G72" s="142">
        <f t="shared" si="5"/>
        <v>29.4</v>
      </c>
      <c r="H72" s="143">
        <f t="shared" si="6"/>
        <v>49</v>
      </c>
    </row>
    <row r="73" spans="1:8" x14ac:dyDescent="0.25">
      <c r="A73" s="16">
        <f t="shared" si="7"/>
        <v>72</v>
      </c>
      <c r="B73" s="314" t="s">
        <v>1036</v>
      </c>
      <c r="C73" s="340">
        <v>1</v>
      </c>
      <c r="D73" s="10">
        <v>50</v>
      </c>
      <c r="E73" s="7">
        <v>95</v>
      </c>
      <c r="F73" s="141">
        <f t="shared" si="4"/>
        <v>0.47368421052631576</v>
      </c>
      <c r="G73" s="142">
        <f t="shared" si="5"/>
        <v>50</v>
      </c>
      <c r="H73" s="143">
        <f t="shared" si="6"/>
        <v>95</v>
      </c>
    </row>
    <row r="74" spans="1:8" x14ac:dyDescent="0.25">
      <c r="A74" s="16">
        <f t="shared" si="7"/>
        <v>73</v>
      </c>
      <c r="B74" s="314" t="s">
        <v>1214</v>
      </c>
      <c r="C74" s="340">
        <v>0</v>
      </c>
      <c r="D74" s="15">
        <v>5.8330000000000002</v>
      </c>
      <c r="E74" s="7">
        <v>9.34</v>
      </c>
      <c r="F74" s="141">
        <f t="shared" si="4"/>
        <v>0.37548179871520337</v>
      </c>
      <c r="G74" s="142">
        <f t="shared" si="5"/>
        <v>0</v>
      </c>
      <c r="H74" s="143">
        <f t="shared" si="6"/>
        <v>0</v>
      </c>
    </row>
    <row r="75" spans="1:8" x14ac:dyDescent="0.25">
      <c r="A75" s="16">
        <f t="shared" si="7"/>
        <v>74</v>
      </c>
      <c r="B75" s="314" t="s">
        <v>734</v>
      </c>
      <c r="C75" s="340">
        <v>1</v>
      </c>
      <c r="D75" s="10">
        <v>15</v>
      </c>
      <c r="E75" s="7">
        <v>26</v>
      </c>
      <c r="F75" s="141">
        <f t="shared" si="4"/>
        <v>0.42307692307692307</v>
      </c>
      <c r="G75" s="142">
        <f t="shared" si="5"/>
        <v>15</v>
      </c>
      <c r="H75" s="143">
        <f t="shared" si="6"/>
        <v>26</v>
      </c>
    </row>
    <row r="76" spans="1:8" x14ac:dyDescent="0.25">
      <c r="A76" s="16">
        <f t="shared" si="7"/>
        <v>75</v>
      </c>
      <c r="B76" s="314" t="s">
        <v>270</v>
      </c>
      <c r="C76" s="340">
        <v>1</v>
      </c>
      <c r="D76" s="15">
        <v>21.3</v>
      </c>
      <c r="E76" s="7">
        <v>37</v>
      </c>
      <c r="F76" s="141">
        <f t="shared" si="4"/>
        <v>0.42432432432432432</v>
      </c>
      <c r="G76" s="142">
        <f t="shared" si="5"/>
        <v>21.3</v>
      </c>
      <c r="H76" s="143">
        <f t="shared" si="6"/>
        <v>37</v>
      </c>
    </row>
    <row r="77" spans="1:8" x14ac:dyDescent="0.25">
      <c r="A77" s="16">
        <f t="shared" si="7"/>
        <v>76</v>
      </c>
      <c r="B77" s="314" t="s">
        <v>1376</v>
      </c>
      <c r="C77" s="415">
        <v>28</v>
      </c>
      <c r="D77" s="10">
        <v>1.5</v>
      </c>
      <c r="E77" s="7">
        <v>3</v>
      </c>
      <c r="F77" s="141">
        <f t="shared" si="4"/>
        <v>0.5</v>
      </c>
      <c r="G77" s="142">
        <f t="shared" si="5"/>
        <v>42</v>
      </c>
      <c r="H77" s="143">
        <f t="shared" si="6"/>
        <v>84</v>
      </c>
    </row>
    <row r="78" spans="1:8" ht="15.75" x14ac:dyDescent="0.25">
      <c r="A78" s="16">
        <f t="shared" si="7"/>
        <v>77</v>
      </c>
      <c r="B78" s="314" t="s">
        <v>1457</v>
      </c>
      <c r="C78" s="340">
        <v>32</v>
      </c>
      <c r="D78" s="101">
        <v>1.22</v>
      </c>
      <c r="E78" s="10">
        <v>3</v>
      </c>
      <c r="F78" s="141">
        <f t="shared" si="4"/>
        <v>0.59333333333333338</v>
      </c>
      <c r="G78" s="142">
        <f t="shared" si="5"/>
        <v>39.04</v>
      </c>
      <c r="H78" s="143">
        <f t="shared" si="6"/>
        <v>96</v>
      </c>
    </row>
    <row r="79" spans="1:8" x14ac:dyDescent="0.25">
      <c r="A79" s="16">
        <f t="shared" si="7"/>
        <v>78</v>
      </c>
      <c r="B79" s="314" t="s">
        <v>1037</v>
      </c>
      <c r="C79" s="340">
        <v>4</v>
      </c>
      <c r="D79" s="10">
        <v>5.3</v>
      </c>
      <c r="E79" s="7">
        <v>10</v>
      </c>
      <c r="F79" s="141">
        <f t="shared" si="4"/>
        <v>0.47000000000000003</v>
      </c>
      <c r="G79" s="142">
        <f t="shared" si="5"/>
        <v>21.2</v>
      </c>
      <c r="H79" s="143">
        <f t="shared" si="6"/>
        <v>40</v>
      </c>
    </row>
    <row r="80" spans="1:8" x14ac:dyDescent="0.25">
      <c r="A80" s="16">
        <f t="shared" si="7"/>
        <v>79</v>
      </c>
      <c r="B80" s="314" t="s">
        <v>663</v>
      </c>
      <c r="C80" s="340">
        <v>6</v>
      </c>
      <c r="D80" s="10">
        <v>11.32</v>
      </c>
      <c r="E80" s="7">
        <v>19</v>
      </c>
      <c r="F80" s="141">
        <f t="shared" si="4"/>
        <v>0.40421052631578946</v>
      </c>
      <c r="G80" s="142">
        <f t="shared" si="5"/>
        <v>67.92</v>
      </c>
      <c r="H80" s="143">
        <f t="shared" si="6"/>
        <v>114</v>
      </c>
    </row>
    <row r="81" spans="1:8" x14ac:dyDescent="0.25">
      <c r="A81" s="16">
        <f t="shared" si="7"/>
        <v>80</v>
      </c>
      <c r="B81" s="314" t="s">
        <v>665</v>
      </c>
      <c r="C81" s="340">
        <v>4</v>
      </c>
      <c r="D81" s="10">
        <v>11.54</v>
      </c>
      <c r="E81" s="7">
        <v>19</v>
      </c>
      <c r="F81" s="141">
        <f t="shared" si="4"/>
        <v>0.39263157894736844</v>
      </c>
      <c r="G81" s="142">
        <f t="shared" si="5"/>
        <v>46.16</v>
      </c>
      <c r="H81" s="143">
        <f t="shared" si="6"/>
        <v>76</v>
      </c>
    </row>
    <row r="82" spans="1:8" x14ac:dyDescent="0.25">
      <c r="A82" s="16">
        <f t="shared" si="7"/>
        <v>81</v>
      </c>
      <c r="B82" s="314" t="s">
        <v>737</v>
      </c>
      <c r="C82" s="340">
        <v>4</v>
      </c>
      <c r="D82" s="10">
        <v>11.58</v>
      </c>
      <c r="E82" s="7">
        <v>19</v>
      </c>
      <c r="F82" s="141">
        <f t="shared" si="4"/>
        <v>0.39052631578947367</v>
      </c>
      <c r="G82" s="142">
        <f t="shared" si="5"/>
        <v>46.32</v>
      </c>
      <c r="H82" s="143">
        <f t="shared" si="6"/>
        <v>76</v>
      </c>
    </row>
    <row r="83" spans="1:8" x14ac:dyDescent="0.25">
      <c r="A83" s="16">
        <f t="shared" si="7"/>
        <v>82</v>
      </c>
      <c r="B83" s="314" t="s">
        <v>672</v>
      </c>
      <c r="C83" s="340">
        <v>3</v>
      </c>
      <c r="D83" s="10">
        <v>11.58</v>
      </c>
      <c r="E83" s="7">
        <v>19</v>
      </c>
      <c r="F83" s="141">
        <f t="shared" si="4"/>
        <v>0.39052631578947367</v>
      </c>
      <c r="G83" s="142">
        <f t="shared" si="5"/>
        <v>34.74</v>
      </c>
      <c r="H83" s="143">
        <f t="shared" si="6"/>
        <v>57</v>
      </c>
    </row>
    <row r="84" spans="1:8" x14ac:dyDescent="0.25">
      <c r="A84" s="16">
        <f t="shared" si="7"/>
        <v>83</v>
      </c>
      <c r="B84" s="314" t="s">
        <v>767</v>
      </c>
      <c r="C84" s="340">
        <v>4</v>
      </c>
      <c r="D84" s="10">
        <v>11.58</v>
      </c>
      <c r="E84" s="7">
        <v>19</v>
      </c>
      <c r="F84" s="141">
        <f t="shared" si="4"/>
        <v>0.39052631578947367</v>
      </c>
      <c r="G84" s="142">
        <f t="shared" si="5"/>
        <v>46.32</v>
      </c>
      <c r="H84" s="143">
        <f t="shared" si="6"/>
        <v>76</v>
      </c>
    </row>
    <row r="85" spans="1:8" x14ac:dyDescent="0.25">
      <c r="A85" s="16">
        <f t="shared" si="7"/>
        <v>84</v>
      </c>
      <c r="B85" s="314" t="s">
        <v>662</v>
      </c>
      <c r="C85" s="340">
        <v>4</v>
      </c>
      <c r="D85" s="10">
        <v>11.44</v>
      </c>
      <c r="E85" s="7">
        <v>19</v>
      </c>
      <c r="F85" s="141">
        <f t="shared" si="4"/>
        <v>0.3978947368421053</v>
      </c>
      <c r="G85" s="142">
        <f t="shared" si="5"/>
        <v>45.76</v>
      </c>
      <c r="H85" s="143">
        <f t="shared" si="6"/>
        <v>76</v>
      </c>
    </row>
    <row r="86" spans="1:8" x14ac:dyDescent="0.25">
      <c r="A86" s="16">
        <f t="shared" si="7"/>
        <v>85</v>
      </c>
      <c r="B86" s="314" t="s">
        <v>666</v>
      </c>
      <c r="C86" s="340">
        <v>4</v>
      </c>
      <c r="D86" s="10">
        <v>11.58</v>
      </c>
      <c r="E86" s="7">
        <v>19</v>
      </c>
      <c r="F86" s="141">
        <f t="shared" si="4"/>
        <v>0.39052631578947367</v>
      </c>
      <c r="G86" s="142">
        <f t="shared" si="5"/>
        <v>46.32</v>
      </c>
      <c r="H86" s="143">
        <f t="shared" si="6"/>
        <v>76</v>
      </c>
    </row>
    <row r="87" spans="1:8" x14ac:dyDescent="0.25">
      <c r="A87" s="16">
        <f t="shared" si="7"/>
        <v>86</v>
      </c>
      <c r="B87" s="314" t="s">
        <v>671</v>
      </c>
      <c r="C87" s="340">
        <v>4</v>
      </c>
      <c r="D87" s="10">
        <v>11.36</v>
      </c>
      <c r="E87" s="7">
        <v>19</v>
      </c>
      <c r="F87" s="141">
        <f t="shared" si="4"/>
        <v>0.40210526315789474</v>
      </c>
      <c r="G87" s="142">
        <f t="shared" si="5"/>
        <v>45.44</v>
      </c>
      <c r="H87" s="143">
        <f t="shared" si="6"/>
        <v>76</v>
      </c>
    </row>
    <row r="88" spans="1:8" x14ac:dyDescent="0.25">
      <c r="A88" s="16">
        <f t="shared" si="7"/>
        <v>87</v>
      </c>
      <c r="B88" s="314" t="s">
        <v>528</v>
      </c>
      <c r="C88" s="340">
        <v>1</v>
      </c>
      <c r="D88" s="15">
        <v>8.3000000000000007</v>
      </c>
      <c r="E88" s="7">
        <v>28</v>
      </c>
      <c r="F88" s="141">
        <f t="shared" si="4"/>
        <v>0.70357142857142851</v>
      </c>
      <c r="G88" s="142">
        <f t="shared" si="5"/>
        <v>8.3000000000000007</v>
      </c>
      <c r="H88" s="143">
        <f t="shared" si="6"/>
        <v>28</v>
      </c>
    </row>
    <row r="89" spans="1:8" x14ac:dyDescent="0.25">
      <c r="A89" s="16">
        <f t="shared" si="7"/>
        <v>88</v>
      </c>
      <c r="B89" s="314" t="s">
        <v>458</v>
      </c>
      <c r="C89" s="340">
        <v>12</v>
      </c>
      <c r="D89" s="10">
        <v>5.3</v>
      </c>
      <c r="E89" s="7">
        <v>10</v>
      </c>
      <c r="F89" s="141">
        <f t="shared" si="4"/>
        <v>0.47000000000000003</v>
      </c>
      <c r="G89" s="142">
        <f t="shared" si="5"/>
        <v>63.599999999999994</v>
      </c>
      <c r="H89" s="143">
        <f t="shared" si="6"/>
        <v>120</v>
      </c>
    </row>
    <row r="90" spans="1:8" x14ac:dyDescent="0.25">
      <c r="A90" s="16">
        <f t="shared" si="7"/>
        <v>89</v>
      </c>
      <c r="B90" s="314" t="s">
        <v>582</v>
      </c>
      <c r="C90" s="340">
        <v>103</v>
      </c>
      <c r="D90" s="15">
        <v>0.74</v>
      </c>
      <c r="E90" s="10">
        <v>2</v>
      </c>
      <c r="F90" s="141">
        <f t="shared" si="4"/>
        <v>0.63</v>
      </c>
      <c r="G90" s="142">
        <f t="shared" si="5"/>
        <v>76.22</v>
      </c>
      <c r="H90" s="143">
        <f t="shared" si="6"/>
        <v>206</v>
      </c>
    </row>
    <row r="91" spans="1:8" x14ac:dyDescent="0.25">
      <c r="A91" s="16">
        <f t="shared" si="7"/>
        <v>90</v>
      </c>
      <c r="B91" s="4" t="s">
        <v>803</v>
      </c>
      <c r="C91" s="413">
        <v>7</v>
      </c>
      <c r="D91" s="15">
        <v>11.4</v>
      </c>
      <c r="E91" s="7">
        <v>19</v>
      </c>
      <c r="F91" s="141">
        <f t="shared" si="4"/>
        <v>0.39999999999999997</v>
      </c>
      <c r="G91" s="142">
        <f t="shared" si="5"/>
        <v>79.8</v>
      </c>
      <c r="H91" s="143">
        <f t="shared" si="6"/>
        <v>133</v>
      </c>
    </row>
    <row r="92" spans="1:8" x14ac:dyDescent="0.25">
      <c r="A92" s="16">
        <f t="shared" si="7"/>
        <v>91</v>
      </c>
      <c r="B92" s="314" t="s">
        <v>160</v>
      </c>
      <c r="C92" s="340">
        <v>4</v>
      </c>
      <c r="D92" s="15">
        <v>12.3</v>
      </c>
      <c r="E92" s="7">
        <v>23</v>
      </c>
      <c r="F92" s="141">
        <f t="shared" si="4"/>
        <v>0.4652173913043478</v>
      </c>
      <c r="G92" s="142">
        <f t="shared" si="5"/>
        <v>49.2</v>
      </c>
      <c r="H92" s="143">
        <f t="shared" si="6"/>
        <v>92</v>
      </c>
    </row>
    <row r="93" spans="1:8" x14ac:dyDescent="0.25">
      <c r="A93" s="16">
        <f t="shared" si="7"/>
        <v>92</v>
      </c>
      <c r="B93" s="314" t="s">
        <v>525</v>
      </c>
      <c r="C93" s="340">
        <v>1</v>
      </c>
      <c r="D93" s="15">
        <v>20.3</v>
      </c>
      <c r="E93" s="7">
        <v>40</v>
      </c>
      <c r="F93" s="141">
        <f t="shared" si="4"/>
        <v>0.49249999999999999</v>
      </c>
      <c r="G93" s="142">
        <f t="shared" si="5"/>
        <v>20.3</v>
      </c>
      <c r="H93" s="143">
        <f t="shared" si="6"/>
        <v>40</v>
      </c>
    </row>
    <row r="94" spans="1:8" x14ac:dyDescent="0.25">
      <c r="A94" s="16">
        <f t="shared" si="7"/>
        <v>93</v>
      </c>
      <c r="B94" s="314" t="s">
        <v>605</v>
      </c>
      <c r="C94" s="653">
        <v>12</v>
      </c>
      <c r="D94" s="15">
        <v>3.8</v>
      </c>
      <c r="E94" s="10">
        <v>7</v>
      </c>
      <c r="F94" s="141">
        <f t="shared" si="4"/>
        <v>0.45714285714285718</v>
      </c>
      <c r="G94" s="142">
        <f t="shared" si="5"/>
        <v>45.599999999999994</v>
      </c>
      <c r="H94" s="143">
        <f t="shared" si="6"/>
        <v>84</v>
      </c>
    </row>
    <row r="95" spans="1:8" x14ac:dyDescent="0.25">
      <c r="A95" s="16">
        <f t="shared" si="7"/>
        <v>94</v>
      </c>
      <c r="B95" s="314" t="s">
        <v>746</v>
      </c>
      <c r="C95" s="340">
        <v>14</v>
      </c>
      <c r="D95" s="15">
        <v>1</v>
      </c>
      <c r="E95" s="10">
        <v>1.75</v>
      </c>
      <c r="F95" s="141">
        <f t="shared" si="4"/>
        <v>0.42857142857142855</v>
      </c>
      <c r="G95" s="142">
        <f t="shared" si="5"/>
        <v>14</v>
      </c>
      <c r="H95" s="143">
        <f t="shared" si="6"/>
        <v>24.5</v>
      </c>
    </row>
    <row r="96" spans="1:8" x14ac:dyDescent="0.25">
      <c r="A96" s="16">
        <f t="shared" si="7"/>
        <v>95</v>
      </c>
      <c r="B96" s="314" t="s">
        <v>917</v>
      </c>
      <c r="C96" s="415">
        <v>2</v>
      </c>
      <c r="D96" s="10">
        <v>6.5</v>
      </c>
      <c r="E96" s="7">
        <v>11</v>
      </c>
      <c r="F96" s="141">
        <f t="shared" si="4"/>
        <v>0.40909090909090912</v>
      </c>
      <c r="G96" s="142">
        <f t="shared" si="5"/>
        <v>13</v>
      </c>
      <c r="H96" s="143">
        <f t="shared" si="6"/>
        <v>22</v>
      </c>
    </row>
    <row r="97" spans="1:8" x14ac:dyDescent="0.25">
      <c r="A97" s="16">
        <f t="shared" si="7"/>
        <v>96</v>
      </c>
      <c r="B97" s="314" t="s">
        <v>918</v>
      </c>
      <c r="C97" s="340">
        <v>1</v>
      </c>
      <c r="D97" s="15">
        <v>8.3000000000000007</v>
      </c>
      <c r="E97" s="7">
        <v>15</v>
      </c>
      <c r="F97" s="141">
        <f t="shared" si="4"/>
        <v>0.4466666666666666</v>
      </c>
      <c r="G97" s="142">
        <f t="shared" si="5"/>
        <v>8.3000000000000007</v>
      </c>
      <c r="H97" s="143">
        <f t="shared" si="6"/>
        <v>15</v>
      </c>
    </row>
    <row r="98" spans="1:8" x14ac:dyDescent="0.25">
      <c r="A98" s="16">
        <f t="shared" si="7"/>
        <v>97</v>
      </c>
      <c r="B98" s="314" t="s">
        <v>566</v>
      </c>
      <c r="C98" s="340">
        <v>2</v>
      </c>
      <c r="D98" s="15">
        <v>5.3</v>
      </c>
      <c r="E98" s="10">
        <v>10</v>
      </c>
      <c r="F98" s="141">
        <f t="shared" si="4"/>
        <v>0.47000000000000003</v>
      </c>
      <c r="G98" s="142">
        <f t="shared" si="5"/>
        <v>10.6</v>
      </c>
      <c r="H98" s="143">
        <f t="shared" si="6"/>
        <v>20</v>
      </c>
    </row>
    <row r="99" spans="1:8" x14ac:dyDescent="0.25">
      <c r="A99" s="16">
        <f t="shared" si="7"/>
        <v>98</v>
      </c>
      <c r="B99" s="314" t="s">
        <v>1013</v>
      </c>
      <c r="C99" s="340">
        <v>10</v>
      </c>
      <c r="D99" s="15">
        <v>3.8</v>
      </c>
      <c r="E99" s="7">
        <v>13</v>
      </c>
      <c r="F99" s="141">
        <f t="shared" si="4"/>
        <v>0.70769230769230762</v>
      </c>
      <c r="G99" s="142">
        <f t="shared" si="5"/>
        <v>38</v>
      </c>
      <c r="H99" s="143">
        <f t="shared" si="6"/>
        <v>130</v>
      </c>
    </row>
    <row r="100" spans="1:8" x14ac:dyDescent="0.25">
      <c r="A100" s="16">
        <f t="shared" si="7"/>
        <v>99</v>
      </c>
      <c r="B100" s="314" t="s">
        <v>919</v>
      </c>
      <c r="C100" s="340">
        <v>1</v>
      </c>
      <c r="D100" s="10">
        <v>26</v>
      </c>
      <c r="E100" s="7">
        <v>50</v>
      </c>
      <c r="F100" s="141">
        <f t="shared" si="4"/>
        <v>0.48</v>
      </c>
      <c r="G100" s="142">
        <f t="shared" si="5"/>
        <v>26</v>
      </c>
      <c r="H100" s="143">
        <f t="shared" si="6"/>
        <v>50</v>
      </c>
    </row>
    <row r="101" spans="1:8" x14ac:dyDescent="0.25">
      <c r="A101" s="16">
        <f t="shared" si="7"/>
        <v>100</v>
      </c>
      <c r="B101" s="314" t="s">
        <v>54</v>
      </c>
      <c r="C101" s="340">
        <v>5</v>
      </c>
      <c r="D101" s="10">
        <v>1.66</v>
      </c>
      <c r="E101" s="7">
        <v>3.5</v>
      </c>
      <c r="F101" s="141">
        <f t="shared" si="4"/>
        <v>0.52571428571428569</v>
      </c>
      <c r="G101" s="142">
        <f t="shared" si="5"/>
        <v>8.2999999999999989</v>
      </c>
      <c r="H101" s="143">
        <f t="shared" si="6"/>
        <v>17.5</v>
      </c>
    </row>
    <row r="102" spans="1:8" x14ac:dyDescent="0.25">
      <c r="A102" s="16">
        <f t="shared" si="7"/>
        <v>101</v>
      </c>
      <c r="B102" s="314" t="s">
        <v>1084</v>
      </c>
      <c r="C102" s="435">
        <v>163</v>
      </c>
      <c r="D102" s="404">
        <v>0.8</v>
      </c>
      <c r="E102" s="448">
        <v>4.7</v>
      </c>
      <c r="F102" s="141">
        <f t="shared" si="4"/>
        <v>0.82978723404255328</v>
      </c>
      <c r="G102" s="142">
        <f t="shared" si="5"/>
        <v>130.4</v>
      </c>
      <c r="H102" s="143">
        <f t="shared" si="6"/>
        <v>766.1</v>
      </c>
    </row>
    <row r="103" spans="1:8" x14ac:dyDescent="0.25">
      <c r="A103" s="16">
        <f t="shared" si="7"/>
        <v>102</v>
      </c>
      <c r="B103" s="314" t="s">
        <v>920</v>
      </c>
      <c r="C103" s="340">
        <v>220</v>
      </c>
      <c r="D103" s="10">
        <v>0.2</v>
      </c>
      <c r="E103" s="7">
        <v>0.9</v>
      </c>
      <c r="F103" s="141">
        <f t="shared" si="4"/>
        <v>0.77777777777777768</v>
      </c>
      <c r="G103" s="142">
        <f t="shared" si="5"/>
        <v>44</v>
      </c>
      <c r="H103" s="143">
        <f t="shared" si="6"/>
        <v>198</v>
      </c>
    </row>
    <row r="104" spans="1:8" x14ac:dyDescent="0.25">
      <c r="A104" s="16">
        <f t="shared" si="7"/>
        <v>103</v>
      </c>
      <c r="B104" s="314" t="s">
        <v>136</v>
      </c>
      <c r="C104" s="343">
        <v>1</v>
      </c>
      <c r="D104" s="15">
        <v>40</v>
      </c>
      <c r="E104" s="7">
        <v>77</v>
      </c>
      <c r="F104" s="141">
        <f t="shared" si="4"/>
        <v>0.48051948051948051</v>
      </c>
      <c r="G104" s="142">
        <f t="shared" si="5"/>
        <v>40</v>
      </c>
      <c r="H104" s="143">
        <f t="shared" si="6"/>
        <v>77</v>
      </c>
    </row>
    <row r="105" spans="1:8" x14ac:dyDescent="0.25">
      <c r="A105" s="16">
        <f t="shared" si="7"/>
        <v>104</v>
      </c>
      <c r="B105" s="314" t="s">
        <v>137</v>
      </c>
      <c r="C105" s="340">
        <v>2</v>
      </c>
      <c r="D105" s="15">
        <v>45.3</v>
      </c>
      <c r="E105" s="7">
        <v>77</v>
      </c>
      <c r="F105" s="141">
        <f t="shared" si="4"/>
        <v>0.41168831168831171</v>
      </c>
      <c r="G105" s="142">
        <f t="shared" si="5"/>
        <v>90.6</v>
      </c>
      <c r="H105" s="143">
        <f t="shared" si="6"/>
        <v>154</v>
      </c>
    </row>
    <row r="106" spans="1:8" x14ac:dyDescent="0.25">
      <c r="A106" s="16">
        <f t="shared" si="7"/>
        <v>105</v>
      </c>
      <c r="B106" s="314" t="s">
        <v>488</v>
      </c>
      <c r="C106" s="340">
        <v>19</v>
      </c>
      <c r="D106" s="15">
        <v>2.5</v>
      </c>
      <c r="E106" s="10">
        <v>8</v>
      </c>
      <c r="F106" s="141">
        <f t="shared" si="4"/>
        <v>0.6875</v>
      </c>
      <c r="G106" s="142">
        <f t="shared" si="5"/>
        <v>47.5</v>
      </c>
      <c r="H106" s="143">
        <f t="shared" si="6"/>
        <v>152</v>
      </c>
    </row>
    <row r="107" spans="1:8" x14ac:dyDescent="0.25">
      <c r="A107" s="16">
        <f t="shared" si="7"/>
        <v>106</v>
      </c>
      <c r="B107" s="314" t="s">
        <v>931</v>
      </c>
      <c r="C107" s="340">
        <v>123</v>
      </c>
      <c r="D107" s="10">
        <v>0.25</v>
      </c>
      <c r="E107" s="7">
        <v>1.25</v>
      </c>
      <c r="F107" s="141">
        <f t="shared" si="4"/>
        <v>0.8</v>
      </c>
      <c r="G107" s="142">
        <f t="shared" si="5"/>
        <v>30.75</v>
      </c>
      <c r="H107" s="143">
        <f t="shared" si="6"/>
        <v>153.75</v>
      </c>
    </row>
    <row r="108" spans="1:8" x14ac:dyDescent="0.25">
      <c r="A108" s="16">
        <f t="shared" si="7"/>
        <v>107</v>
      </c>
      <c r="B108" s="314" t="s">
        <v>78</v>
      </c>
      <c r="C108" s="340">
        <v>48</v>
      </c>
      <c r="D108" s="15">
        <v>2.06</v>
      </c>
      <c r="E108" s="7">
        <v>3.5</v>
      </c>
      <c r="F108" s="141">
        <f t="shared" si="4"/>
        <v>0.41142857142857142</v>
      </c>
      <c r="G108" s="142">
        <f t="shared" si="5"/>
        <v>98.88</v>
      </c>
      <c r="H108" s="143">
        <f t="shared" si="6"/>
        <v>168</v>
      </c>
    </row>
    <row r="109" spans="1:8" x14ac:dyDescent="0.25">
      <c r="A109" s="16">
        <f t="shared" si="7"/>
        <v>108</v>
      </c>
      <c r="B109" s="314" t="s">
        <v>960</v>
      </c>
      <c r="C109" s="340">
        <v>174</v>
      </c>
      <c r="D109" s="15">
        <v>0.93</v>
      </c>
      <c r="E109" s="7">
        <v>1.75</v>
      </c>
      <c r="F109" s="141">
        <f t="shared" si="4"/>
        <v>0.46857142857142853</v>
      </c>
      <c r="G109" s="142">
        <f t="shared" si="5"/>
        <v>161.82000000000002</v>
      </c>
      <c r="H109" s="143">
        <f t="shared" si="6"/>
        <v>304.5</v>
      </c>
    </row>
    <row r="110" spans="1:8" x14ac:dyDescent="0.25">
      <c r="A110" s="16">
        <f t="shared" si="7"/>
        <v>109</v>
      </c>
      <c r="B110" s="314" t="s">
        <v>40</v>
      </c>
      <c r="C110" s="340">
        <v>15</v>
      </c>
      <c r="D110" s="10">
        <v>4</v>
      </c>
      <c r="E110" s="7">
        <v>10</v>
      </c>
      <c r="F110" s="141">
        <f t="shared" si="4"/>
        <v>0.6</v>
      </c>
      <c r="G110" s="142">
        <f t="shared" si="5"/>
        <v>60</v>
      </c>
      <c r="H110" s="143">
        <f t="shared" si="6"/>
        <v>150</v>
      </c>
    </row>
    <row r="111" spans="1:8" x14ac:dyDescent="0.25">
      <c r="A111" s="16">
        <f t="shared" si="7"/>
        <v>110</v>
      </c>
      <c r="B111" s="314" t="s">
        <v>725</v>
      </c>
      <c r="C111" s="340">
        <v>1</v>
      </c>
      <c r="D111" s="10">
        <v>30</v>
      </c>
      <c r="E111" s="7">
        <v>55</v>
      </c>
      <c r="F111" s="141">
        <f t="shared" si="4"/>
        <v>0.45454545454545453</v>
      </c>
      <c r="G111" s="142">
        <f t="shared" si="5"/>
        <v>30</v>
      </c>
      <c r="H111" s="143">
        <f t="shared" si="6"/>
        <v>55</v>
      </c>
    </row>
    <row r="112" spans="1:8" x14ac:dyDescent="0.25">
      <c r="A112" s="16">
        <f t="shared" si="7"/>
        <v>111</v>
      </c>
      <c r="B112" s="314" t="s">
        <v>1038</v>
      </c>
      <c r="C112" s="340">
        <v>148</v>
      </c>
      <c r="D112" s="10">
        <v>1.25</v>
      </c>
      <c r="E112" s="7">
        <v>4</v>
      </c>
      <c r="F112" s="141">
        <f t="shared" si="4"/>
        <v>0.6875</v>
      </c>
      <c r="G112" s="142">
        <f t="shared" si="5"/>
        <v>185</v>
      </c>
      <c r="H112" s="143">
        <f t="shared" si="6"/>
        <v>592</v>
      </c>
    </row>
    <row r="113" spans="1:8" x14ac:dyDescent="0.25">
      <c r="A113" s="16">
        <f t="shared" si="7"/>
        <v>112</v>
      </c>
      <c r="B113" s="314" t="s">
        <v>564</v>
      </c>
      <c r="C113" s="340">
        <v>1</v>
      </c>
      <c r="D113" s="10">
        <v>45.3</v>
      </c>
      <c r="E113" s="7">
        <v>77</v>
      </c>
      <c r="F113" s="141">
        <f t="shared" si="4"/>
        <v>0.41168831168831171</v>
      </c>
      <c r="G113" s="142">
        <f t="shared" si="5"/>
        <v>45.3</v>
      </c>
      <c r="H113" s="143">
        <f t="shared" si="6"/>
        <v>77</v>
      </c>
    </row>
    <row r="114" spans="1:8" x14ac:dyDescent="0.25">
      <c r="A114" s="16">
        <f t="shared" si="7"/>
        <v>113</v>
      </c>
      <c r="B114" s="314" t="s">
        <v>565</v>
      </c>
      <c r="C114" s="340">
        <v>3</v>
      </c>
      <c r="D114" s="10">
        <v>9.3000000000000007</v>
      </c>
      <c r="E114" s="7">
        <v>34</v>
      </c>
      <c r="F114" s="141">
        <f t="shared" si="4"/>
        <v>0.72647058823529409</v>
      </c>
      <c r="G114" s="142">
        <f t="shared" si="5"/>
        <v>27.900000000000002</v>
      </c>
      <c r="H114" s="143">
        <f t="shared" si="6"/>
        <v>102</v>
      </c>
    </row>
    <row r="115" spans="1:8" x14ac:dyDescent="0.25">
      <c r="A115" s="16">
        <f t="shared" si="7"/>
        <v>114</v>
      </c>
      <c r="B115" s="314" t="s">
        <v>435</v>
      </c>
      <c r="C115" s="340">
        <v>76</v>
      </c>
      <c r="D115" s="15">
        <v>1.1000000000000001</v>
      </c>
      <c r="E115" s="7">
        <v>2.2999999999999998</v>
      </c>
      <c r="F115" s="141">
        <f t="shared" si="4"/>
        <v>0.52173913043478248</v>
      </c>
      <c r="G115" s="142">
        <f t="shared" si="5"/>
        <v>83.600000000000009</v>
      </c>
      <c r="H115" s="143">
        <f t="shared" si="6"/>
        <v>174.79999999999998</v>
      </c>
    </row>
    <row r="116" spans="1:8" x14ac:dyDescent="0.25">
      <c r="A116" s="16">
        <f t="shared" si="7"/>
        <v>115</v>
      </c>
      <c r="B116" s="314" t="s">
        <v>932</v>
      </c>
      <c r="C116" s="340">
        <v>76</v>
      </c>
      <c r="D116" s="15">
        <v>1.39</v>
      </c>
      <c r="E116" s="7">
        <v>2.7</v>
      </c>
      <c r="F116" s="141">
        <f t="shared" si="4"/>
        <v>0.48518518518518527</v>
      </c>
      <c r="G116" s="142">
        <f t="shared" si="5"/>
        <v>105.63999999999999</v>
      </c>
      <c r="H116" s="143">
        <f t="shared" si="6"/>
        <v>205.20000000000002</v>
      </c>
    </row>
    <row r="117" spans="1:8" x14ac:dyDescent="0.25">
      <c r="A117" s="16">
        <f t="shared" si="7"/>
        <v>116</v>
      </c>
      <c r="B117" s="314" t="s">
        <v>1378</v>
      </c>
      <c r="C117" s="340">
        <v>1</v>
      </c>
      <c r="D117" s="15">
        <v>9</v>
      </c>
      <c r="E117" s="7">
        <v>25</v>
      </c>
      <c r="F117" s="141">
        <f t="shared" si="4"/>
        <v>0.64</v>
      </c>
      <c r="G117" s="142">
        <f t="shared" si="5"/>
        <v>9</v>
      </c>
      <c r="H117" s="143">
        <f t="shared" si="6"/>
        <v>25</v>
      </c>
    </row>
    <row r="118" spans="1:8" x14ac:dyDescent="0.25">
      <c r="A118" s="16">
        <f t="shared" si="7"/>
        <v>117</v>
      </c>
      <c r="B118" s="314" t="s">
        <v>727</v>
      </c>
      <c r="C118" s="340">
        <v>2</v>
      </c>
      <c r="D118" s="10">
        <v>12</v>
      </c>
      <c r="E118" s="7">
        <v>19</v>
      </c>
      <c r="F118" s="141">
        <f t="shared" si="4"/>
        <v>0.36842105263157893</v>
      </c>
      <c r="G118" s="142">
        <f t="shared" si="5"/>
        <v>24</v>
      </c>
      <c r="H118" s="143">
        <f t="shared" si="6"/>
        <v>38</v>
      </c>
    </row>
    <row r="119" spans="1:8" x14ac:dyDescent="0.25">
      <c r="A119" s="16">
        <f t="shared" si="7"/>
        <v>118</v>
      </c>
      <c r="B119" s="314" t="s">
        <v>686</v>
      </c>
      <c r="C119" s="413">
        <v>2</v>
      </c>
      <c r="D119" s="15">
        <v>8.9369999999999994</v>
      </c>
      <c r="E119" s="7">
        <v>16</v>
      </c>
      <c r="F119" s="141">
        <f t="shared" si="4"/>
        <v>0.44143750000000004</v>
      </c>
      <c r="G119" s="142">
        <f t="shared" si="5"/>
        <v>17.873999999999999</v>
      </c>
      <c r="H119" s="143">
        <f t="shared" si="6"/>
        <v>32</v>
      </c>
    </row>
    <row r="120" spans="1:8" x14ac:dyDescent="0.25">
      <c r="A120" s="16">
        <f t="shared" si="7"/>
        <v>119</v>
      </c>
      <c r="B120" s="314" t="s">
        <v>946</v>
      </c>
      <c r="C120" s="340">
        <v>1</v>
      </c>
      <c r="D120" s="10">
        <v>38.299999999999997</v>
      </c>
      <c r="E120" s="7">
        <v>68</v>
      </c>
      <c r="F120" s="141">
        <f t="shared" si="4"/>
        <v>0.436764705882353</v>
      </c>
      <c r="G120" s="142">
        <f t="shared" si="5"/>
        <v>38.299999999999997</v>
      </c>
      <c r="H120" s="143">
        <f t="shared" si="6"/>
        <v>68</v>
      </c>
    </row>
    <row r="121" spans="1:8" x14ac:dyDescent="0.25">
      <c r="A121" s="16">
        <f t="shared" si="7"/>
        <v>120</v>
      </c>
      <c r="B121" s="314" t="s">
        <v>837</v>
      </c>
      <c r="C121" s="340">
        <v>1</v>
      </c>
      <c r="D121" s="10">
        <v>10</v>
      </c>
      <c r="E121" s="7">
        <v>20</v>
      </c>
      <c r="F121" s="141">
        <f t="shared" si="4"/>
        <v>0.5</v>
      </c>
      <c r="G121" s="142">
        <f t="shared" si="5"/>
        <v>10</v>
      </c>
      <c r="H121" s="143">
        <f t="shared" si="6"/>
        <v>20</v>
      </c>
    </row>
    <row r="122" spans="1:8" x14ac:dyDescent="0.25">
      <c r="A122" s="16">
        <f t="shared" si="7"/>
        <v>121</v>
      </c>
      <c r="B122" s="314" t="s">
        <v>1317</v>
      </c>
      <c r="C122" s="652">
        <v>1</v>
      </c>
      <c r="D122" s="404">
        <v>25</v>
      </c>
      <c r="E122" s="7">
        <v>50</v>
      </c>
      <c r="F122" s="141">
        <f t="shared" si="4"/>
        <v>0.5</v>
      </c>
      <c r="G122" s="142">
        <f t="shared" si="5"/>
        <v>25</v>
      </c>
      <c r="H122" s="143">
        <f t="shared" si="6"/>
        <v>50</v>
      </c>
    </row>
    <row r="123" spans="1:8" x14ac:dyDescent="0.25">
      <c r="A123" s="16">
        <f t="shared" si="7"/>
        <v>122</v>
      </c>
      <c r="B123" s="314" t="s">
        <v>644</v>
      </c>
      <c r="C123" s="340">
        <v>17</v>
      </c>
      <c r="D123" s="15">
        <v>0.8</v>
      </c>
      <c r="E123" s="7">
        <v>2</v>
      </c>
      <c r="F123" s="141">
        <f t="shared" si="4"/>
        <v>0.6</v>
      </c>
      <c r="G123" s="142">
        <f t="shared" si="5"/>
        <v>13.600000000000001</v>
      </c>
      <c r="H123" s="143">
        <f t="shared" si="6"/>
        <v>34</v>
      </c>
    </row>
    <row r="124" spans="1:8" x14ac:dyDescent="0.25">
      <c r="A124" s="16">
        <f t="shared" si="7"/>
        <v>123</v>
      </c>
      <c r="B124" s="314" t="s">
        <v>648</v>
      </c>
      <c r="C124" s="340">
        <v>32</v>
      </c>
      <c r="D124" s="15">
        <v>1.67</v>
      </c>
      <c r="E124" s="7">
        <v>3</v>
      </c>
      <c r="F124" s="141">
        <f t="shared" si="4"/>
        <v>0.44333333333333336</v>
      </c>
      <c r="G124" s="142">
        <f t="shared" si="5"/>
        <v>53.44</v>
      </c>
      <c r="H124" s="143">
        <f t="shared" si="6"/>
        <v>96</v>
      </c>
    </row>
    <row r="125" spans="1:8" x14ac:dyDescent="0.25">
      <c r="A125" s="16">
        <f t="shared" si="7"/>
        <v>124</v>
      </c>
      <c r="B125" s="314" t="s">
        <v>645</v>
      </c>
      <c r="C125" s="340">
        <v>31</v>
      </c>
      <c r="D125" s="15">
        <v>1.66</v>
      </c>
      <c r="E125" s="7">
        <v>3</v>
      </c>
      <c r="F125" s="141">
        <f t="shared" si="4"/>
        <v>0.44666666666666671</v>
      </c>
      <c r="G125" s="142">
        <f t="shared" si="5"/>
        <v>51.46</v>
      </c>
      <c r="H125" s="143">
        <f t="shared" si="6"/>
        <v>93</v>
      </c>
    </row>
    <row r="126" spans="1:8" x14ac:dyDescent="0.25">
      <c r="A126" s="16">
        <f t="shared" si="7"/>
        <v>125</v>
      </c>
      <c r="B126" s="314" t="s">
        <v>643</v>
      </c>
      <c r="C126" s="340">
        <v>25</v>
      </c>
      <c r="D126" s="15">
        <v>1.33</v>
      </c>
      <c r="E126" s="7">
        <v>2.5</v>
      </c>
      <c r="F126" s="141">
        <f t="shared" si="4"/>
        <v>0.46799999999999997</v>
      </c>
      <c r="G126" s="142">
        <f t="shared" si="5"/>
        <v>33.25</v>
      </c>
      <c r="H126" s="143">
        <f t="shared" si="6"/>
        <v>62.5</v>
      </c>
    </row>
    <row r="127" spans="1:8" x14ac:dyDescent="0.25">
      <c r="A127" s="16">
        <f t="shared" si="7"/>
        <v>126</v>
      </c>
      <c r="B127" s="353" t="s">
        <v>1023</v>
      </c>
      <c r="C127" s="413">
        <v>6</v>
      </c>
      <c r="D127" s="5">
        <v>4.09</v>
      </c>
      <c r="E127" s="448">
        <v>12</v>
      </c>
      <c r="F127" s="141">
        <f t="shared" si="4"/>
        <v>0.65916666666666668</v>
      </c>
      <c r="G127" s="142">
        <f t="shared" si="5"/>
        <v>24.54</v>
      </c>
      <c r="H127" s="143">
        <f t="shared" si="6"/>
        <v>72</v>
      </c>
    </row>
    <row r="128" spans="1:8" x14ac:dyDescent="0.25">
      <c r="A128" s="16">
        <f t="shared" si="7"/>
        <v>127</v>
      </c>
      <c r="B128" s="314" t="s">
        <v>138</v>
      </c>
      <c r="C128" s="340">
        <v>6</v>
      </c>
      <c r="D128" s="10">
        <v>28</v>
      </c>
      <c r="E128" s="7">
        <v>43</v>
      </c>
      <c r="F128" s="141">
        <f t="shared" si="4"/>
        <v>0.34883720930232559</v>
      </c>
      <c r="G128" s="142">
        <f t="shared" si="5"/>
        <v>168</v>
      </c>
      <c r="H128" s="143">
        <f t="shared" si="6"/>
        <v>258</v>
      </c>
    </row>
    <row r="129" spans="1:8" x14ac:dyDescent="0.25">
      <c r="A129" s="16">
        <f t="shared" si="7"/>
        <v>128</v>
      </c>
      <c r="B129" s="314" t="s">
        <v>930</v>
      </c>
      <c r="C129" s="340">
        <v>24</v>
      </c>
      <c r="D129" s="10">
        <v>0.96</v>
      </c>
      <c r="E129" s="7">
        <v>2</v>
      </c>
      <c r="F129" s="141">
        <f t="shared" si="4"/>
        <v>0.52</v>
      </c>
      <c r="G129" s="142">
        <f t="shared" si="5"/>
        <v>23.04</v>
      </c>
      <c r="H129" s="143">
        <f t="shared" si="6"/>
        <v>48</v>
      </c>
    </row>
    <row r="130" spans="1:8" x14ac:dyDescent="0.25">
      <c r="A130" s="16">
        <f t="shared" si="7"/>
        <v>129</v>
      </c>
      <c r="B130" s="314" t="s">
        <v>456</v>
      </c>
      <c r="C130" s="653">
        <v>17</v>
      </c>
      <c r="D130" s="10">
        <v>0.25</v>
      </c>
      <c r="E130" s="7">
        <v>0.65</v>
      </c>
      <c r="F130" s="141">
        <f t="shared" ref="F130:F193" si="8">(E130-D130)/(E130)</f>
        <v>0.61538461538461542</v>
      </c>
      <c r="G130" s="142">
        <f t="shared" ref="G130:G193" si="9">D130*C130</f>
        <v>4.25</v>
      </c>
      <c r="H130" s="143">
        <f t="shared" ref="H130:H193" si="10">E130*C130</f>
        <v>11.05</v>
      </c>
    </row>
    <row r="131" spans="1:8" x14ac:dyDescent="0.25">
      <c r="A131" s="16">
        <f t="shared" ref="A131:A189" si="11">A130+1</f>
        <v>130</v>
      </c>
      <c r="B131" s="314" t="s">
        <v>755</v>
      </c>
      <c r="C131" s="340">
        <v>2</v>
      </c>
      <c r="D131" s="15">
        <v>5</v>
      </c>
      <c r="E131" s="7">
        <v>10</v>
      </c>
      <c r="F131" s="141">
        <f t="shared" si="8"/>
        <v>0.5</v>
      </c>
      <c r="G131" s="142">
        <f t="shared" si="9"/>
        <v>10</v>
      </c>
      <c r="H131" s="143">
        <f t="shared" si="10"/>
        <v>20</v>
      </c>
    </row>
    <row r="132" spans="1:8" x14ac:dyDescent="0.25">
      <c r="A132" s="16">
        <f t="shared" si="11"/>
        <v>131</v>
      </c>
      <c r="B132" s="314" t="s">
        <v>63</v>
      </c>
      <c r="C132" s="340">
        <v>4</v>
      </c>
      <c r="D132" s="15">
        <v>5.98</v>
      </c>
      <c r="E132" s="7">
        <v>13</v>
      </c>
      <c r="F132" s="141">
        <f t="shared" si="8"/>
        <v>0.53999999999999992</v>
      </c>
      <c r="G132" s="142">
        <f t="shared" si="9"/>
        <v>23.92</v>
      </c>
      <c r="H132" s="143">
        <f t="shared" si="10"/>
        <v>52</v>
      </c>
    </row>
    <row r="133" spans="1:8" x14ac:dyDescent="0.25">
      <c r="A133" s="16">
        <f t="shared" si="11"/>
        <v>132</v>
      </c>
      <c r="B133" s="314" t="s">
        <v>1442</v>
      </c>
      <c r="C133" s="339">
        <v>2</v>
      </c>
      <c r="D133" s="404">
        <v>7.6</v>
      </c>
      <c r="E133" s="7">
        <v>22</v>
      </c>
      <c r="F133" s="141">
        <f t="shared" si="8"/>
        <v>0.65454545454545454</v>
      </c>
      <c r="G133" s="142">
        <f t="shared" si="9"/>
        <v>15.2</v>
      </c>
      <c r="H133" s="143">
        <f t="shared" si="10"/>
        <v>44</v>
      </c>
    </row>
    <row r="134" spans="1:8" x14ac:dyDescent="0.25">
      <c r="A134" s="16">
        <f t="shared" si="11"/>
        <v>133</v>
      </c>
      <c r="B134" s="314" t="s">
        <v>868</v>
      </c>
      <c r="C134" s="340">
        <v>3</v>
      </c>
      <c r="D134" s="15">
        <v>4.5</v>
      </c>
      <c r="E134" s="7">
        <v>15</v>
      </c>
      <c r="F134" s="141">
        <f t="shared" si="8"/>
        <v>0.7</v>
      </c>
      <c r="G134" s="142">
        <f t="shared" si="9"/>
        <v>13.5</v>
      </c>
      <c r="H134" s="143">
        <f t="shared" si="10"/>
        <v>45</v>
      </c>
    </row>
    <row r="135" spans="1:8" x14ac:dyDescent="0.25">
      <c r="A135" s="16">
        <f t="shared" si="11"/>
        <v>134</v>
      </c>
      <c r="B135" s="314" t="s">
        <v>223</v>
      </c>
      <c r="C135" s="340">
        <v>2</v>
      </c>
      <c r="D135" s="15">
        <v>13.5</v>
      </c>
      <c r="E135" s="7">
        <v>25</v>
      </c>
      <c r="F135" s="141">
        <f t="shared" si="8"/>
        <v>0.46</v>
      </c>
      <c r="G135" s="142">
        <f t="shared" si="9"/>
        <v>27</v>
      </c>
      <c r="H135" s="143">
        <f t="shared" si="10"/>
        <v>50</v>
      </c>
    </row>
    <row r="136" spans="1:8" x14ac:dyDescent="0.25">
      <c r="A136" s="16">
        <f t="shared" si="11"/>
        <v>135</v>
      </c>
      <c r="B136" s="314" t="s">
        <v>1459</v>
      </c>
      <c r="C136" s="340">
        <v>3</v>
      </c>
      <c r="D136" s="10">
        <v>9</v>
      </c>
      <c r="E136" s="7">
        <v>19</v>
      </c>
      <c r="F136" s="141">
        <f t="shared" si="8"/>
        <v>0.52631578947368418</v>
      </c>
      <c r="G136" s="142">
        <f t="shared" si="9"/>
        <v>27</v>
      </c>
      <c r="H136" s="143">
        <f t="shared" si="10"/>
        <v>57</v>
      </c>
    </row>
    <row r="137" spans="1:8" x14ac:dyDescent="0.25">
      <c r="A137" s="16">
        <f t="shared" si="11"/>
        <v>136</v>
      </c>
      <c r="B137" s="314" t="s">
        <v>771</v>
      </c>
      <c r="C137" s="340">
        <v>2</v>
      </c>
      <c r="D137" s="15">
        <v>10</v>
      </c>
      <c r="E137" s="7">
        <v>35</v>
      </c>
      <c r="F137" s="141">
        <f t="shared" si="8"/>
        <v>0.7142857142857143</v>
      </c>
      <c r="G137" s="142">
        <f t="shared" si="9"/>
        <v>20</v>
      </c>
      <c r="H137" s="143">
        <f t="shared" si="10"/>
        <v>70</v>
      </c>
    </row>
    <row r="138" spans="1:8" x14ac:dyDescent="0.25">
      <c r="A138" s="16">
        <f t="shared" si="11"/>
        <v>137</v>
      </c>
      <c r="B138" s="314" t="s">
        <v>1039</v>
      </c>
      <c r="C138" s="415">
        <v>2</v>
      </c>
      <c r="D138" s="10">
        <v>12.5</v>
      </c>
      <c r="E138" s="7">
        <v>45</v>
      </c>
      <c r="F138" s="141">
        <f t="shared" si="8"/>
        <v>0.72222222222222221</v>
      </c>
      <c r="G138" s="142">
        <f t="shared" si="9"/>
        <v>25</v>
      </c>
      <c r="H138" s="143">
        <f t="shared" si="10"/>
        <v>90</v>
      </c>
    </row>
    <row r="139" spans="1:8" x14ac:dyDescent="0.25">
      <c r="A139" s="16">
        <f t="shared" si="11"/>
        <v>138</v>
      </c>
      <c r="B139" s="314" t="s">
        <v>1186</v>
      </c>
      <c r="C139" s="340">
        <v>1</v>
      </c>
      <c r="D139" s="10">
        <v>10.3</v>
      </c>
      <c r="E139" s="7">
        <v>18</v>
      </c>
      <c r="F139" s="141">
        <f t="shared" si="8"/>
        <v>0.42777777777777776</v>
      </c>
      <c r="G139" s="142">
        <f t="shared" si="9"/>
        <v>10.3</v>
      </c>
      <c r="H139" s="143">
        <f t="shared" si="10"/>
        <v>18</v>
      </c>
    </row>
    <row r="140" spans="1:8" x14ac:dyDescent="0.25">
      <c r="A140" s="16">
        <f t="shared" si="11"/>
        <v>139</v>
      </c>
      <c r="B140" s="4" t="s">
        <v>882</v>
      </c>
      <c r="C140" s="340">
        <v>4</v>
      </c>
      <c r="D140" s="10">
        <v>9.5</v>
      </c>
      <c r="E140" s="7">
        <v>20</v>
      </c>
      <c r="F140" s="141">
        <f t="shared" si="8"/>
        <v>0.52500000000000002</v>
      </c>
      <c r="G140" s="142">
        <f t="shared" si="9"/>
        <v>38</v>
      </c>
      <c r="H140" s="143">
        <f t="shared" si="10"/>
        <v>80</v>
      </c>
    </row>
    <row r="141" spans="1:8" x14ac:dyDescent="0.25">
      <c r="A141" s="16">
        <f t="shared" si="11"/>
        <v>140</v>
      </c>
      <c r="B141" s="314" t="s">
        <v>200</v>
      </c>
      <c r="C141" s="340">
        <v>51</v>
      </c>
      <c r="D141" s="10">
        <v>0.8</v>
      </c>
      <c r="E141" s="7">
        <v>2</v>
      </c>
      <c r="F141" s="141">
        <f t="shared" si="8"/>
        <v>0.6</v>
      </c>
      <c r="G141" s="142">
        <f t="shared" si="9"/>
        <v>40.800000000000004</v>
      </c>
      <c r="H141" s="143">
        <f t="shared" si="10"/>
        <v>102</v>
      </c>
    </row>
    <row r="142" spans="1:8" x14ac:dyDescent="0.25">
      <c r="A142" s="16">
        <f t="shared" si="11"/>
        <v>141</v>
      </c>
      <c r="B142" s="314" t="s">
        <v>240</v>
      </c>
      <c r="C142" s="697">
        <v>56</v>
      </c>
      <c r="D142" s="15">
        <v>0.96</v>
      </c>
      <c r="E142" s="7">
        <v>2</v>
      </c>
      <c r="F142" s="141">
        <f t="shared" si="8"/>
        <v>0.52</v>
      </c>
      <c r="G142" s="142">
        <f t="shared" si="9"/>
        <v>53.76</v>
      </c>
      <c r="H142" s="143">
        <f t="shared" si="10"/>
        <v>112</v>
      </c>
    </row>
    <row r="143" spans="1:8" x14ac:dyDescent="0.25">
      <c r="A143" s="16">
        <f t="shared" si="11"/>
        <v>142</v>
      </c>
      <c r="B143" s="314" t="s">
        <v>359</v>
      </c>
      <c r="C143" s="697">
        <v>7</v>
      </c>
      <c r="D143" s="15">
        <v>11.86</v>
      </c>
      <c r="E143" s="7">
        <v>25</v>
      </c>
      <c r="F143" s="141">
        <f t="shared" si="8"/>
        <v>0.52560000000000007</v>
      </c>
      <c r="G143" s="142">
        <f t="shared" si="9"/>
        <v>83.02</v>
      </c>
      <c r="H143" s="143">
        <f t="shared" si="10"/>
        <v>175</v>
      </c>
    </row>
    <row r="144" spans="1:8" x14ac:dyDescent="0.25">
      <c r="A144" s="16">
        <f t="shared" si="11"/>
        <v>143</v>
      </c>
      <c r="B144" s="314" t="s">
        <v>808</v>
      </c>
      <c r="C144" s="339">
        <v>11</v>
      </c>
      <c r="D144" s="10">
        <v>4.5</v>
      </c>
      <c r="E144" s="7">
        <v>8</v>
      </c>
      <c r="F144" s="141">
        <f t="shared" si="8"/>
        <v>0.4375</v>
      </c>
      <c r="G144" s="142">
        <f t="shared" si="9"/>
        <v>49.5</v>
      </c>
      <c r="H144" s="143">
        <f t="shared" si="10"/>
        <v>88</v>
      </c>
    </row>
    <row r="145" spans="1:8" x14ac:dyDescent="0.25">
      <c r="A145" s="16">
        <f t="shared" si="11"/>
        <v>144</v>
      </c>
      <c r="B145" s="4" t="s">
        <v>963</v>
      </c>
      <c r="C145" s="339">
        <v>14</v>
      </c>
      <c r="D145" s="10">
        <v>3</v>
      </c>
      <c r="E145" s="7">
        <v>8</v>
      </c>
      <c r="F145" s="141">
        <f t="shared" si="8"/>
        <v>0.625</v>
      </c>
      <c r="G145" s="142">
        <f t="shared" si="9"/>
        <v>42</v>
      </c>
      <c r="H145" s="143">
        <f t="shared" si="10"/>
        <v>112</v>
      </c>
    </row>
    <row r="146" spans="1:8" x14ac:dyDescent="0.25">
      <c r="A146" s="16">
        <f t="shared" si="11"/>
        <v>145</v>
      </c>
      <c r="B146" s="314" t="s">
        <v>279</v>
      </c>
      <c r="C146" s="339">
        <v>94</v>
      </c>
      <c r="D146" s="15">
        <v>0.6</v>
      </c>
      <c r="E146" s="7">
        <v>1</v>
      </c>
      <c r="F146" s="141">
        <f t="shared" si="8"/>
        <v>0.4</v>
      </c>
      <c r="G146" s="142">
        <f t="shared" si="9"/>
        <v>56.4</v>
      </c>
      <c r="H146" s="143">
        <f t="shared" si="10"/>
        <v>94</v>
      </c>
    </row>
    <row r="147" spans="1:8" x14ac:dyDescent="0.25">
      <c r="A147" s="16">
        <f t="shared" si="11"/>
        <v>146</v>
      </c>
      <c r="B147" s="314" t="s">
        <v>453</v>
      </c>
      <c r="C147" s="339">
        <v>712</v>
      </c>
      <c r="D147" s="10">
        <v>0.125</v>
      </c>
      <c r="E147" s="7">
        <v>0.25</v>
      </c>
      <c r="F147" s="141">
        <f t="shared" si="8"/>
        <v>0.5</v>
      </c>
      <c r="G147" s="142">
        <f t="shared" si="9"/>
        <v>89</v>
      </c>
      <c r="H147" s="143">
        <f t="shared" si="10"/>
        <v>178</v>
      </c>
    </row>
    <row r="148" spans="1:8" x14ac:dyDescent="0.25">
      <c r="A148" s="16">
        <f t="shared" si="11"/>
        <v>147</v>
      </c>
      <c r="B148" s="314" t="s">
        <v>921</v>
      </c>
      <c r="C148" s="339">
        <v>141</v>
      </c>
      <c r="D148" s="15">
        <v>1.75</v>
      </c>
      <c r="E148" s="7">
        <v>3.3</v>
      </c>
      <c r="F148" s="141">
        <f t="shared" si="8"/>
        <v>0.46969696969696967</v>
      </c>
      <c r="G148" s="142">
        <f t="shared" si="9"/>
        <v>246.75</v>
      </c>
      <c r="H148" s="143">
        <f t="shared" si="10"/>
        <v>465.29999999999995</v>
      </c>
    </row>
    <row r="149" spans="1:8" x14ac:dyDescent="0.25">
      <c r="A149" s="16">
        <f t="shared" si="11"/>
        <v>148</v>
      </c>
      <c r="B149" s="314" t="s">
        <v>74</v>
      </c>
      <c r="C149" s="340">
        <v>2</v>
      </c>
      <c r="D149" s="15">
        <v>10</v>
      </c>
      <c r="E149" s="7">
        <v>20</v>
      </c>
      <c r="F149" s="141">
        <f t="shared" si="8"/>
        <v>0.5</v>
      </c>
      <c r="G149" s="142">
        <f t="shared" si="9"/>
        <v>20</v>
      </c>
      <c r="H149" s="143">
        <f t="shared" si="10"/>
        <v>40</v>
      </c>
    </row>
    <row r="150" spans="1:8" ht="15.75" x14ac:dyDescent="0.25">
      <c r="A150" s="16">
        <f t="shared" si="11"/>
        <v>149</v>
      </c>
      <c r="B150" s="164" t="s">
        <v>388</v>
      </c>
      <c r="C150" s="474">
        <v>1</v>
      </c>
      <c r="D150" s="101">
        <v>42</v>
      </c>
      <c r="E150" s="169">
        <v>70</v>
      </c>
      <c r="F150" s="141">
        <f t="shared" si="8"/>
        <v>0.4</v>
      </c>
      <c r="G150" s="142">
        <f t="shared" si="9"/>
        <v>42</v>
      </c>
      <c r="H150" s="143">
        <f t="shared" si="10"/>
        <v>70</v>
      </c>
    </row>
    <row r="151" spans="1:8" x14ac:dyDescent="0.25">
      <c r="A151" s="16">
        <f t="shared" si="11"/>
        <v>150</v>
      </c>
      <c r="B151" s="314" t="s">
        <v>1067</v>
      </c>
      <c r="C151" s="340">
        <v>10</v>
      </c>
      <c r="D151" s="10">
        <v>5.3333000000000004</v>
      </c>
      <c r="E151" s="7">
        <v>15</v>
      </c>
      <c r="F151" s="141">
        <f t="shared" si="8"/>
        <v>0.64444666666666661</v>
      </c>
      <c r="G151" s="142">
        <f t="shared" si="9"/>
        <v>53.333000000000006</v>
      </c>
      <c r="H151" s="143">
        <f t="shared" si="10"/>
        <v>150</v>
      </c>
    </row>
    <row r="152" spans="1:8" x14ac:dyDescent="0.25">
      <c r="A152" s="16">
        <f t="shared" si="11"/>
        <v>151</v>
      </c>
      <c r="B152" s="314" t="s">
        <v>1041</v>
      </c>
      <c r="C152" s="340">
        <v>21</v>
      </c>
      <c r="D152" s="15">
        <v>2.5</v>
      </c>
      <c r="E152" s="7">
        <v>5</v>
      </c>
      <c r="F152" s="141">
        <f t="shared" si="8"/>
        <v>0.5</v>
      </c>
      <c r="G152" s="142">
        <f t="shared" si="9"/>
        <v>52.5</v>
      </c>
      <c r="H152" s="143">
        <f t="shared" si="10"/>
        <v>105</v>
      </c>
    </row>
    <row r="153" spans="1:8" x14ac:dyDescent="0.25">
      <c r="A153" s="16">
        <f t="shared" si="11"/>
        <v>152</v>
      </c>
      <c r="B153" s="314" t="s">
        <v>1042</v>
      </c>
      <c r="C153" s="415">
        <v>21</v>
      </c>
      <c r="D153" s="10">
        <v>3.12</v>
      </c>
      <c r="E153" s="7">
        <v>5</v>
      </c>
      <c r="F153" s="141">
        <f t="shared" si="8"/>
        <v>0.376</v>
      </c>
      <c r="G153" s="142">
        <f t="shared" si="9"/>
        <v>65.52</v>
      </c>
      <c r="H153" s="143">
        <f t="shared" si="10"/>
        <v>105</v>
      </c>
    </row>
    <row r="154" spans="1:8" x14ac:dyDescent="0.25">
      <c r="A154" s="16">
        <f t="shared" si="11"/>
        <v>153</v>
      </c>
      <c r="B154" s="314" t="s">
        <v>778</v>
      </c>
      <c r="C154" s="340">
        <v>12</v>
      </c>
      <c r="D154" s="15">
        <v>2.5299999999999998</v>
      </c>
      <c r="E154" s="7">
        <v>5.5</v>
      </c>
      <c r="F154" s="141">
        <f t="shared" si="8"/>
        <v>0.54</v>
      </c>
      <c r="G154" s="142">
        <f t="shared" si="9"/>
        <v>30.36</v>
      </c>
      <c r="H154" s="143">
        <f t="shared" si="10"/>
        <v>66</v>
      </c>
    </row>
    <row r="155" spans="1:8" x14ac:dyDescent="0.25">
      <c r="A155" s="16">
        <f t="shared" si="11"/>
        <v>154</v>
      </c>
      <c r="B155" s="4" t="s">
        <v>856</v>
      </c>
      <c r="C155" s="340">
        <v>2</v>
      </c>
      <c r="D155" s="15">
        <v>12</v>
      </c>
      <c r="E155" s="7">
        <v>25</v>
      </c>
      <c r="F155" s="26">
        <f t="shared" si="8"/>
        <v>0.52</v>
      </c>
      <c r="G155" s="142">
        <f t="shared" si="9"/>
        <v>24</v>
      </c>
      <c r="H155" s="143">
        <f t="shared" si="10"/>
        <v>50</v>
      </c>
    </row>
    <row r="156" spans="1:8" x14ac:dyDescent="0.25">
      <c r="A156" s="16">
        <f t="shared" si="11"/>
        <v>155</v>
      </c>
      <c r="B156" s="314" t="s">
        <v>793</v>
      </c>
      <c r="C156" s="415">
        <v>1</v>
      </c>
      <c r="D156" s="10">
        <v>20</v>
      </c>
      <c r="E156" s="7">
        <v>80</v>
      </c>
      <c r="F156" s="141">
        <f t="shared" si="8"/>
        <v>0.75</v>
      </c>
      <c r="G156" s="142">
        <f t="shared" si="9"/>
        <v>20</v>
      </c>
      <c r="H156" s="143">
        <f t="shared" si="10"/>
        <v>80</v>
      </c>
    </row>
    <row r="157" spans="1:8" x14ac:dyDescent="0.25">
      <c r="A157" s="16">
        <f t="shared" si="11"/>
        <v>156</v>
      </c>
      <c r="B157" s="314" t="s">
        <v>587</v>
      </c>
      <c r="C157" s="340">
        <v>22</v>
      </c>
      <c r="D157" s="15">
        <v>0.5</v>
      </c>
      <c r="E157" s="10">
        <v>1</v>
      </c>
      <c r="F157" s="141">
        <f t="shared" si="8"/>
        <v>0.5</v>
      </c>
      <c r="G157" s="142">
        <f t="shared" si="9"/>
        <v>11</v>
      </c>
      <c r="H157" s="143">
        <f t="shared" si="10"/>
        <v>22</v>
      </c>
    </row>
    <row r="158" spans="1:8" ht="15.75" x14ac:dyDescent="0.25">
      <c r="A158" s="16">
        <f t="shared" si="11"/>
        <v>157</v>
      </c>
      <c r="B158" s="314" t="s">
        <v>1043</v>
      </c>
      <c r="C158" s="102">
        <v>1</v>
      </c>
      <c r="D158" s="15">
        <v>35</v>
      </c>
      <c r="E158" s="169">
        <v>57</v>
      </c>
      <c r="F158" s="141">
        <f t="shared" si="8"/>
        <v>0.38596491228070173</v>
      </c>
      <c r="G158" s="142">
        <f t="shared" si="9"/>
        <v>35</v>
      </c>
      <c r="H158" s="143">
        <f t="shared" si="10"/>
        <v>57</v>
      </c>
    </row>
    <row r="159" spans="1:8" ht="15.75" x14ac:dyDescent="0.25">
      <c r="A159" s="16">
        <f t="shared" si="11"/>
        <v>158</v>
      </c>
      <c r="B159" s="164" t="s">
        <v>1044</v>
      </c>
      <c r="C159" s="102">
        <v>1</v>
      </c>
      <c r="D159" s="15">
        <v>35</v>
      </c>
      <c r="E159" s="169">
        <v>57</v>
      </c>
      <c r="F159" s="141">
        <f t="shared" si="8"/>
        <v>0.38596491228070173</v>
      </c>
      <c r="G159" s="142">
        <f t="shared" si="9"/>
        <v>35</v>
      </c>
      <c r="H159" s="143">
        <f t="shared" si="10"/>
        <v>57</v>
      </c>
    </row>
    <row r="160" spans="1:8" ht="15.75" x14ac:dyDescent="0.25">
      <c r="A160" s="16">
        <f t="shared" si="11"/>
        <v>159</v>
      </c>
      <c r="B160" s="164" t="s">
        <v>59</v>
      </c>
      <c r="C160" s="475">
        <v>1</v>
      </c>
      <c r="D160" s="10">
        <v>35.72</v>
      </c>
      <c r="E160" s="169">
        <v>57</v>
      </c>
      <c r="F160" s="141">
        <f t="shared" si="8"/>
        <v>0.37333333333333335</v>
      </c>
      <c r="G160" s="142">
        <f t="shared" si="9"/>
        <v>35.72</v>
      </c>
      <c r="H160" s="143">
        <f t="shared" si="10"/>
        <v>57</v>
      </c>
    </row>
    <row r="161" spans="1:8" ht="15.75" x14ac:dyDescent="0.25">
      <c r="A161" s="16">
        <f t="shared" si="11"/>
        <v>160</v>
      </c>
      <c r="B161" s="164" t="s">
        <v>1059</v>
      </c>
      <c r="C161" s="475">
        <v>1</v>
      </c>
      <c r="D161" s="101">
        <v>35</v>
      </c>
      <c r="E161" s="169">
        <v>57</v>
      </c>
      <c r="F161" s="141">
        <f t="shared" si="8"/>
        <v>0.38596491228070173</v>
      </c>
      <c r="G161" s="142">
        <f t="shared" si="9"/>
        <v>35</v>
      </c>
      <c r="H161" s="143">
        <f t="shared" si="10"/>
        <v>57</v>
      </c>
    </row>
    <row r="162" spans="1:8" ht="15.75" x14ac:dyDescent="0.25">
      <c r="A162" s="16">
        <f t="shared" si="11"/>
        <v>161</v>
      </c>
      <c r="B162" s="314" t="s">
        <v>922</v>
      </c>
      <c r="C162" s="340">
        <v>14</v>
      </c>
      <c r="D162" s="101">
        <v>0.75</v>
      </c>
      <c r="E162" s="7">
        <v>1.5</v>
      </c>
      <c r="F162" s="141">
        <f t="shared" si="8"/>
        <v>0.5</v>
      </c>
      <c r="G162" s="142">
        <f t="shared" si="9"/>
        <v>10.5</v>
      </c>
      <c r="H162" s="143">
        <f t="shared" si="10"/>
        <v>21</v>
      </c>
    </row>
    <row r="163" spans="1:8" x14ac:dyDescent="0.25">
      <c r="A163" s="16">
        <f t="shared" si="11"/>
        <v>162</v>
      </c>
      <c r="B163" s="314" t="s">
        <v>923</v>
      </c>
      <c r="C163" s="340">
        <v>11</v>
      </c>
      <c r="D163" s="10">
        <v>0.75</v>
      </c>
      <c r="E163" s="10">
        <v>1.5</v>
      </c>
      <c r="F163" s="141">
        <f t="shared" si="8"/>
        <v>0.5</v>
      </c>
      <c r="G163" s="142">
        <f t="shared" si="9"/>
        <v>8.25</v>
      </c>
      <c r="H163" s="143">
        <f t="shared" si="10"/>
        <v>16.5</v>
      </c>
    </row>
    <row r="164" spans="1:8" x14ac:dyDescent="0.25">
      <c r="A164" s="16">
        <f t="shared" si="11"/>
        <v>163</v>
      </c>
      <c r="B164" s="314" t="s">
        <v>924</v>
      </c>
      <c r="C164" s="340">
        <v>16</v>
      </c>
      <c r="D164" s="15">
        <v>0.75</v>
      </c>
      <c r="E164" s="7">
        <v>1.5</v>
      </c>
      <c r="F164" s="141">
        <f t="shared" si="8"/>
        <v>0.5</v>
      </c>
      <c r="G164" s="142">
        <f t="shared" si="9"/>
        <v>12</v>
      </c>
      <c r="H164" s="143">
        <f t="shared" si="10"/>
        <v>24</v>
      </c>
    </row>
    <row r="165" spans="1:8" x14ac:dyDescent="0.25">
      <c r="A165" s="16">
        <f t="shared" si="11"/>
        <v>164</v>
      </c>
      <c r="B165" s="314" t="s">
        <v>1040</v>
      </c>
      <c r="C165" s="340">
        <v>14</v>
      </c>
      <c r="D165" s="15">
        <v>0.7</v>
      </c>
      <c r="E165" s="10">
        <v>1.5</v>
      </c>
      <c r="F165" s="141">
        <f t="shared" si="8"/>
        <v>0.53333333333333333</v>
      </c>
      <c r="G165" s="142">
        <f t="shared" si="9"/>
        <v>9.7999999999999989</v>
      </c>
      <c r="H165" s="143">
        <f t="shared" si="10"/>
        <v>21</v>
      </c>
    </row>
    <row r="166" spans="1:8" x14ac:dyDescent="0.25">
      <c r="A166" s="16">
        <f t="shared" si="11"/>
        <v>165</v>
      </c>
      <c r="B166" s="314" t="s">
        <v>730</v>
      </c>
      <c r="C166" s="340">
        <v>16</v>
      </c>
      <c r="D166" s="10">
        <v>0.75</v>
      </c>
      <c r="E166" s="7">
        <v>2</v>
      </c>
      <c r="F166" s="141">
        <f t="shared" si="8"/>
        <v>0.625</v>
      </c>
      <c r="G166" s="142">
        <f t="shared" si="9"/>
        <v>12</v>
      </c>
      <c r="H166" s="143">
        <f t="shared" si="10"/>
        <v>32</v>
      </c>
    </row>
    <row r="167" spans="1:8" x14ac:dyDescent="0.25">
      <c r="A167" s="16">
        <f t="shared" si="11"/>
        <v>166</v>
      </c>
      <c r="B167" s="314" t="s">
        <v>585</v>
      </c>
      <c r="C167" s="340">
        <v>13</v>
      </c>
      <c r="D167" s="15">
        <v>0.5</v>
      </c>
      <c r="E167" s="7">
        <v>1.5</v>
      </c>
      <c r="F167" s="141">
        <f t="shared" si="8"/>
        <v>0.66666666666666663</v>
      </c>
      <c r="G167" s="142">
        <f t="shared" si="9"/>
        <v>6.5</v>
      </c>
      <c r="H167" s="143">
        <f t="shared" si="10"/>
        <v>19.5</v>
      </c>
    </row>
    <row r="168" spans="1:8" x14ac:dyDescent="0.25">
      <c r="A168" s="16">
        <f t="shared" si="11"/>
        <v>167</v>
      </c>
      <c r="B168" s="314" t="s">
        <v>728</v>
      </c>
      <c r="C168" s="340">
        <v>23</v>
      </c>
      <c r="D168" s="10">
        <v>0.6</v>
      </c>
      <c r="E168" s="7">
        <v>1.1499999999999999</v>
      </c>
      <c r="F168" s="141">
        <f t="shared" si="8"/>
        <v>0.47826086956521735</v>
      </c>
      <c r="G168" s="142">
        <f t="shared" si="9"/>
        <v>13.799999999999999</v>
      </c>
      <c r="H168" s="143">
        <f t="shared" si="10"/>
        <v>26.45</v>
      </c>
    </row>
    <row r="169" spans="1:8" x14ac:dyDescent="0.25">
      <c r="A169" s="16">
        <f t="shared" si="11"/>
        <v>168</v>
      </c>
      <c r="B169" s="314" t="s">
        <v>729</v>
      </c>
      <c r="C169" s="340">
        <v>11</v>
      </c>
      <c r="D169" s="10">
        <v>0.76</v>
      </c>
      <c r="E169" s="7">
        <v>1.5</v>
      </c>
      <c r="F169" s="141">
        <f t="shared" si="8"/>
        <v>0.49333333333333335</v>
      </c>
      <c r="G169" s="142">
        <f t="shared" si="9"/>
        <v>8.36</v>
      </c>
      <c r="H169" s="143">
        <f t="shared" si="10"/>
        <v>16.5</v>
      </c>
    </row>
    <row r="170" spans="1:8" x14ac:dyDescent="0.25">
      <c r="A170" s="16">
        <f t="shared" si="11"/>
        <v>169</v>
      </c>
      <c r="B170" s="314" t="s">
        <v>1196</v>
      </c>
      <c r="C170" s="340">
        <v>20</v>
      </c>
      <c r="D170" s="10">
        <v>0.6</v>
      </c>
      <c r="E170" s="7">
        <v>1</v>
      </c>
      <c r="F170" s="141">
        <f t="shared" si="8"/>
        <v>0.4</v>
      </c>
      <c r="G170" s="142">
        <f t="shared" si="9"/>
        <v>12</v>
      </c>
      <c r="H170" s="143">
        <f t="shared" si="10"/>
        <v>20</v>
      </c>
    </row>
    <row r="171" spans="1:8" x14ac:dyDescent="0.25">
      <c r="A171" s="16">
        <f t="shared" si="11"/>
        <v>170</v>
      </c>
      <c r="B171" s="314" t="s">
        <v>925</v>
      </c>
      <c r="C171" s="340">
        <v>17</v>
      </c>
      <c r="D171" s="10">
        <v>0.6</v>
      </c>
      <c r="E171" s="10">
        <v>1.5</v>
      </c>
      <c r="F171" s="141">
        <f t="shared" si="8"/>
        <v>0.6</v>
      </c>
      <c r="G171" s="142">
        <f t="shared" si="9"/>
        <v>10.199999999999999</v>
      </c>
      <c r="H171" s="143">
        <f t="shared" si="10"/>
        <v>25.5</v>
      </c>
    </row>
    <row r="172" spans="1:8" x14ac:dyDescent="0.25">
      <c r="A172" s="16">
        <f t="shared" si="11"/>
        <v>171</v>
      </c>
      <c r="B172" s="314" t="s">
        <v>1197</v>
      </c>
      <c r="C172" s="339">
        <v>7</v>
      </c>
      <c r="D172" s="15">
        <v>0.5</v>
      </c>
      <c r="E172" s="10">
        <v>1.5</v>
      </c>
      <c r="F172" s="141">
        <f t="shared" si="8"/>
        <v>0.66666666666666663</v>
      </c>
      <c r="G172" s="142">
        <f t="shared" si="9"/>
        <v>3.5</v>
      </c>
      <c r="H172" s="143">
        <f t="shared" si="10"/>
        <v>10.5</v>
      </c>
    </row>
    <row r="173" spans="1:8" x14ac:dyDescent="0.25">
      <c r="A173" s="16">
        <f t="shared" si="11"/>
        <v>172</v>
      </c>
      <c r="B173" s="314" t="s">
        <v>926</v>
      </c>
      <c r="C173" s="340">
        <v>9</v>
      </c>
      <c r="D173" s="10">
        <v>0.75</v>
      </c>
      <c r="E173" s="7">
        <v>1.5</v>
      </c>
      <c r="F173" s="141">
        <f t="shared" si="8"/>
        <v>0.5</v>
      </c>
      <c r="G173" s="142">
        <f t="shared" si="9"/>
        <v>6.75</v>
      </c>
      <c r="H173" s="143">
        <f t="shared" si="10"/>
        <v>13.5</v>
      </c>
    </row>
    <row r="174" spans="1:8" x14ac:dyDescent="0.25">
      <c r="A174" s="16">
        <f t="shared" si="11"/>
        <v>173</v>
      </c>
      <c r="B174" s="314" t="s">
        <v>1045</v>
      </c>
      <c r="C174" s="653">
        <v>1</v>
      </c>
      <c r="D174" s="15">
        <v>25.3</v>
      </c>
      <c r="E174" s="7">
        <v>50</v>
      </c>
      <c r="F174" s="141">
        <f t="shared" si="8"/>
        <v>0.49399999999999999</v>
      </c>
      <c r="G174" s="142">
        <f t="shared" si="9"/>
        <v>25.3</v>
      </c>
      <c r="H174" s="143">
        <f t="shared" si="10"/>
        <v>50</v>
      </c>
    </row>
    <row r="175" spans="1:8" x14ac:dyDescent="0.25">
      <c r="A175" s="16">
        <f t="shared" si="11"/>
        <v>174</v>
      </c>
      <c r="B175" s="314" t="s">
        <v>762</v>
      </c>
      <c r="C175" s="340">
        <v>1</v>
      </c>
      <c r="D175" s="15">
        <v>15</v>
      </c>
      <c r="E175" s="7">
        <v>33</v>
      </c>
      <c r="F175" s="141">
        <f t="shared" si="8"/>
        <v>0.54545454545454541</v>
      </c>
      <c r="G175" s="142">
        <f t="shared" si="9"/>
        <v>15</v>
      </c>
      <c r="H175" s="143">
        <f t="shared" si="10"/>
        <v>33</v>
      </c>
    </row>
    <row r="176" spans="1:8" x14ac:dyDescent="0.25">
      <c r="A176" s="16">
        <f t="shared" si="11"/>
        <v>175</v>
      </c>
      <c r="B176" s="314" t="s">
        <v>927</v>
      </c>
      <c r="C176" s="280">
        <v>54</v>
      </c>
      <c r="D176" s="10">
        <v>0.4</v>
      </c>
      <c r="E176" s="7">
        <v>1</v>
      </c>
      <c r="F176" s="141">
        <f t="shared" si="8"/>
        <v>0.6</v>
      </c>
      <c r="G176" s="142">
        <f t="shared" si="9"/>
        <v>21.6</v>
      </c>
      <c r="H176" s="143">
        <f t="shared" si="10"/>
        <v>54</v>
      </c>
    </row>
    <row r="177" spans="1:9" x14ac:dyDescent="0.25">
      <c r="A177" s="16">
        <f t="shared" si="11"/>
        <v>176</v>
      </c>
      <c r="B177" s="314" t="s">
        <v>928</v>
      </c>
      <c r="C177" s="340">
        <v>18</v>
      </c>
      <c r="D177" s="15">
        <v>5.5</v>
      </c>
      <c r="E177" s="7">
        <v>10</v>
      </c>
      <c r="F177" s="141">
        <f t="shared" si="8"/>
        <v>0.45</v>
      </c>
      <c r="G177" s="142">
        <f t="shared" si="9"/>
        <v>99</v>
      </c>
      <c r="H177" s="143">
        <f t="shared" si="10"/>
        <v>180</v>
      </c>
      <c r="I177" s="97"/>
    </row>
    <row r="178" spans="1:9" x14ac:dyDescent="0.25">
      <c r="A178" s="16">
        <f t="shared" si="11"/>
        <v>177</v>
      </c>
      <c r="B178" s="314" t="s">
        <v>1046</v>
      </c>
      <c r="C178" s="340">
        <v>1</v>
      </c>
      <c r="D178" s="10">
        <v>20</v>
      </c>
      <c r="E178" s="7">
        <v>40</v>
      </c>
      <c r="F178" s="141">
        <f t="shared" si="8"/>
        <v>0.5</v>
      </c>
      <c r="G178" s="142">
        <f t="shared" si="9"/>
        <v>20</v>
      </c>
      <c r="H178" s="143">
        <f t="shared" si="10"/>
        <v>40</v>
      </c>
    </row>
    <row r="179" spans="1:9" x14ac:dyDescent="0.25">
      <c r="A179" s="16">
        <f t="shared" si="11"/>
        <v>178</v>
      </c>
      <c r="B179" s="314" t="s">
        <v>733</v>
      </c>
      <c r="C179" s="340">
        <v>0</v>
      </c>
      <c r="D179" s="10">
        <v>36</v>
      </c>
      <c r="E179" s="7">
        <v>70</v>
      </c>
      <c r="F179" s="141">
        <f t="shared" si="8"/>
        <v>0.48571428571428571</v>
      </c>
      <c r="G179" s="142">
        <f t="shared" si="9"/>
        <v>0</v>
      </c>
      <c r="H179" s="143">
        <f t="shared" si="10"/>
        <v>0</v>
      </c>
    </row>
    <row r="180" spans="1:9" x14ac:dyDescent="0.25">
      <c r="A180" s="16">
        <f t="shared" si="11"/>
        <v>179</v>
      </c>
      <c r="B180" s="314" t="s">
        <v>618</v>
      </c>
      <c r="C180" s="340">
        <v>1</v>
      </c>
      <c r="D180" s="15">
        <v>15.3</v>
      </c>
      <c r="E180" s="10">
        <v>30</v>
      </c>
      <c r="F180" s="141">
        <f t="shared" si="8"/>
        <v>0.49</v>
      </c>
      <c r="G180" s="142">
        <f t="shared" si="9"/>
        <v>15.3</v>
      </c>
      <c r="H180" s="143">
        <f t="shared" si="10"/>
        <v>30</v>
      </c>
    </row>
    <row r="181" spans="1:9" x14ac:dyDescent="0.25">
      <c r="A181" s="16">
        <f t="shared" si="11"/>
        <v>180</v>
      </c>
      <c r="B181" s="314" t="s">
        <v>1047</v>
      </c>
      <c r="C181" s="340">
        <v>2</v>
      </c>
      <c r="D181" s="15">
        <v>25.3</v>
      </c>
      <c r="E181" s="7">
        <v>50</v>
      </c>
      <c r="F181" s="141">
        <f t="shared" si="8"/>
        <v>0.49399999999999999</v>
      </c>
      <c r="G181" s="142">
        <f t="shared" si="9"/>
        <v>50.6</v>
      </c>
      <c r="H181" s="143">
        <f t="shared" si="10"/>
        <v>100</v>
      </c>
    </row>
    <row r="182" spans="1:9" x14ac:dyDescent="0.25">
      <c r="A182" s="16">
        <f t="shared" si="11"/>
        <v>181</v>
      </c>
      <c r="B182" s="314" t="s">
        <v>732</v>
      </c>
      <c r="C182" s="340">
        <v>2</v>
      </c>
      <c r="D182" s="10">
        <v>30</v>
      </c>
      <c r="E182" s="7">
        <v>58</v>
      </c>
      <c r="F182" s="141">
        <f t="shared" si="8"/>
        <v>0.48275862068965519</v>
      </c>
      <c r="G182" s="142">
        <f t="shared" si="9"/>
        <v>60</v>
      </c>
      <c r="H182" s="143">
        <f t="shared" si="10"/>
        <v>116</v>
      </c>
    </row>
    <row r="183" spans="1:9" x14ac:dyDescent="0.25">
      <c r="A183" s="16">
        <f t="shared" si="11"/>
        <v>182</v>
      </c>
      <c r="B183" s="314" t="s">
        <v>580</v>
      </c>
      <c r="C183" s="340">
        <v>4</v>
      </c>
      <c r="D183" s="15">
        <v>9.3000000000000007</v>
      </c>
      <c r="E183" s="10">
        <v>16</v>
      </c>
      <c r="F183" s="141">
        <f t="shared" si="8"/>
        <v>0.41874999999999996</v>
      </c>
      <c r="G183" s="142">
        <f t="shared" si="9"/>
        <v>37.200000000000003</v>
      </c>
      <c r="H183" s="143">
        <f t="shared" si="10"/>
        <v>64</v>
      </c>
    </row>
    <row r="184" spans="1:9" x14ac:dyDescent="0.25">
      <c r="A184" s="16">
        <f t="shared" si="11"/>
        <v>183</v>
      </c>
      <c r="B184" s="314" t="s">
        <v>579</v>
      </c>
      <c r="C184" s="340">
        <v>1</v>
      </c>
      <c r="D184" s="10">
        <v>9.3000000000000007</v>
      </c>
      <c r="E184" s="7">
        <v>16</v>
      </c>
      <c r="F184" s="141">
        <f t="shared" si="8"/>
        <v>0.41874999999999996</v>
      </c>
      <c r="G184" s="142">
        <f t="shared" si="9"/>
        <v>9.3000000000000007</v>
      </c>
      <c r="H184" s="143">
        <f t="shared" si="10"/>
        <v>16</v>
      </c>
    </row>
    <row r="185" spans="1:9" x14ac:dyDescent="0.25">
      <c r="A185" s="16">
        <f t="shared" si="11"/>
        <v>184</v>
      </c>
      <c r="B185" s="314" t="s">
        <v>184</v>
      </c>
      <c r="C185" s="658">
        <v>94</v>
      </c>
      <c r="D185" s="10">
        <v>1.85</v>
      </c>
      <c r="E185" s="7">
        <v>3</v>
      </c>
      <c r="F185" s="141">
        <f t="shared" si="8"/>
        <v>0.3833333333333333</v>
      </c>
      <c r="G185" s="142">
        <f t="shared" si="9"/>
        <v>173.9</v>
      </c>
      <c r="H185" s="143">
        <f t="shared" si="10"/>
        <v>282</v>
      </c>
    </row>
    <row r="186" spans="1:9" x14ac:dyDescent="0.25">
      <c r="A186" s="16">
        <f t="shared" si="11"/>
        <v>185</v>
      </c>
      <c r="B186" s="314" t="s">
        <v>638</v>
      </c>
      <c r="C186" s="340">
        <v>1</v>
      </c>
      <c r="D186" s="10">
        <v>20.3</v>
      </c>
      <c r="E186" s="7">
        <v>40</v>
      </c>
      <c r="F186" s="141">
        <f t="shared" si="8"/>
        <v>0.49249999999999999</v>
      </c>
      <c r="G186" s="142">
        <f t="shared" si="9"/>
        <v>20.3</v>
      </c>
      <c r="H186" s="143">
        <f t="shared" si="10"/>
        <v>40</v>
      </c>
    </row>
    <row r="187" spans="1:9" x14ac:dyDescent="0.25">
      <c r="A187" s="16">
        <f t="shared" si="11"/>
        <v>186</v>
      </c>
      <c r="B187" s="314" t="s">
        <v>471</v>
      </c>
      <c r="C187" s="340">
        <v>16</v>
      </c>
      <c r="D187" s="10">
        <v>2.29</v>
      </c>
      <c r="E187" s="7">
        <v>4</v>
      </c>
      <c r="F187" s="141">
        <f t="shared" si="8"/>
        <v>0.42749999999999999</v>
      </c>
      <c r="G187" s="142">
        <f t="shared" si="9"/>
        <v>36.64</v>
      </c>
      <c r="H187" s="143">
        <f t="shared" si="10"/>
        <v>64</v>
      </c>
    </row>
    <row r="188" spans="1:9" x14ac:dyDescent="0.25">
      <c r="A188" s="16">
        <f t="shared" si="11"/>
        <v>187</v>
      </c>
      <c r="B188" s="314" t="s">
        <v>961</v>
      </c>
      <c r="C188" s="340">
        <v>31</v>
      </c>
      <c r="D188" s="10">
        <v>5.95</v>
      </c>
      <c r="E188" s="7">
        <v>10</v>
      </c>
      <c r="F188" s="141">
        <f t="shared" si="8"/>
        <v>0.40499999999999997</v>
      </c>
      <c r="G188" s="142">
        <f t="shared" si="9"/>
        <v>184.45000000000002</v>
      </c>
      <c r="H188" s="143">
        <f t="shared" si="10"/>
        <v>310</v>
      </c>
    </row>
    <row r="189" spans="1:9" x14ac:dyDescent="0.25">
      <c r="A189" s="16">
        <f t="shared" si="11"/>
        <v>188</v>
      </c>
      <c r="B189" s="314" t="s">
        <v>36</v>
      </c>
      <c r="C189" s="415">
        <v>6</v>
      </c>
      <c r="D189" s="10">
        <v>3.18</v>
      </c>
      <c r="E189" s="7">
        <v>5.8</v>
      </c>
      <c r="F189" s="141">
        <f t="shared" si="8"/>
        <v>0.45172413793103444</v>
      </c>
      <c r="G189" s="142">
        <f t="shared" si="9"/>
        <v>19.080000000000002</v>
      </c>
      <c r="H189" s="143">
        <f t="shared" si="10"/>
        <v>34.799999999999997</v>
      </c>
    </row>
    <row r="190" spans="1:9" x14ac:dyDescent="0.25">
      <c r="A190" s="16">
        <f t="shared" ref="A190:A233" si="12">A189+1</f>
        <v>189</v>
      </c>
      <c r="B190" s="314" t="s">
        <v>642</v>
      </c>
      <c r="C190" s="340">
        <v>1</v>
      </c>
      <c r="D190" s="15">
        <v>20.3</v>
      </c>
      <c r="E190" s="7">
        <v>80</v>
      </c>
      <c r="F190" s="141">
        <f t="shared" si="8"/>
        <v>0.74625000000000008</v>
      </c>
      <c r="G190" s="142">
        <f t="shared" si="9"/>
        <v>20.3</v>
      </c>
      <c r="H190" s="143">
        <f t="shared" si="10"/>
        <v>80</v>
      </c>
    </row>
    <row r="191" spans="1:9" x14ac:dyDescent="0.25">
      <c r="A191" s="16">
        <f t="shared" si="12"/>
        <v>190</v>
      </c>
      <c r="B191" s="314" t="s">
        <v>1014</v>
      </c>
      <c r="C191" s="340">
        <v>198</v>
      </c>
      <c r="D191" s="15">
        <v>0.4</v>
      </c>
      <c r="E191" s="7">
        <v>1</v>
      </c>
      <c r="F191" s="141">
        <f t="shared" si="8"/>
        <v>0.6</v>
      </c>
      <c r="G191" s="142">
        <f t="shared" si="9"/>
        <v>79.2</v>
      </c>
      <c r="H191" s="143">
        <f t="shared" si="10"/>
        <v>198</v>
      </c>
    </row>
    <row r="192" spans="1:9" ht="15.75" x14ac:dyDescent="0.25">
      <c r="A192" s="16">
        <f t="shared" si="12"/>
        <v>191</v>
      </c>
      <c r="B192" s="164" t="s">
        <v>43</v>
      </c>
      <c r="C192" s="340">
        <v>5</v>
      </c>
      <c r="D192" s="169">
        <v>4.7</v>
      </c>
      <c r="E192" s="169">
        <v>8</v>
      </c>
      <c r="F192" s="141">
        <f t="shared" si="8"/>
        <v>0.41249999999999998</v>
      </c>
      <c r="G192" s="142">
        <f t="shared" si="9"/>
        <v>23.5</v>
      </c>
      <c r="H192" s="143">
        <f t="shared" si="10"/>
        <v>40</v>
      </c>
    </row>
    <row r="193" spans="1:8" ht="15.75" x14ac:dyDescent="0.25">
      <c r="A193" s="16">
        <f t="shared" si="12"/>
        <v>192</v>
      </c>
      <c r="B193" s="164" t="s">
        <v>42</v>
      </c>
      <c r="C193" s="340">
        <v>4</v>
      </c>
      <c r="D193" s="169">
        <v>5</v>
      </c>
      <c r="E193" s="169">
        <v>8</v>
      </c>
      <c r="F193" s="141">
        <f t="shared" si="8"/>
        <v>0.375</v>
      </c>
      <c r="G193" s="142">
        <f t="shared" si="9"/>
        <v>20</v>
      </c>
      <c r="H193" s="143">
        <f t="shared" si="10"/>
        <v>32</v>
      </c>
    </row>
    <row r="194" spans="1:8" x14ac:dyDescent="0.25">
      <c r="A194" s="16">
        <f t="shared" si="12"/>
        <v>193</v>
      </c>
      <c r="B194" s="314" t="s">
        <v>747</v>
      </c>
      <c r="C194" s="340">
        <v>1</v>
      </c>
      <c r="D194" s="15">
        <v>15</v>
      </c>
      <c r="E194" s="7">
        <v>27</v>
      </c>
      <c r="F194" s="141">
        <f t="shared" ref="F194:F203" si="13">(E194-D194)/(E194)</f>
        <v>0.44444444444444442</v>
      </c>
      <c r="G194" s="142">
        <f t="shared" ref="G194:G203" si="14">D194*C194</f>
        <v>15</v>
      </c>
      <c r="H194" s="143">
        <f t="shared" ref="H194:H203" si="15">E194*C194</f>
        <v>27</v>
      </c>
    </row>
    <row r="195" spans="1:8" x14ac:dyDescent="0.25">
      <c r="A195" s="16">
        <f t="shared" si="12"/>
        <v>194</v>
      </c>
      <c r="B195" s="314" t="s">
        <v>723</v>
      </c>
      <c r="C195" s="340">
        <v>1</v>
      </c>
      <c r="D195" s="15">
        <v>15</v>
      </c>
      <c r="E195" s="7">
        <v>32</v>
      </c>
      <c r="F195" s="141">
        <f t="shared" si="13"/>
        <v>0.53125</v>
      </c>
      <c r="G195" s="142">
        <f t="shared" si="14"/>
        <v>15</v>
      </c>
      <c r="H195" s="143">
        <f t="shared" si="15"/>
        <v>32</v>
      </c>
    </row>
    <row r="196" spans="1:8" x14ac:dyDescent="0.25">
      <c r="A196" s="16">
        <f t="shared" si="12"/>
        <v>195</v>
      </c>
      <c r="B196" s="314" t="s">
        <v>169</v>
      </c>
      <c r="C196" s="415">
        <v>124</v>
      </c>
      <c r="D196" s="10">
        <v>0.4</v>
      </c>
      <c r="E196" s="7">
        <v>0.9</v>
      </c>
      <c r="F196" s="141">
        <f t="shared" si="13"/>
        <v>0.55555555555555558</v>
      </c>
      <c r="G196" s="142">
        <f t="shared" si="14"/>
        <v>49.6</v>
      </c>
      <c r="H196" s="143">
        <f t="shared" si="15"/>
        <v>111.60000000000001</v>
      </c>
    </row>
    <row r="197" spans="1:8" x14ac:dyDescent="0.25">
      <c r="A197" s="16">
        <f t="shared" si="12"/>
        <v>196</v>
      </c>
      <c r="B197" s="314" t="s">
        <v>726</v>
      </c>
      <c r="C197" s="340">
        <v>2</v>
      </c>
      <c r="D197" s="10">
        <v>12</v>
      </c>
      <c r="E197" s="7">
        <v>19</v>
      </c>
      <c r="F197" s="141">
        <f t="shared" si="13"/>
        <v>0.36842105263157893</v>
      </c>
      <c r="G197" s="142">
        <f t="shared" si="14"/>
        <v>24</v>
      </c>
      <c r="H197" s="143">
        <f t="shared" si="15"/>
        <v>38</v>
      </c>
    </row>
    <row r="198" spans="1:8" x14ac:dyDescent="0.25">
      <c r="A198" s="16">
        <f t="shared" si="12"/>
        <v>197</v>
      </c>
      <c r="B198" s="314" t="s">
        <v>773</v>
      </c>
      <c r="C198" s="340">
        <v>1</v>
      </c>
      <c r="D198" s="15">
        <v>10.3</v>
      </c>
      <c r="E198" s="7">
        <v>20</v>
      </c>
      <c r="F198" s="141">
        <f t="shared" si="13"/>
        <v>0.48499999999999999</v>
      </c>
      <c r="G198" s="142">
        <f t="shared" si="14"/>
        <v>10.3</v>
      </c>
      <c r="H198" s="143">
        <f t="shared" si="15"/>
        <v>20</v>
      </c>
    </row>
    <row r="199" spans="1:8" x14ac:dyDescent="0.25">
      <c r="A199" s="16">
        <f t="shared" si="12"/>
        <v>198</v>
      </c>
      <c r="B199" s="314" t="s">
        <v>544</v>
      </c>
      <c r="C199" s="340">
        <v>1</v>
      </c>
      <c r="D199" s="15">
        <v>9.3000000000000007</v>
      </c>
      <c r="E199" s="7">
        <v>18</v>
      </c>
      <c r="F199" s="141">
        <f t="shared" si="13"/>
        <v>0.48333333333333328</v>
      </c>
      <c r="G199" s="142">
        <f t="shared" si="14"/>
        <v>9.3000000000000007</v>
      </c>
      <c r="H199" s="143">
        <f t="shared" si="15"/>
        <v>18</v>
      </c>
    </row>
    <row r="200" spans="1:8" x14ac:dyDescent="0.25">
      <c r="A200" s="16">
        <f t="shared" si="12"/>
        <v>199</v>
      </c>
      <c r="B200" s="314" t="s">
        <v>472</v>
      </c>
      <c r="C200" s="280">
        <v>18</v>
      </c>
      <c r="D200" s="15">
        <v>2.19</v>
      </c>
      <c r="E200" s="7">
        <v>4.5</v>
      </c>
      <c r="F200" s="141">
        <f t="shared" si="13"/>
        <v>0.51333333333333331</v>
      </c>
      <c r="G200" s="142">
        <f t="shared" si="14"/>
        <v>39.42</v>
      </c>
      <c r="H200" s="143">
        <f t="shared" si="15"/>
        <v>81</v>
      </c>
    </row>
    <row r="201" spans="1:8" x14ac:dyDescent="0.25">
      <c r="A201" s="16">
        <f t="shared" si="12"/>
        <v>200</v>
      </c>
      <c r="B201" s="314" t="s">
        <v>473</v>
      </c>
      <c r="C201" s="415">
        <v>17</v>
      </c>
      <c r="D201" s="10">
        <v>2.1800000000000002</v>
      </c>
      <c r="E201" s="7">
        <v>4.5</v>
      </c>
      <c r="F201" s="141">
        <f t="shared" si="13"/>
        <v>0.51555555555555554</v>
      </c>
      <c r="G201" s="142">
        <f t="shared" si="14"/>
        <v>37.06</v>
      </c>
      <c r="H201" s="143">
        <f t="shared" si="15"/>
        <v>76.5</v>
      </c>
    </row>
    <row r="202" spans="1:8" x14ac:dyDescent="0.25">
      <c r="A202" s="16">
        <f t="shared" si="12"/>
        <v>201</v>
      </c>
      <c r="B202" s="4" t="s">
        <v>474</v>
      </c>
      <c r="C202" s="340">
        <v>27</v>
      </c>
      <c r="D202" s="10">
        <v>2.19</v>
      </c>
      <c r="E202" s="7">
        <v>4.5</v>
      </c>
      <c r="F202" s="141">
        <f t="shared" si="13"/>
        <v>0.51333333333333331</v>
      </c>
      <c r="G202" s="142">
        <f t="shared" si="14"/>
        <v>59.129999999999995</v>
      </c>
      <c r="H202" s="143">
        <f t="shared" si="15"/>
        <v>121.5</v>
      </c>
    </row>
    <row r="203" spans="1:8" x14ac:dyDescent="0.25">
      <c r="A203" s="16">
        <f t="shared" si="12"/>
        <v>202</v>
      </c>
      <c r="B203" s="314" t="s">
        <v>126</v>
      </c>
      <c r="C203" s="340">
        <v>298</v>
      </c>
      <c r="D203" s="10">
        <v>0.27</v>
      </c>
      <c r="E203" s="7">
        <v>0.5</v>
      </c>
      <c r="F203" s="141">
        <f t="shared" si="13"/>
        <v>0.45999999999999996</v>
      </c>
      <c r="G203" s="142">
        <f t="shared" si="14"/>
        <v>80.460000000000008</v>
      </c>
      <c r="H203" s="143">
        <f t="shared" si="15"/>
        <v>149</v>
      </c>
    </row>
    <row r="204" spans="1:8" x14ac:dyDescent="0.25">
      <c r="A204" s="16">
        <f t="shared" si="12"/>
        <v>203</v>
      </c>
      <c r="B204" s="314"/>
      <c r="C204" s="340"/>
      <c r="D204" s="10"/>
      <c r="E204" s="7"/>
      <c r="F204" s="141"/>
      <c r="G204" s="142">
        <f>D204*C204</f>
        <v>0</v>
      </c>
      <c r="H204" s="143">
        <f>E204*C204</f>
        <v>0</v>
      </c>
    </row>
    <row r="205" spans="1:8" x14ac:dyDescent="0.25">
      <c r="A205" s="16">
        <f t="shared" si="12"/>
        <v>204</v>
      </c>
      <c r="B205" s="314"/>
      <c r="C205" s="340"/>
      <c r="D205" s="10"/>
      <c r="E205" s="7"/>
      <c r="F205" s="141"/>
      <c r="G205" s="142">
        <f>D205*C205</f>
        <v>0</v>
      </c>
      <c r="H205" s="143">
        <f>E205*C205</f>
        <v>0</v>
      </c>
    </row>
    <row r="206" spans="1:8" x14ac:dyDescent="0.25">
      <c r="A206" s="16">
        <f t="shared" si="12"/>
        <v>205</v>
      </c>
      <c r="B206" s="314"/>
      <c r="C206" s="340"/>
      <c r="D206" s="10"/>
      <c r="E206" s="7"/>
      <c r="F206" s="141"/>
      <c r="G206" s="142">
        <f>D206*C206</f>
        <v>0</v>
      </c>
      <c r="H206" s="143">
        <f>E206*C206</f>
        <v>0</v>
      </c>
    </row>
    <row r="207" spans="1:8" x14ac:dyDescent="0.25">
      <c r="A207" s="16">
        <f t="shared" si="12"/>
        <v>206</v>
      </c>
      <c r="B207" s="314"/>
      <c r="C207" s="340"/>
      <c r="D207" s="10"/>
      <c r="E207" s="7"/>
      <c r="F207" s="141"/>
      <c r="G207" s="142">
        <f>D207*C207</f>
        <v>0</v>
      </c>
      <c r="H207" s="143">
        <f>E207*C207</f>
        <v>0</v>
      </c>
    </row>
    <row r="208" spans="1:8" x14ac:dyDescent="0.25">
      <c r="A208" s="16">
        <f>A207+1</f>
        <v>207</v>
      </c>
      <c r="B208" s="314"/>
      <c r="C208" s="340"/>
      <c r="D208" s="10"/>
      <c r="E208" s="7"/>
      <c r="F208" s="141"/>
      <c r="G208" s="142">
        <f>D208*C208</f>
        <v>0</v>
      </c>
      <c r="H208" s="143">
        <f>E208*C208</f>
        <v>0</v>
      </c>
    </row>
    <row r="209" spans="1:8" x14ac:dyDescent="0.25">
      <c r="A209" s="16">
        <f t="shared" ref="A209:A221" si="16">A208+1</f>
        <v>208</v>
      </c>
      <c r="B209" s="4"/>
      <c r="C209" s="9"/>
      <c r="D209" s="10"/>
      <c r="E209" s="7"/>
      <c r="G209" s="25">
        <f>SUM(G2:G208)</f>
        <v>9817.6669999999958</v>
      </c>
      <c r="H209" s="25">
        <f>SUM(H2:H208)</f>
        <v>20351.269999999997</v>
      </c>
    </row>
    <row r="210" spans="1:8" x14ac:dyDescent="0.25">
      <c r="A210" s="16">
        <f t="shared" si="16"/>
        <v>209</v>
      </c>
      <c r="B210" s="4"/>
      <c r="C210" s="9"/>
      <c r="D210" s="15"/>
      <c r="E210" s="7"/>
      <c r="G210" s="30"/>
      <c r="H210" s="25"/>
    </row>
    <row r="211" spans="1:8" x14ac:dyDescent="0.25">
      <c r="A211" s="16">
        <f t="shared" si="16"/>
        <v>210</v>
      </c>
      <c r="B211" s="4"/>
      <c r="C211" s="9"/>
      <c r="D211" s="15"/>
      <c r="E211" s="7"/>
      <c r="G211" s="30"/>
      <c r="H211" s="25">
        <f>H209-G209</f>
        <v>10533.603000000001</v>
      </c>
    </row>
    <row r="212" spans="1:8" x14ac:dyDescent="0.25">
      <c r="A212" s="16">
        <f t="shared" si="16"/>
        <v>211</v>
      </c>
      <c r="B212" s="4"/>
      <c r="C212" s="9"/>
      <c r="D212" s="15"/>
      <c r="E212" s="7"/>
      <c r="G212" s="30"/>
      <c r="H212" s="25"/>
    </row>
    <row r="213" spans="1:8" x14ac:dyDescent="0.25">
      <c r="A213" s="16">
        <f t="shared" si="16"/>
        <v>212</v>
      </c>
      <c r="B213" s="4"/>
      <c r="C213" s="9"/>
      <c r="D213" s="15"/>
      <c r="E213" s="7"/>
      <c r="G213" s="30"/>
      <c r="H213" s="29">
        <f>H211/H209</f>
        <v>0.51758946738950462</v>
      </c>
    </row>
    <row r="214" spans="1:8" x14ac:dyDescent="0.25">
      <c r="A214" s="16">
        <f t="shared" si="16"/>
        <v>213</v>
      </c>
      <c r="B214" s="4"/>
      <c r="C214" s="9"/>
      <c r="D214" s="15"/>
      <c r="E214" s="7"/>
      <c r="G214" s="30"/>
      <c r="H214" s="25"/>
    </row>
    <row r="215" spans="1:8" x14ac:dyDescent="0.25">
      <c r="A215" s="16">
        <f t="shared" si="16"/>
        <v>214</v>
      </c>
      <c r="B215" s="3"/>
      <c r="C215" s="9"/>
      <c r="D215" s="15"/>
      <c r="E215" s="7"/>
      <c r="G215" s="30"/>
      <c r="H215" s="25"/>
    </row>
    <row r="216" spans="1:8" x14ac:dyDescent="0.25">
      <c r="A216" s="16">
        <f t="shared" si="16"/>
        <v>215</v>
      </c>
      <c r="B216" s="4"/>
      <c r="C216" s="9"/>
      <c r="D216" s="15"/>
      <c r="E216" s="7"/>
      <c r="G216" s="30"/>
      <c r="H216" s="25"/>
    </row>
    <row r="217" spans="1:8" x14ac:dyDescent="0.25">
      <c r="A217" s="16">
        <f t="shared" si="16"/>
        <v>216</v>
      </c>
      <c r="B217" s="4"/>
      <c r="C217" s="9"/>
      <c r="D217" s="15"/>
      <c r="E217" s="7"/>
      <c r="G217" s="30"/>
      <c r="H217" s="25"/>
    </row>
    <row r="218" spans="1:8" x14ac:dyDescent="0.25">
      <c r="A218" s="16">
        <f t="shared" si="16"/>
        <v>217</v>
      </c>
      <c r="B218" s="4"/>
      <c r="C218" s="9"/>
      <c r="D218" s="15"/>
      <c r="E218" s="7"/>
      <c r="G218" s="30"/>
      <c r="H218" s="25"/>
    </row>
    <row r="219" spans="1:8" x14ac:dyDescent="0.25">
      <c r="A219" s="16">
        <f t="shared" si="16"/>
        <v>218</v>
      </c>
      <c r="B219" s="4"/>
      <c r="C219" s="9"/>
      <c r="D219" s="15"/>
      <c r="E219" s="7"/>
      <c r="G219" s="30"/>
      <c r="H219" s="25"/>
    </row>
    <row r="220" spans="1:8" x14ac:dyDescent="0.25">
      <c r="A220" s="16">
        <f t="shared" si="16"/>
        <v>219</v>
      </c>
      <c r="B220" s="4"/>
      <c r="C220" s="9"/>
      <c r="D220" s="15"/>
      <c r="E220" s="7"/>
      <c r="G220" s="30"/>
      <c r="H220" s="25"/>
    </row>
    <row r="221" spans="1:8" x14ac:dyDescent="0.25">
      <c r="A221" s="16">
        <f t="shared" si="16"/>
        <v>220</v>
      </c>
      <c r="B221" s="4"/>
      <c r="C221" s="9"/>
      <c r="D221" s="15"/>
      <c r="E221" s="7"/>
      <c r="G221" s="30"/>
      <c r="H221" s="25"/>
    </row>
    <row r="222" spans="1:8" x14ac:dyDescent="0.25">
      <c r="A222" s="16">
        <f t="shared" si="12"/>
        <v>221</v>
      </c>
      <c r="B222" s="4"/>
      <c r="C222" s="9"/>
      <c r="D222" s="15"/>
      <c r="E222" s="7"/>
      <c r="G222" s="30"/>
      <c r="H222" s="25"/>
    </row>
    <row r="223" spans="1:8" x14ac:dyDescent="0.25">
      <c r="A223" s="16">
        <f t="shared" si="12"/>
        <v>222</v>
      </c>
      <c r="B223" s="4"/>
      <c r="C223" s="9"/>
      <c r="D223" s="15"/>
      <c r="E223" s="7"/>
      <c r="G223" s="30"/>
      <c r="H223" s="25"/>
    </row>
    <row r="224" spans="1:8" x14ac:dyDescent="0.25">
      <c r="A224" s="16">
        <f t="shared" si="12"/>
        <v>223</v>
      </c>
      <c r="B224" s="4"/>
      <c r="C224" s="9"/>
      <c r="D224" s="15"/>
      <c r="E224" s="7"/>
      <c r="G224" s="30"/>
      <c r="H224" s="25"/>
    </row>
    <row r="225" spans="1:8" x14ac:dyDescent="0.25">
      <c r="A225" s="16">
        <f t="shared" si="12"/>
        <v>224</v>
      </c>
      <c r="B225" s="4"/>
      <c r="C225" s="9"/>
      <c r="D225" s="15"/>
      <c r="E225" s="7"/>
      <c r="G225" s="30"/>
      <c r="H225" s="25"/>
    </row>
    <row r="226" spans="1:8" x14ac:dyDescent="0.25">
      <c r="A226" s="16">
        <f t="shared" si="12"/>
        <v>225</v>
      </c>
      <c r="B226" s="4"/>
      <c r="C226" s="9"/>
      <c r="D226" s="15"/>
      <c r="E226" s="7"/>
      <c r="G226" s="30"/>
      <c r="H226" s="25"/>
    </row>
    <row r="227" spans="1:8" x14ac:dyDescent="0.25">
      <c r="A227" s="16">
        <f t="shared" si="12"/>
        <v>226</v>
      </c>
      <c r="B227" s="4"/>
      <c r="C227" s="9"/>
      <c r="D227" s="15"/>
      <c r="E227" s="7"/>
      <c r="G227" s="30"/>
      <c r="H227" s="25"/>
    </row>
    <row r="228" spans="1:8" x14ac:dyDescent="0.25">
      <c r="A228" s="16">
        <f t="shared" si="12"/>
        <v>227</v>
      </c>
      <c r="B228" s="4"/>
      <c r="C228" s="9"/>
      <c r="D228" s="15"/>
      <c r="E228" s="7"/>
      <c r="G228" s="30"/>
      <c r="H228" s="25"/>
    </row>
    <row r="229" spans="1:8" x14ac:dyDescent="0.25">
      <c r="A229" s="16">
        <f t="shared" si="12"/>
        <v>228</v>
      </c>
      <c r="B229" s="4"/>
      <c r="C229" s="9"/>
      <c r="D229" s="15"/>
      <c r="E229" s="7"/>
      <c r="G229" s="30"/>
      <c r="H229" s="25"/>
    </row>
    <row r="230" spans="1:8" x14ac:dyDescent="0.25">
      <c r="A230" s="16">
        <f t="shared" si="12"/>
        <v>229</v>
      </c>
      <c r="B230" s="4"/>
      <c r="C230" s="9"/>
      <c r="D230" s="15"/>
      <c r="E230" s="7"/>
      <c r="G230" s="30"/>
      <c r="H230" s="25"/>
    </row>
    <row r="231" spans="1:8" x14ac:dyDescent="0.25">
      <c r="A231" s="16">
        <f t="shared" si="12"/>
        <v>230</v>
      </c>
      <c r="B231" s="4"/>
      <c r="C231" s="9"/>
      <c r="D231" s="15"/>
      <c r="E231" s="7"/>
      <c r="G231" s="30"/>
      <c r="H231" s="25"/>
    </row>
    <row r="232" spans="1:8" x14ac:dyDescent="0.25">
      <c r="A232" s="16">
        <f t="shared" si="12"/>
        <v>231</v>
      </c>
      <c r="B232" s="4"/>
      <c r="C232" s="9"/>
      <c r="D232" s="15"/>
      <c r="E232" s="7"/>
      <c r="G232" s="30"/>
      <c r="H232" s="25"/>
    </row>
    <row r="233" spans="1:8" x14ac:dyDescent="0.25">
      <c r="A233" s="16">
        <f t="shared" si="12"/>
        <v>232</v>
      </c>
      <c r="B233" s="4"/>
      <c r="C233" s="9"/>
      <c r="D233" s="15"/>
      <c r="E233" s="7"/>
      <c r="G233" s="30"/>
      <c r="H233" s="25"/>
    </row>
    <row r="234" spans="1:8" x14ac:dyDescent="0.25">
      <c r="A234" s="16">
        <f>A233+1</f>
        <v>233</v>
      </c>
      <c r="B234" s="3"/>
      <c r="C234" s="8"/>
      <c r="D234" s="15"/>
      <c r="E234" s="7"/>
      <c r="G234" s="30"/>
      <c r="H234" s="25"/>
    </row>
    <row r="235" spans="1:8" x14ac:dyDescent="0.25">
      <c r="A235" s="16">
        <f>A234+1</f>
        <v>234</v>
      </c>
      <c r="B235" s="4"/>
      <c r="C235" s="8"/>
      <c r="D235" s="15"/>
      <c r="E235" s="7"/>
      <c r="G235" s="30"/>
      <c r="H235" s="25"/>
    </row>
    <row r="236" spans="1:8" x14ac:dyDescent="0.25">
      <c r="B236" s="4"/>
      <c r="C236" s="8"/>
      <c r="D236" s="15"/>
      <c r="E236" s="7"/>
      <c r="G236" s="30"/>
      <c r="H236" s="25"/>
    </row>
    <row r="237" spans="1:8" x14ac:dyDescent="0.25">
      <c r="B237" s="4"/>
      <c r="C237" s="9"/>
      <c r="D237" s="15"/>
      <c r="E237" s="7"/>
      <c r="G237" s="30"/>
      <c r="H237" s="25"/>
    </row>
    <row r="238" spans="1:8" ht="14.25" customHeight="1" x14ac:dyDescent="0.25">
      <c r="B238" s="4"/>
      <c r="C238" s="9"/>
      <c r="D238" s="15"/>
      <c r="E238" s="7"/>
      <c r="G238" s="30"/>
      <c r="H238" s="25"/>
    </row>
    <row r="239" spans="1:8" x14ac:dyDescent="0.25">
      <c r="B239" s="4"/>
      <c r="C239" s="9"/>
      <c r="D239" s="15"/>
      <c r="E239" s="7"/>
      <c r="G239" s="30"/>
      <c r="H239" s="25"/>
    </row>
    <row r="240" spans="1:8" x14ac:dyDescent="0.25">
      <c r="B240" s="4"/>
      <c r="C240" s="9"/>
      <c r="D240" s="15"/>
      <c r="E240" s="7"/>
      <c r="G240" s="30"/>
      <c r="H240" s="29"/>
    </row>
    <row r="241" spans="2:9" x14ac:dyDescent="0.25">
      <c r="B241" s="4"/>
      <c r="C241" s="8"/>
      <c r="D241" s="15"/>
      <c r="E241" s="7"/>
      <c r="G241" s="30"/>
      <c r="H241" s="25"/>
    </row>
    <row r="242" spans="2:9" x14ac:dyDescent="0.25">
      <c r="B242" s="4"/>
      <c r="C242" s="9"/>
      <c r="D242" s="10"/>
      <c r="E242" s="7"/>
      <c r="G242" s="30"/>
      <c r="H242" s="25"/>
    </row>
    <row r="243" spans="2:9" x14ac:dyDescent="0.25">
      <c r="B243" s="4"/>
      <c r="C243" s="9"/>
      <c r="D243" s="15"/>
      <c r="E243" s="7"/>
      <c r="G243" s="30"/>
      <c r="H243" s="25"/>
    </row>
    <row r="244" spans="2:9" x14ac:dyDescent="0.25">
      <c r="B244" s="4"/>
      <c r="C244" s="9"/>
      <c r="D244" s="15"/>
      <c r="E244" s="7"/>
      <c r="G244" s="30"/>
      <c r="H244" s="25"/>
    </row>
    <row r="245" spans="2:9" x14ac:dyDescent="0.25">
      <c r="B245" s="4"/>
      <c r="C245" s="9"/>
      <c r="D245" s="15"/>
      <c r="E245" s="7"/>
      <c r="G245" s="30"/>
      <c r="H245" s="25"/>
    </row>
    <row r="246" spans="2:9" x14ac:dyDescent="0.25">
      <c r="B246" s="3"/>
      <c r="C246" s="9"/>
      <c r="D246" s="15"/>
      <c r="E246" s="7"/>
      <c r="G246" s="30"/>
      <c r="H246" s="25"/>
    </row>
    <row r="247" spans="2:9" x14ac:dyDescent="0.25">
      <c r="B247" s="4"/>
      <c r="C247" s="8"/>
      <c r="D247" s="15"/>
      <c r="E247" s="7"/>
      <c r="G247" s="30"/>
      <c r="H247" s="25"/>
    </row>
    <row r="248" spans="2:9" x14ac:dyDescent="0.25">
      <c r="B248" s="4"/>
      <c r="C248" s="9"/>
      <c r="D248" s="15"/>
      <c r="E248" s="7"/>
      <c r="G248" s="30"/>
      <c r="H248" s="25"/>
    </row>
    <row r="249" spans="2:9" ht="14.25" customHeight="1" x14ac:dyDescent="0.25">
      <c r="B249" s="4"/>
      <c r="C249" s="9"/>
      <c r="D249" s="15"/>
      <c r="E249" s="7"/>
      <c r="G249" s="30"/>
      <c r="H249" s="25"/>
    </row>
    <row r="250" spans="2:9" x14ac:dyDescent="0.25">
      <c r="B250" s="4"/>
      <c r="C250" s="9"/>
      <c r="D250" s="15"/>
      <c r="E250" s="7"/>
      <c r="G250" s="30"/>
      <c r="H250" s="25"/>
    </row>
    <row r="251" spans="2:9" x14ac:dyDescent="0.25">
      <c r="B251" s="4"/>
      <c r="C251" s="8"/>
      <c r="D251" s="15"/>
      <c r="E251" s="7"/>
      <c r="G251" s="30"/>
      <c r="H251" s="25"/>
      <c r="I251" s="32"/>
    </row>
    <row r="252" spans="2:9" x14ac:dyDescent="0.25">
      <c r="B252" s="4"/>
      <c r="C252" s="8"/>
      <c r="D252" s="15"/>
      <c r="E252" s="7"/>
      <c r="G252" s="30"/>
      <c r="H252" s="25"/>
      <c r="I252" s="31"/>
    </row>
    <row r="253" spans="2:9" x14ac:dyDescent="0.25">
      <c r="B253" s="3"/>
      <c r="C253" s="9"/>
      <c r="D253" s="15"/>
      <c r="E253" s="7"/>
      <c r="G253" s="30"/>
      <c r="H253" s="25"/>
      <c r="I253" s="32"/>
    </row>
    <row r="254" spans="2:9" x14ac:dyDescent="0.25">
      <c r="B254" s="4"/>
      <c r="C254" s="9"/>
      <c r="D254" s="15"/>
      <c r="E254" s="7"/>
      <c r="G254" s="30"/>
      <c r="H254" s="25"/>
      <c r="I254" s="32"/>
    </row>
    <row r="255" spans="2:9" x14ac:dyDescent="0.25">
      <c r="B255" s="4"/>
      <c r="C255" s="9"/>
      <c r="D255" s="15"/>
      <c r="E255" s="7"/>
      <c r="G255" s="30"/>
      <c r="H255" s="25"/>
    </row>
    <row r="256" spans="2:9" x14ac:dyDescent="0.25">
      <c r="B256" s="4"/>
      <c r="C256" s="9"/>
      <c r="D256" s="15"/>
      <c r="E256" s="7"/>
      <c r="G256" s="30"/>
      <c r="H256" s="25"/>
    </row>
    <row r="257" spans="2:9" x14ac:dyDescent="0.25">
      <c r="B257" s="4"/>
      <c r="C257" s="9"/>
      <c r="D257" s="15"/>
      <c r="E257" s="7"/>
      <c r="G257" s="30"/>
      <c r="H257" s="25"/>
      <c r="I257" s="31"/>
    </row>
    <row r="258" spans="2:9" x14ac:dyDescent="0.25">
      <c r="B258" s="4"/>
      <c r="C258" s="9"/>
      <c r="D258" s="15"/>
      <c r="E258" s="7"/>
      <c r="G258" s="30"/>
      <c r="H258" s="25"/>
    </row>
    <row r="259" spans="2:9" x14ac:dyDescent="0.25">
      <c r="B259" s="4"/>
      <c r="C259" s="9"/>
      <c r="D259" s="15"/>
      <c r="E259" s="7"/>
      <c r="G259" s="30"/>
      <c r="H259" s="25"/>
    </row>
    <row r="260" spans="2:9" x14ac:dyDescent="0.25">
      <c r="B260" s="4"/>
      <c r="C260" s="8"/>
      <c r="D260" s="15"/>
      <c r="E260" s="7"/>
      <c r="G260" s="30"/>
      <c r="H260" s="25"/>
    </row>
    <row r="261" spans="2:9" x14ac:dyDescent="0.25">
      <c r="B261" s="4"/>
      <c r="C261" s="9"/>
      <c r="D261" s="15"/>
      <c r="E261" s="7"/>
      <c r="G261" s="30"/>
      <c r="H261" s="25"/>
    </row>
    <row r="262" spans="2:9" x14ac:dyDescent="0.25">
      <c r="B262" s="4"/>
      <c r="C262" s="9"/>
      <c r="D262" s="15"/>
      <c r="E262" s="7"/>
      <c r="G262" s="30"/>
      <c r="H262" s="25"/>
    </row>
    <row r="263" spans="2:9" x14ac:dyDescent="0.25">
      <c r="B263" s="4"/>
      <c r="C263" s="9"/>
      <c r="D263" s="15"/>
      <c r="E263" s="7"/>
      <c r="G263" s="30"/>
      <c r="H263" s="25"/>
    </row>
    <row r="264" spans="2:9" x14ac:dyDescent="0.25">
      <c r="B264" s="4"/>
      <c r="C264" s="9"/>
      <c r="D264" s="15"/>
      <c r="E264" s="7"/>
      <c r="G264" s="30"/>
      <c r="H264" s="25"/>
    </row>
    <row r="265" spans="2:9" x14ac:dyDescent="0.25">
      <c r="B265" s="4"/>
      <c r="C265" s="9"/>
      <c r="D265" s="15"/>
      <c r="E265" s="7"/>
      <c r="G265" s="30"/>
      <c r="H265" s="25"/>
    </row>
    <row r="266" spans="2:9" x14ac:dyDescent="0.25">
      <c r="B266" s="4"/>
      <c r="C266" s="9"/>
      <c r="D266" s="15"/>
      <c r="E266" s="7"/>
      <c r="G266" s="30"/>
      <c r="H266" s="25"/>
    </row>
    <row r="267" spans="2:9" x14ac:dyDescent="0.25">
      <c r="B267" s="4"/>
      <c r="C267" s="9"/>
      <c r="D267" s="15"/>
      <c r="E267" s="7"/>
      <c r="G267" s="30"/>
      <c r="H267" s="25"/>
    </row>
    <row r="268" spans="2:9" x14ac:dyDescent="0.25">
      <c r="B268" s="4"/>
      <c r="C268" s="9"/>
      <c r="D268" s="15"/>
      <c r="E268" s="7"/>
      <c r="G268" s="30"/>
      <c r="H268" s="25"/>
    </row>
    <row r="269" spans="2:9" x14ac:dyDescent="0.25">
      <c r="B269" s="4"/>
      <c r="C269" s="9"/>
      <c r="D269" s="15"/>
      <c r="E269" s="7"/>
      <c r="G269" s="30"/>
      <c r="H269" s="25"/>
    </row>
    <row r="270" spans="2:9" x14ac:dyDescent="0.25">
      <c r="B270" s="4"/>
      <c r="C270" s="9"/>
      <c r="D270" s="15"/>
      <c r="E270" s="7"/>
      <c r="G270" s="30"/>
      <c r="H270" s="25"/>
    </row>
    <row r="271" spans="2:9" x14ac:dyDescent="0.25">
      <c r="B271" s="4"/>
      <c r="C271" s="9"/>
      <c r="D271" s="10"/>
      <c r="E271" s="7"/>
      <c r="G271" s="30"/>
      <c r="H271" s="25"/>
    </row>
    <row r="272" spans="2:9" x14ac:dyDescent="0.25">
      <c r="B272" s="4"/>
      <c r="C272" s="9"/>
      <c r="D272" s="15"/>
      <c r="E272" s="7"/>
      <c r="G272" s="30"/>
      <c r="H272" s="25"/>
    </row>
    <row r="273" spans="2:8" x14ac:dyDescent="0.25">
      <c r="B273" s="4"/>
      <c r="C273" s="9"/>
      <c r="D273" s="15"/>
      <c r="E273" s="7"/>
      <c r="G273" s="30"/>
      <c r="H273" s="25"/>
    </row>
    <row r="274" spans="2:8" x14ac:dyDescent="0.25">
      <c r="B274" s="4"/>
      <c r="C274" s="9"/>
      <c r="D274" s="15"/>
      <c r="E274" s="7"/>
      <c r="G274" s="30"/>
      <c r="H274" s="25"/>
    </row>
    <row r="275" spans="2:8" x14ac:dyDescent="0.25">
      <c r="B275" s="4"/>
      <c r="C275" s="9"/>
      <c r="D275" s="15"/>
      <c r="E275" s="7"/>
      <c r="G275" s="30"/>
      <c r="H275" s="25"/>
    </row>
    <row r="276" spans="2:8" x14ac:dyDescent="0.25">
      <c r="B276" s="4"/>
      <c r="C276" s="9"/>
      <c r="D276" s="15"/>
      <c r="E276" s="7"/>
      <c r="G276" s="30"/>
      <c r="H276" s="25"/>
    </row>
    <row r="277" spans="2:8" x14ac:dyDescent="0.25">
      <c r="B277" s="4"/>
      <c r="C277" s="9"/>
      <c r="D277" s="15"/>
      <c r="E277" s="7"/>
      <c r="G277" s="30"/>
      <c r="H277" s="25"/>
    </row>
    <row r="278" spans="2:8" x14ac:dyDescent="0.25">
      <c r="B278" s="4"/>
      <c r="C278" s="9"/>
      <c r="D278" s="15"/>
      <c r="E278" s="7"/>
      <c r="G278" s="30"/>
      <c r="H278" s="25"/>
    </row>
    <row r="279" spans="2:8" x14ac:dyDescent="0.25">
      <c r="B279" s="4"/>
      <c r="C279" s="9"/>
      <c r="D279" s="15"/>
      <c r="E279" s="7"/>
      <c r="G279" s="30"/>
      <c r="H279" s="25"/>
    </row>
    <row r="280" spans="2:8" x14ac:dyDescent="0.25">
      <c r="B280" s="4"/>
      <c r="C280" s="9"/>
      <c r="D280" s="15"/>
      <c r="E280" s="7"/>
      <c r="G280" s="30"/>
      <c r="H280" s="25"/>
    </row>
    <row r="281" spans="2:8" x14ac:dyDescent="0.25">
      <c r="B281" s="4"/>
      <c r="C281" s="9"/>
      <c r="D281" s="15"/>
      <c r="E281" s="7"/>
      <c r="G281" s="30"/>
      <c r="H281" s="25"/>
    </row>
    <row r="282" spans="2:8" x14ac:dyDescent="0.25">
      <c r="B282" s="4"/>
      <c r="C282" s="9"/>
      <c r="D282" s="15"/>
      <c r="E282" s="7"/>
      <c r="G282" s="30"/>
      <c r="H282" s="25"/>
    </row>
    <row r="283" spans="2:8" x14ac:dyDescent="0.25">
      <c r="B283" s="4"/>
      <c r="C283" s="9"/>
      <c r="D283" s="15"/>
      <c r="E283" s="7"/>
      <c r="G283" s="30"/>
      <c r="H283" s="25"/>
    </row>
    <row r="284" spans="2:8" x14ac:dyDescent="0.25">
      <c r="B284" s="4"/>
      <c r="C284" s="9"/>
      <c r="D284" s="15"/>
      <c r="E284" s="7"/>
      <c r="G284" s="30"/>
      <c r="H284" s="25"/>
    </row>
    <row r="285" spans="2:8" x14ac:dyDescent="0.25">
      <c r="B285" s="4"/>
      <c r="C285" s="9"/>
      <c r="D285" s="15"/>
      <c r="E285" s="7"/>
      <c r="G285" s="30"/>
      <c r="H285" s="25"/>
    </row>
    <row r="286" spans="2:8" x14ac:dyDescent="0.25">
      <c r="B286" s="4"/>
      <c r="C286" s="9"/>
      <c r="D286" s="15"/>
      <c r="E286" s="7"/>
      <c r="G286" s="30"/>
      <c r="H286" s="25"/>
    </row>
    <row r="287" spans="2:8" x14ac:dyDescent="0.25">
      <c r="B287" s="4"/>
      <c r="C287" s="9"/>
      <c r="D287" s="15"/>
      <c r="E287" s="7"/>
      <c r="G287" s="30"/>
      <c r="H287" s="25"/>
    </row>
    <row r="288" spans="2:8" x14ac:dyDescent="0.25">
      <c r="B288" s="4"/>
      <c r="C288" s="9"/>
      <c r="D288" s="15"/>
      <c r="E288" s="7"/>
      <c r="G288" s="30"/>
      <c r="H288" s="25"/>
    </row>
    <row r="289" spans="2:8" x14ac:dyDescent="0.25">
      <c r="B289" s="4"/>
      <c r="C289" s="9"/>
      <c r="D289" s="15"/>
      <c r="E289" s="7"/>
      <c r="G289" s="30"/>
      <c r="H289" s="25"/>
    </row>
    <row r="290" spans="2:8" x14ac:dyDescent="0.25">
      <c r="B290" s="4"/>
      <c r="C290" s="8"/>
      <c r="D290" s="15"/>
      <c r="E290" s="7"/>
      <c r="G290" s="30"/>
      <c r="H290" s="25"/>
    </row>
    <row r="291" spans="2:8" x14ac:dyDescent="0.25">
      <c r="B291" s="4"/>
      <c r="C291" s="9"/>
      <c r="D291" s="15"/>
      <c r="E291" s="7"/>
      <c r="G291" s="30"/>
      <c r="H291" s="25"/>
    </row>
    <row r="292" spans="2:8" x14ac:dyDescent="0.25">
      <c r="B292" s="4"/>
      <c r="C292" s="8"/>
      <c r="D292" s="15"/>
      <c r="E292" s="7"/>
      <c r="G292" s="30"/>
      <c r="H292" s="25"/>
    </row>
    <row r="293" spans="2:8" x14ac:dyDescent="0.25">
      <c r="B293" s="4"/>
      <c r="C293" s="9"/>
      <c r="D293" s="15"/>
      <c r="E293" s="7"/>
      <c r="G293" s="30"/>
      <c r="H293" s="25"/>
    </row>
    <row r="294" spans="2:8" x14ac:dyDescent="0.25">
      <c r="B294" s="4"/>
      <c r="C294" s="9"/>
      <c r="D294" s="15"/>
      <c r="E294" s="7"/>
      <c r="G294" s="30"/>
      <c r="H294" s="25"/>
    </row>
    <row r="295" spans="2:8" x14ac:dyDescent="0.25">
      <c r="B295" s="4"/>
      <c r="C295" s="9"/>
      <c r="D295" s="15"/>
      <c r="E295" s="7"/>
      <c r="G295" s="30"/>
      <c r="H295" s="25"/>
    </row>
    <row r="296" spans="2:8" x14ac:dyDescent="0.25">
      <c r="B296" s="4"/>
      <c r="C296" s="9"/>
      <c r="D296" s="15"/>
      <c r="E296" s="7"/>
      <c r="G296" s="30"/>
      <c r="H296" s="25"/>
    </row>
    <row r="297" spans="2:8" x14ac:dyDescent="0.25">
      <c r="B297" s="4"/>
      <c r="C297" s="9"/>
      <c r="D297" s="15"/>
      <c r="E297" s="7"/>
      <c r="G297" s="30"/>
      <c r="H297" s="25"/>
    </row>
    <row r="298" spans="2:8" x14ac:dyDescent="0.25">
      <c r="B298" s="4"/>
      <c r="C298" s="9"/>
      <c r="D298" s="15"/>
      <c r="E298" s="7"/>
      <c r="G298" s="30"/>
      <c r="H298" s="25"/>
    </row>
    <row r="299" spans="2:8" x14ac:dyDescent="0.25">
      <c r="B299" s="4"/>
      <c r="C299" s="9"/>
      <c r="D299" s="15"/>
      <c r="E299" s="7"/>
      <c r="G299" s="30"/>
      <c r="H299" s="25"/>
    </row>
    <row r="300" spans="2:8" x14ac:dyDescent="0.25">
      <c r="B300" s="4"/>
      <c r="C300" s="8"/>
      <c r="D300" s="15"/>
      <c r="E300" s="7"/>
      <c r="G300" s="30"/>
      <c r="H300" s="25"/>
    </row>
    <row r="301" spans="2:8" x14ac:dyDescent="0.25">
      <c r="B301" s="4"/>
      <c r="C301" s="9"/>
      <c r="D301" s="15"/>
      <c r="E301" s="7"/>
      <c r="G301" s="30"/>
      <c r="H301" s="25"/>
    </row>
    <row r="302" spans="2:8" x14ac:dyDescent="0.25">
      <c r="B302" s="4"/>
      <c r="C302" s="9"/>
      <c r="D302" s="15"/>
      <c r="E302" s="7"/>
      <c r="G302" s="30"/>
      <c r="H302" s="25"/>
    </row>
    <row r="303" spans="2:8" x14ac:dyDescent="0.25">
      <c r="B303" s="4"/>
      <c r="C303" s="9"/>
      <c r="D303" s="15"/>
      <c r="E303" s="7"/>
      <c r="G303" s="30"/>
      <c r="H303" s="25"/>
    </row>
    <row r="304" spans="2:8" x14ac:dyDescent="0.25">
      <c r="B304" s="4"/>
      <c r="C304" s="9"/>
      <c r="D304" s="15"/>
      <c r="E304" s="7"/>
      <c r="G304" s="30"/>
      <c r="H304" s="25"/>
    </row>
    <row r="305" spans="2:8" x14ac:dyDescent="0.25">
      <c r="B305" s="3"/>
      <c r="C305" s="9"/>
      <c r="D305" s="15"/>
      <c r="E305" s="7"/>
      <c r="G305" s="30"/>
      <c r="H305" s="25"/>
    </row>
    <row r="306" spans="2:8" x14ac:dyDescent="0.25">
      <c r="B306" s="4"/>
      <c r="C306" s="9"/>
      <c r="D306" s="15"/>
      <c r="E306" s="7"/>
      <c r="G306" s="30"/>
      <c r="H306" s="25"/>
    </row>
    <row r="307" spans="2:8" x14ac:dyDescent="0.25">
      <c r="B307" s="4"/>
      <c r="C307" s="9"/>
      <c r="D307" s="15"/>
      <c r="E307" s="7"/>
      <c r="G307" s="30"/>
      <c r="H307" s="25"/>
    </row>
    <row r="308" spans="2:8" x14ac:dyDescent="0.25">
      <c r="B308" s="4"/>
      <c r="C308" s="9"/>
      <c r="D308" s="10"/>
      <c r="E308" s="7"/>
      <c r="G308" s="30"/>
      <c r="H308" s="25"/>
    </row>
    <row r="309" spans="2:8" x14ac:dyDescent="0.25">
      <c r="B309" s="3"/>
      <c r="C309" s="9"/>
      <c r="D309" s="15"/>
      <c r="E309" s="7"/>
      <c r="G309" s="30"/>
      <c r="H309" s="25"/>
    </row>
    <row r="310" spans="2:8" x14ac:dyDescent="0.25">
      <c r="B310" s="4"/>
      <c r="C310" s="9"/>
      <c r="D310" s="15"/>
      <c r="E310" s="7"/>
      <c r="G310" s="30"/>
      <c r="H310" s="25"/>
    </row>
    <row r="311" spans="2:8" x14ac:dyDescent="0.25">
      <c r="B311" s="4"/>
      <c r="C311" s="9"/>
      <c r="D311" s="15"/>
      <c r="E311" s="7"/>
      <c r="G311" s="30"/>
      <c r="H311" s="25"/>
    </row>
    <row r="312" spans="2:8" x14ac:dyDescent="0.25">
      <c r="B312" s="4"/>
      <c r="C312" s="9"/>
      <c r="D312" s="15"/>
      <c r="E312" s="7"/>
      <c r="G312" s="30"/>
      <c r="H312" s="25"/>
    </row>
    <row r="313" spans="2:8" x14ac:dyDescent="0.25">
      <c r="B313" s="4"/>
      <c r="C313" s="9"/>
      <c r="D313" s="15"/>
      <c r="E313" s="7"/>
      <c r="G313" s="30"/>
      <c r="H313" s="25"/>
    </row>
    <row r="314" spans="2:8" x14ac:dyDescent="0.25">
      <c r="B314" s="4"/>
      <c r="C314" s="9"/>
      <c r="D314" s="15"/>
      <c r="E314" s="7"/>
      <c r="G314" s="30"/>
      <c r="H314" s="25"/>
    </row>
    <row r="315" spans="2:8" x14ac:dyDescent="0.25">
      <c r="B315" s="4"/>
      <c r="C315" s="9"/>
      <c r="D315" s="15"/>
      <c r="E315" s="7"/>
      <c r="G315" s="30"/>
      <c r="H315" s="25"/>
    </row>
    <row r="316" spans="2:8" x14ac:dyDescent="0.25">
      <c r="B316" s="4"/>
      <c r="C316" s="9"/>
      <c r="D316" s="15"/>
      <c r="E316" s="7"/>
      <c r="G316" s="30"/>
      <c r="H316" s="25"/>
    </row>
    <row r="317" spans="2:8" x14ac:dyDescent="0.25">
      <c r="B317" s="4"/>
      <c r="C317" s="9"/>
      <c r="D317" s="15"/>
      <c r="E317" s="7"/>
      <c r="G317" s="30"/>
      <c r="H317" s="25"/>
    </row>
    <row r="318" spans="2:8" x14ac:dyDescent="0.25">
      <c r="B318" s="4"/>
      <c r="C318" s="9"/>
      <c r="D318" s="15"/>
      <c r="E318" s="7"/>
      <c r="G318" s="30"/>
      <c r="H318" s="25"/>
    </row>
    <row r="319" spans="2:8" x14ac:dyDescent="0.25">
      <c r="B319" s="4"/>
      <c r="C319" s="9"/>
      <c r="D319" s="15"/>
      <c r="E319" s="7"/>
      <c r="G319" s="30"/>
      <c r="H319" s="25"/>
    </row>
    <row r="320" spans="2:8" x14ac:dyDescent="0.25">
      <c r="B320" s="4"/>
      <c r="C320" s="9"/>
      <c r="D320" s="15"/>
      <c r="E320" s="7"/>
      <c r="G320" s="30"/>
      <c r="H320" s="25"/>
    </row>
    <row r="321" spans="2:8" x14ac:dyDescent="0.25">
      <c r="B321" s="4"/>
      <c r="C321" s="9"/>
      <c r="D321" s="15"/>
      <c r="E321" s="7"/>
      <c r="G321" s="30"/>
      <c r="H321" s="25"/>
    </row>
    <row r="322" spans="2:8" x14ac:dyDescent="0.25">
      <c r="B322" s="4"/>
      <c r="C322" s="9"/>
      <c r="D322" s="15"/>
      <c r="E322" s="7"/>
      <c r="G322" s="30"/>
      <c r="H322" s="25"/>
    </row>
    <row r="323" spans="2:8" x14ac:dyDescent="0.25">
      <c r="B323" s="4"/>
      <c r="C323" s="9"/>
      <c r="D323" s="15"/>
      <c r="E323" s="7"/>
      <c r="G323" s="30"/>
      <c r="H323" s="25"/>
    </row>
    <row r="324" spans="2:8" x14ac:dyDescent="0.25">
      <c r="B324" s="4"/>
      <c r="C324" s="9"/>
      <c r="D324" s="15"/>
      <c r="E324" s="7"/>
      <c r="G324" s="30"/>
      <c r="H324" s="25"/>
    </row>
    <row r="325" spans="2:8" x14ac:dyDescent="0.25">
      <c r="B325" s="4"/>
      <c r="C325" s="9"/>
      <c r="D325" s="15"/>
      <c r="E325" s="7"/>
      <c r="G325" s="30"/>
      <c r="H325" s="25"/>
    </row>
    <row r="326" spans="2:8" x14ac:dyDescent="0.25">
      <c r="B326" s="4"/>
      <c r="C326" s="9"/>
      <c r="D326" s="15"/>
      <c r="E326" s="7"/>
      <c r="G326" s="30"/>
      <c r="H326" s="25"/>
    </row>
    <row r="327" spans="2:8" x14ac:dyDescent="0.25">
      <c r="B327" s="4"/>
      <c r="C327" s="9"/>
      <c r="D327" s="15"/>
      <c r="E327" s="7"/>
      <c r="G327" s="30"/>
      <c r="H327" s="25"/>
    </row>
    <row r="328" spans="2:8" x14ac:dyDescent="0.25">
      <c r="B328" s="4"/>
      <c r="C328" s="9"/>
      <c r="D328" s="15"/>
      <c r="E328" s="7"/>
      <c r="G328" s="30"/>
      <c r="H328" s="25"/>
    </row>
    <row r="329" spans="2:8" x14ac:dyDescent="0.25">
      <c r="B329" s="4"/>
      <c r="C329" s="9"/>
      <c r="D329" s="15"/>
      <c r="E329" s="7"/>
      <c r="G329" s="30"/>
      <c r="H329" s="25"/>
    </row>
    <row r="330" spans="2:8" x14ac:dyDescent="0.25">
      <c r="B330" s="4"/>
      <c r="C330" s="9"/>
      <c r="D330" s="15"/>
      <c r="E330" s="7"/>
      <c r="G330" s="30"/>
      <c r="H330" s="25"/>
    </row>
    <row r="331" spans="2:8" x14ac:dyDescent="0.25">
      <c r="B331" s="4"/>
      <c r="C331" s="9"/>
      <c r="D331" s="15"/>
      <c r="E331" s="7"/>
      <c r="G331" s="30"/>
      <c r="H331" s="25"/>
    </row>
    <row r="332" spans="2:8" x14ac:dyDescent="0.25">
      <c r="B332" s="4"/>
      <c r="C332" s="9"/>
      <c r="D332" s="15"/>
      <c r="E332" s="7"/>
      <c r="G332" s="30"/>
      <c r="H332" s="25"/>
    </row>
    <row r="333" spans="2:8" x14ac:dyDescent="0.25">
      <c r="B333" s="4"/>
      <c r="C333" s="9"/>
      <c r="D333" s="15"/>
      <c r="E333" s="7"/>
      <c r="G333" s="30"/>
      <c r="H333" s="25"/>
    </row>
    <row r="334" spans="2:8" x14ac:dyDescent="0.25">
      <c r="B334" s="4"/>
      <c r="C334" s="9"/>
      <c r="D334" s="15"/>
      <c r="E334" s="7"/>
      <c r="G334" s="30"/>
      <c r="H334" s="25"/>
    </row>
    <row r="335" spans="2:8" x14ac:dyDescent="0.25">
      <c r="B335" s="4"/>
      <c r="C335" s="8"/>
      <c r="D335" s="15"/>
      <c r="E335" s="7"/>
      <c r="G335" s="30"/>
      <c r="H335" s="25"/>
    </row>
    <row r="336" spans="2:8" x14ac:dyDescent="0.25">
      <c r="B336" s="4"/>
      <c r="C336" s="9"/>
      <c r="D336" s="15"/>
      <c r="E336" s="7"/>
      <c r="G336" s="30"/>
      <c r="H336" s="25"/>
    </row>
    <row r="337" spans="2:8" x14ac:dyDescent="0.25">
      <c r="B337" s="4"/>
      <c r="C337" s="8"/>
      <c r="D337" s="15"/>
      <c r="E337" s="7"/>
      <c r="G337" s="30"/>
      <c r="H337" s="25"/>
    </row>
    <row r="338" spans="2:8" x14ac:dyDescent="0.25">
      <c r="B338" s="4"/>
      <c r="C338" s="9"/>
      <c r="D338" s="15"/>
      <c r="E338" s="7"/>
      <c r="G338" s="30"/>
      <c r="H338" s="25"/>
    </row>
    <row r="339" spans="2:8" x14ac:dyDescent="0.25">
      <c r="B339" s="4"/>
      <c r="C339" s="9"/>
      <c r="D339" s="15"/>
      <c r="E339" s="7"/>
      <c r="G339" s="30"/>
      <c r="H339" s="25"/>
    </row>
    <row r="340" spans="2:8" x14ac:dyDescent="0.25">
      <c r="B340" s="4"/>
      <c r="C340" s="9"/>
      <c r="D340" s="15"/>
      <c r="E340" s="7"/>
      <c r="G340" s="30"/>
      <c r="H340" s="25"/>
    </row>
    <row r="341" spans="2:8" x14ac:dyDescent="0.25">
      <c r="B341" s="4"/>
      <c r="C341" s="9"/>
      <c r="D341" s="15"/>
      <c r="E341" s="7"/>
      <c r="G341" s="30"/>
      <c r="H341" s="25"/>
    </row>
    <row r="342" spans="2:8" x14ac:dyDescent="0.25">
      <c r="B342" s="4"/>
      <c r="C342" s="9"/>
      <c r="D342" s="15"/>
      <c r="E342" s="7"/>
      <c r="G342" s="30"/>
      <c r="H342" s="25"/>
    </row>
    <row r="343" spans="2:8" x14ac:dyDescent="0.25">
      <c r="B343" s="4"/>
      <c r="C343" s="8"/>
      <c r="D343" s="15"/>
      <c r="E343" s="7"/>
      <c r="G343" s="30"/>
      <c r="H343" s="25"/>
    </row>
    <row r="344" spans="2:8" x14ac:dyDescent="0.25">
      <c r="B344" s="4"/>
      <c r="C344" s="9"/>
      <c r="D344" s="15"/>
      <c r="E344" s="7"/>
      <c r="G344" s="30"/>
      <c r="H344" s="25"/>
    </row>
    <row r="345" spans="2:8" x14ac:dyDescent="0.25">
      <c r="B345" s="3"/>
      <c r="C345" s="8"/>
      <c r="D345" s="15"/>
      <c r="E345" s="7"/>
      <c r="G345" s="30"/>
      <c r="H345" s="25"/>
    </row>
    <row r="346" spans="2:8" x14ac:dyDescent="0.25">
      <c r="B346" s="4"/>
      <c r="C346" s="9"/>
      <c r="D346" s="15"/>
      <c r="E346" s="7"/>
      <c r="G346" s="30"/>
      <c r="H346" s="25"/>
    </row>
    <row r="347" spans="2:8" x14ac:dyDescent="0.25">
      <c r="B347" s="4"/>
      <c r="C347" s="9"/>
      <c r="D347" s="15"/>
      <c r="E347" s="7"/>
      <c r="G347" s="30"/>
      <c r="H347" s="25"/>
    </row>
    <row r="348" spans="2:8" x14ac:dyDescent="0.25">
      <c r="B348" s="4"/>
      <c r="C348" s="9"/>
      <c r="D348" s="15"/>
      <c r="E348" s="7"/>
      <c r="G348" s="30"/>
      <c r="H348" s="25"/>
    </row>
    <row r="349" spans="2:8" x14ac:dyDescent="0.25">
      <c r="B349" s="4"/>
      <c r="C349" s="8"/>
      <c r="D349" s="15"/>
      <c r="E349" s="7"/>
      <c r="G349" s="30"/>
      <c r="H349" s="25"/>
    </row>
    <row r="350" spans="2:8" x14ac:dyDescent="0.25">
      <c r="B350" s="4"/>
      <c r="C350" s="9"/>
      <c r="D350" s="15"/>
      <c r="E350" s="7"/>
      <c r="G350" s="30"/>
      <c r="H350" s="25"/>
    </row>
    <row r="351" spans="2:8" x14ac:dyDescent="0.25">
      <c r="B351" s="4"/>
      <c r="C351" s="9"/>
      <c r="D351" s="15"/>
      <c r="E351" s="7"/>
      <c r="G351" s="30"/>
      <c r="H351" s="25"/>
    </row>
    <row r="352" spans="2:8" x14ac:dyDescent="0.25">
      <c r="B352" s="4"/>
      <c r="C352" s="9"/>
      <c r="D352" s="15"/>
      <c r="E352" s="7"/>
      <c r="G352" s="30"/>
      <c r="H352" s="25"/>
    </row>
    <row r="353" spans="2:8" x14ac:dyDescent="0.25">
      <c r="B353" s="4"/>
      <c r="C353" s="9"/>
      <c r="D353" s="15"/>
      <c r="E353" s="7"/>
      <c r="G353" s="30"/>
      <c r="H353" s="25"/>
    </row>
    <row r="354" spans="2:8" x14ac:dyDescent="0.25">
      <c r="B354" s="4"/>
      <c r="C354" s="8"/>
      <c r="D354" s="15"/>
      <c r="E354" s="7"/>
      <c r="G354" s="30"/>
      <c r="H354" s="25"/>
    </row>
    <row r="355" spans="2:8" x14ac:dyDescent="0.25">
      <c r="B355" s="4"/>
      <c r="C355" s="9"/>
      <c r="D355" s="15"/>
      <c r="E355" s="7"/>
      <c r="G355" s="30"/>
      <c r="H355" s="25"/>
    </row>
    <row r="356" spans="2:8" x14ac:dyDescent="0.25">
      <c r="B356" s="4"/>
      <c r="C356" s="9"/>
      <c r="D356" s="15"/>
      <c r="E356" s="7"/>
      <c r="G356" s="30"/>
      <c r="H356" s="25"/>
    </row>
    <row r="357" spans="2:8" x14ac:dyDescent="0.25">
      <c r="B357" s="4"/>
      <c r="C357" s="8"/>
      <c r="D357" s="15"/>
      <c r="E357" s="7"/>
      <c r="G357" s="30"/>
      <c r="H357" s="25"/>
    </row>
    <row r="358" spans="2:8" x14ac:dyDescent="0.25">
      <c r="B358" s="4"/>
      <c r="C358" s="8"/>
      <c r="D358" s="15"/>
      <c r="E358" s="7"/>
      <c r="G358" s="30"/>
      <c r="H358" s="25"/>
    </row>
    <row r="359" spans="2:8" x14ac:dyDescent="0.25">
      <c r="B359" s="4"/>
      <c r="C359" s="9"/>
      <c r="D359" s="15"/>
      <c r="E359" s="7"/>
      <c r="G359" s="30"/>
      <c r="H359" s="25"/>
    </row>
    <row r="360" spans="2:8" x14ac:dyDescent="0.25">
      <c r="B360" s="4"/>
      <c r="C360" s="8"/>
      <c r="D360" s="15"/>
      <c r="E360" s="7"/>
      <c r="G360" s="30"/>
      <c r="H360" s="25"/>
    </row>
    <row r="361" spans="2:8" x14ac:dyDescent="0.25">
      <c r="B361" s="4"/>
      <c r="C361" s="9"/>
      <c r="D361" s="15"/>
      <c r="E361" s="7"/>
      <c r="G361" s="30"/>
      <c r="H361" s="25"/>
    </row>
    <row r="362" spans="2:8" x14ac:dyDescent="0.25">
      <c r="B362" s="4"/>
      <c r="C362" s="9"/>
      <c r="D362" s="15"/>
      <c r="E362" s="7"/>
      <c r="G362" s="30"/>
      <c r="H362" s="25"/>
    </row>
    <row r="363" spans="2:8" x14ac:dyDescent="0.25">
      <c r="B363" s="4"/>
      <c r="C363" s="9"/>
      <c r="D363" s="15"/>
      <c r="E363" s="7"/>
      <c r="G363" s="30"/>
      <c r="H363" s="25"/>
    </row>
    <row r="364" spans="2:8" x14ac:dyDescent="0.25">
      <c r="B364" s="4"/>
      <c r="C364" s="9"/>
      <c r="D364" s="15"/>
      <c r="E364" s="7"/>
      <c r="G364" s="30"/>
      <c r="H364" s="25"/>
    </row>
    <row r="365" spans="2:8" x14ac:dyDescent="0.25">
      <c r="B365" s="4"/>
      <c r="C365" s="9"/>
      <c r="D365" s="15"/>
      <c r="E365" s="7"/>
      <c r="G365" s="30"/>
      <c r="H365" s="25"/>
    </row>
    <row r="366" spans="2:8" x14ac:dyDescent="0.25">
      <c r="B366" s="3"/>
      <c r="C366" s="8"/>
      <c r="D366" s="15"/>
      <c r="E366" s="7"/>
      <c r="G366" s="30"/>
      <c r="H366" s="25"/>
    </row>
    <row r="367" spans="2:8" x14ac:dyDescent="0.25">
      <c r="B367" s="4"/>
      <c r="C367" s="9"/>
      <c r="D367" s="15"/>
      <c r="E367" s="7"/>
      <c r="G367" s="30"/>
      <c r="H367" s="25"/>
    </row>
    <row r="368" spans="2:8" x14ac:dyDescent="0.25">
      <c r="B368" s="4"/>
      <c r="C368" s="9"/>
      <c r="D368" s="15"/>
      <c r="E368" s="7"/>
      <c r="G368" s="30"/>
      <c r="H368" s="25"/>
    </row>
    <row r="369" spans="2:8" x14ac:dyDescent="0.25">
      <c r="B369" s="4"/>
      <c r="C369" s="9"/>
      <c r="D369" s="15"/>
      <c r="E369" s="7"/>
      <c r="G369" s="30"/>
      <c r="H369" s="25"/>
    </row>
    <row r="370" spans="2:8" x14ac:dyDescent="0.25">
      <c r="B370" s="4"/>
      <c r="C370" s="8"/>
      <c r="D370" s="15"/>
      <c r="E370" s="7"/>
      <c r="G370" s="30"/>
      <c r="H370" s="25"/>
    </row>
    <row r="371" spans="2:8" x14ac:dyDescent="0.25">
      <c r="B371" s="4"/>
      <c r="C371" s="9"/>
      <c r="D371" s="15"/>
      <c r="E371" s="7"/>
      <c r="G371" s="30"/>
      <c r="H371" s="25"/>
    </row>
    <row r="372" spans="2:8" x14ac:dyDescent="0.25">
      <c r="B372" s="4"/>
      <c r="C372" s="9"/>
      <c r="D372" s="15"/>
      <c r="E372" s="7"/>
      <c r="G372" s="30"/>
      <c r="H372" s="25"/>
    </row>
    <row r="373" spans="2:8" x14ac:dyDescent="0.25">
      <c r="B373" s="4"/>
      <c r="C373" s="9"/>
      <c r="D373" s="15"/>
      <c r="E373" s="7"/>
      <c r="G373" s="30"/>
      <c r="H373" s="25"/>
    </row>
    <row r="374" spans="2:8" x14ac:dyDescent="0.25">
      <c r="B374" s="4"/>
      <c r="C374" s="9"/>
      <c r="D374" s="15"/>
      <c r="E374" s="7"/>
      <c r="G374" s="30"/>
      <c r="H374" s="25"/>
    </row>
    <row r="375" spans="2:8" x14ac:dyDescent="0.25">
      <c r="B375" s="4"/>
      <c r="C375" s="9"/>
      <c r="D375" s="15"/>
      <c r="E375" s="7"/>
      <c r="G375" s="30"/>
      <c r="H375" s="25"/>
    </row>
    <row r="376" spans="2:8" x14ac:dyDescent="0.25">
      <c r="B376" s="4"/>
      <c r="C376" s="9"/>
      <c r="D376" s="15"/>
      <c r="E376" s="7"/>
      <c r="G376" s="30"/>
      <c r="H376" s="25"/>
    </row>
    <row r="377" spans="2:8" x14ac:dyDescent="0.25">
      <c r="B377" s="4"/>
      <c r="C377" s="9"/>
      <c r="D377" s="15"/>
      <c r="E377" s="7"/>
      <c r="G377" s="30"/>
      <c r="H377" s="25"/>
    </row>
    <row r="378" spans="2:8" x14ac:dyDescent="0.25">
      <c r="B378" s="4"/>
      <c r="C378" s="8"/>
      <c r="D378" s="15"/>
      <c r="E378" s="7"/>
      <c r="G378" s="30"/>
      <c r="H378" s="25"/>
    </row>
    <row r="379" spans="2:8" x14ac:dyDescent="0.25">
      <c r="B379" s="4"/>
      <c r="C379" s="9"/>
      <c r="D379" s="15"/>
      <c r="E379" s="7"/>
      <c r="G379" s="30"/>
      <c r="H379" s="25"/>
    </row>
    <row r="380" spans="2:8" x14ac:dyDescent="0.25">
      <c r="B380" s="4"/>
      <c r="C380" s="9"/>
      <c r="D380" s="15"/>
      <c r="E380" s="7"/>
      <c r="G380" s="30"/>
      <c r="H380" s="25"/>
    </row>
    <row r="381" spans="2:8" x14ac:dyDescent="0.25">
      <c r="B381" s="4"/>
      <c r="C381" s="9"/>
      <c r="D381" s="15"/>
      <c r="E381" s="7"/>
      <c r="G381" s="30"/>
      <c r="H381" s="25"/>
    </row>
    <row r="382" spans="2:8" x14ac:dyDescent="0.25">
      <c r="B382" s="4"/>
      <c r="C382" s="9"/>
      <c r="D382" s="15"/>
      <c r="E382" s="7"/>
      <c r="G382" s="30"/>
      <c r="H382" s="25"/>
    </row>
    <row r="383" spans="2:8" x14ac:dyDescent="0.25">
      <c r="B383" s="4"/>
      <c r="C383" s="8"/>
      <c r="D383" s="15"/>
      <c r="E383" s="7"/>
      <c r="G383" s="30"/>
      <c r="H383" s="25"/>
    </row>
    <row r="384" spans="2:8" x14ac:dyDescent="0.25">
      <c r="B384" s="4"/>
      <c r="C384" s="9"/>
      <c r="D384" s="15"/>
      <c r="E384" s="7"/>
      <c r="G384" s="30"/>
      <c r="H384" s="25"/>
    </row>
    <row r="385" spans="2:8" x14ac:dyDescent="0.25">
      <c r="B385" s="4"/>
      <c r="C385" s="9"/>
      <c r="D385" s="15"/>
      <c r="E385" s="7"/>
      <c r="G385" s="30"/>
      <c r="H385" s="25"/>
    </row>
    <row r="386" spans="2:8" x14ac:dyDescent="0.25">
      <c r="B386" s="4"/>
      <c r="C386" s="9"/>
      <c r="D386" s="15"/>
      <c r="E386" s="7"/>
      <c r="G386" s="30"/>
      <c r="H386" s="25"/>
    </row>
    <row r="387" spans="2:8" x14ac:dyDescent="0.25">
      <c r="B387" s="4"/>
      <c r="C387" s="9"/>
      <c r="D387" s="15"/>
      <c r="E387" s="7"/>
      <c r="G387" s="30"/>
      <c r="H387" s="25"/>
    </row>
    <row r="388" spans="2:8" x14ac:dyDescent="0.25">
      <c r="B388" s="4"/>
      <c r="C388" s="9"/>
      <c r="D388" s="15"/>
      <c r="E388" s="7"/>
      <c r="G388" s="30"/>
      <c r="H388" s="25"/>
    </row>
    <row r="389" spans="2:8" x14ac:dyDescent="0.25">
      <c r="B389" s="4"/>
      <c r="C389" s="9"/>
      <c r="D389" s="15"/>
      <c r="E389" s="7"/>
      <c r="G389" s="30"/>
      <c r="H389" s="25"/>
    </row>
    <row r="390" spans="2:8" x14ac:dyDescent="0.25">
      <c r="B390" s="4"/>
      <c r="C390" s="8"/>
      <c r="D390" s="15"/>
      <c r="E390" s="7"/>
      <c r="G390" s="30"/>
      <c r="H390" s="25"/>
    </row>
    <row r="391" spans="2:8" x14ac:dyDescent="0.25">
      <c r="B391" s="4"/>
      <c r="C391" s="9"/>
      <c r="D391" s="15"/>
      <c r="E391" s="7"/>
      <c r="G391" s="30"/>
      <c r="H391" s="25"/>
    </row>
    <row r="392" spans="2:8" x14ac:dyDescent="0.25">
      <c r="B392" s="4"/>
      <c r="C392" s="9"/>
      <c r="D392" s="15"/>
      <c r="E392" s="7"/>
      <c r="G392" s="30"/>
      <c r="H392" s="25"/>
    </row>
    <row r="393" spans="2:8" x14ac:dyDescent="0.25">
      <c r="B393" s="4"/>
      <c r="C393" s="9"/>
      <c r="D393" s="15"/>
      <c r="E393" s="7"/>
      <c r="G393" s="30"/>
      <c r="H393" s="25"/>
    </row>
    <row r="394" spans="2:8" x14ac:dyDescent="0.25">
      <c r="B394" s="4"/>
      <c r="C394" s="9"/>
      <c r="D394" s="10"/>
      <c r="E394" s="7"/>
      <c r="G394" s="30"/>
      <c r="H394" s="25"/>
    </row>
    <row r="395" spans="2:8" x14ac:dyDescent="0.25">
      <c r="B395" s="4"/>
      <c r="C395" s="9"/>
      <c r="D395" s="15"/>
      <c r="E395" s="7"/>
      <c r="G395" s="30"/>
      <c r="H395" s="25"/>
    </row>
    <row r="396" spans="2:8" x14ac:dyDescent="0.25">
      <c r="C396" s="9"/>
      <c r="D396" s="15"/>
      <c r="E396" s="7"/>
      <c r="G396" s="30"/>
      <c r="H396" s="25"/>
    </row>
    <row r="397" spans="2:8" ht="13.5" customHeight="1" x14ac:dyDescent="0.25">
      <c r="C397" s="9"/>
      <c r="D397" s="10"/>
      <c r="E397" s="7"/>
      <c r="G397" s="30"/>
      <c r="H397" s="25"/>
    </row>
    <row r="398" spans="2:8" ht="13.5" customHeight="1" x14ac:dyDescent="0.25">
      <c r="C398" s="9"/>
      <c r="D398" s="10"/>
      <c r="E398" s="7"/>
      <c r="G398" s="30"/>
      <c r="H398" s="25"/>
    </row>
    <row r="399" spans="2:8" ht="13.5" customHeight="1" x14ac:dyDescent="0.25">
      <c r="C399" s="8"/>
      <c r="D399" s="15"/>
      <c r="E399" s="7"/>
      <c r="G399" s="30"/>
      <c r="H399" s="25"/>
    </row>
    <row r="400" spans="2:8" ht="13.5" customHeight="1" x14ac:dyDescent="0.25">
      <c r="B400" s="4"/>
      <c r="G400" s="30"/>
      <c r="H400" s="25"/>
    </row>
    <row r="401" spans="2:8" ht="13.5" customHeight="1" x14ac:dyDescent="0.25">
      <c r="B401" s="4"/>
      <c r="G401" s="30"/>
      <c r="H401" s="25"/>
    </row>
    <row r="402" spans="2:8" ht="13.5" customHeight="1" x14ac:dyDescent="0.25">
      <c r="B402" s="4"/>
      <c r="G402" s="30"/>
      <c r="H402" s="25"/>
    </row>
    <row r="403" spans="2:8" ht="13.5" customHeight="1" x14ac:dyDescent="0.25">
      <c r="B403" s="4"/>
      <c r="G403" s="30"/>
      <c r="H403" s="25"/>
    </row>
    <row r="404" spans="2:8" ht="13.5" customHeight="1" x14ac:dyDescent="0.25">
      <c r="B404" s="4"/>
      <c r="C404" s="9"/>
      <c r="D404" s="15"/>
      <c r="E404" s="7"/>
      <c r="G404" s="30"/>
      <c r="H404" s="25"/>
    </row>
    <row r="405" spans="2:8" ht="13.5" customHeight="1" x14ac:dyDescent="0.25">
      <c r="B405" s="4"/>
      <c r="C405" s="9"/>
      <c r="D405" s="10"/>
      <c r="E405" s="7"/>
      <c r="G405" s="30"/>
      <c r="H405" s="25"/>
    </row>
    <row r="406" spans="2:8" ht="13.5" customHeight="1" x14ac:dyDescent="0.25">
      <c r="B406" s="4"/>
      <c r="C406" s="9"/>
      <c r="D406" s="10"/>
      <c r="E406" s="7"/>
      <c r="G406" s="30"/>
      <c r="H406" s="25"/>
    </row>
    <row r="407" spans="2:8" ht="13.5" customHeight="1" x14ac:dyDescent="0.25">
      <c r="B407" s="4"/>
      <c r="C407" s="8"/>
      <c r="D407" s="10"/>
      <c r="E407" s="7"/>
      <c r="G407" s="30"/>
      <c r="H407" s="25"/>
    </row>
    <row r="408" spans="2:8" ht="13.5" customHeight="1" x14ac:dyDescent="0.25">
      <c r="B408" s="4"/>
      <c r="C408" s="8"/>
      <c r="D408" s="15"/>
      <c r="E408" s="7"/>
      <c r="G408" s="30"/>
      <c r="H408" s="25"/>
    </row>
    <row r="409" spans="2:8" ht="13.5" customHeight="1" x14ac:dyDescent="0.25">
      <c r="B409" s="4"/>
      <c r="C409" s="8"/>
      <c r="D409" s="10"/>
      <c r="E409" s="7"/>
      <c r="G409" s="30"/>
      <c r="H409" s="25"/>
    </row>
    <row r="410" spans="2:8" ht="13.5" customHeight="1" x14ac:dyDescent="0.25">
      <c r="B410" s="4"/>
      <c r="C410" s="8"/>
      <c r="D410" s="10"/>
      <c r="E410" s="7"/>
      <c r="G410" s="30"/>
      <c r="H410" s="25"/>
    </row>
    <row r="411" spans="2:8" ht="13.5" customHeight="1" x14ac:dyDescent="0.25">
      <c r="B411" s="4"/>
      <c r="C411" s="9"/>
      <c r="D411" s="10"/>
      <c r="E411" s="7"/>
      <c r="H411" s="25"/>
    </row>
    <row r="412" spans="2:8" ht="13.5" customHeight="1" x14ac:dyDescent="0.25">
      <c r="B412" s="4"/>
      <c r="C412" s="9"/>
      <c r="D412" s="15"/>
      <c r="E412" s="7"/>
      <c r="H412" s="25"/>
    </row>
    <row r="413" spans="2:8" ht="13.5" customHeight="1" x14ac:dyDescent="0.25">
      <c r="B413" s="4"/>
      <c r="C413" s="8"/>
      <c r="D413" s="15"/>
      <c r="E413" s="7"/>
      <c r="H413" s="25"/>
    </row>
    <row r="414" spans="2:8" ht="13.5" customHeight="1" x14ac:dyDescent="0.25">
      <c r="B414" s="4"/>
      <c r="C414" s="8"/>
      <c r="D414" s="10"/>
      <c r="E414" s="7"/>
      <c r="H414" s="25"/>
    </row>
    <row r="415" spans="2:8" ht="13.5" customHeight="1" x14ac:dyDescent="0.25">
      <c r="B415" s="4"/>
      <c r="C415" s="9"/>
      <c r="D415" s="10"/>
      <c r="E415" s="7"/>
      <c r="H415" s="25"/>
    </row>
    <row r="416" spans="2:8" ht="13.5" customHeight="1" x14ac:dyDescent="0.25">
      <c r="B416" s="4"/>
      <c r="C416" s="9"/>
      <c r="D416" s="15"/>
      <c r="E416" s="7"/>
      <c r="H416" s="25"/>
    </row>
    <row r="417" spans="2:8" ht="13.5" customHeight="1" x14ac:dyDescent="0.25">
      <c r="B417" s="4"/>
      <c r="C417" s="9"/>
      <c r="D417" s="10"/>
      <c r="E417" s="7"/>
      <c r="H417" s="25"/>
    </row>
    <row r="418" spans="2:8" ht="13.5" customHeight="1" x14ac:dyDescent="0.25">
      <c r="B418" s="4"/>
      <c r="C418" s="9"/>
      <c r="D418" s="15"/>
      <c r="E418" s="7"/>
      <c r="H418" s="25"/>
    </row>
    <row r="419" spans="2:8" ht="13.5" customHeight="1" x14ac:dyDescent="0.25">
      <c r="B419" s="4"/>
      <c r="C419" s="9"/>
      <c r="D419" s="10"/>
      <c r="E419" s="7"/>
      <c r="H419" s="25"/>
    </row>
    <row r="420" spans="2:8" x14ac:dyDescent="0.25">
      <c r="B420" s="4"/>
      <c r="C420" s="8"/>
      <c r="D420" s="15"/>
      <c r="E420" s="7"/>
      <c r="H420" s="25"/>
    </row>
    <row r="421" spans="2:8" x14ac:dyDescent="0.25">
      <c r="B421" s="4"/>
      <c r="C421" s="9"/>
      <c r="D421" s="15"/>
      <c r="E421" s="7"/>
      <c r="H421" s="25"/>
    </row>
    <row r="422" spans="2:8" x14ac:dyDescent="0.25">
      <c r="B422" s="4"/>
      <c r="C422" s="9"/>
      <c r="D422" s="10"/>
      <c r="E422" s="7"/>
      <c r="H422" s="25"/>
    </row>
    <row r="423" spans="2:8" x14ac:dyDescent="0.25">
      <c r="B423" s="4"/>
      <c r="C423" s="9"/>
      <c r="D423" s="15"/>
      <c r="E423" s="7"/>
      <c r="H423" s="25"/>
    </row>
    <row r="424" spans="2:8" x14ac:dyDescent="0.25">
      <c r="B424" s="4"/>
      <c r="C424" s="9"/>
      <c r="D424" s="15"/>
      <c r="E424" s="7"/>
      <c r="H424" s="25"/>
    </row>
    <row r="425" spans="2:8" x14ac:dyDescent="0.25">
      <c r="B425" s="4"/>
      <c r="C425" s="9"/>
      <c r="D425" s="10"/>
      <c r="E425" s="7"/>
      <c r="H425" s="25"/>
    </row>
    <row r="426" spans="2:8" x14ac:dyDescent="0.25">
      <c r="B426" s="4"/>
      <c r="C426" s="9"/>
      <c r="D426" s="15"/>
      <c r="E426" s="7"/>
      <c r="H426" s="25"/>
    </row>
    <row r="427" spans="2:8" x14ac:dyDescent="0.25">
      <c r="B427" s="4"/>
      <c r="C427" s="9"/>
      <c r="D427" s="10"/>
      <c r="E427" s="7"/>
      <c r="H427" s="25"/>
    </row>
    <row r="428" spans="2:8" x14ac:dyDescent="0.25">
      <c r="B428" s="4"/>
      <c r="C428" s="9"/>
      <c r="D428" s="10"/>
      <c r="E428" s="7"/>
      <c r="H428" s="25"/>
    </row>
    <row r="429" spans="2:8" x14ac:dyDescent="0.25">
      <c r="B429" s="4"/>
      <c r="C429" s="9"/>
      <c r="D429" s="15"/>
      <c r="E429" s="7"/>
      <c r="H429" s="25"/>
    </row>
    <row r="430" spans="2:8" x14ac:dyDescent="0.25">
      <c r="B430" s="4"/>
      <c r="C430" s="9"/>
      <c r="D430" s="10"/>
      <c r="E430" s="7"/>
      <c r="H430" s="25"/>
    </row>
    <row r="431" spans="2:8" x14ac:dyDescent="0.25">
      <c r="B431" s="4"/>
      <c r="C431" s="8"/>
      <c r="D431" s="10"/>
      <c r="E431" s="7"/>
      <c r="H431" s="25"/>
    </row>
    <row r="432" spans="2:8" x14ac:dyDescent="0.25">
      <c r="B432" s="4"/>
      <c r="C432" s="8"/>
      <c r="D432" s="10"/>
      <c r="E432" s="7"/>
      <c r="H432" s="25"/>
    </row>
    <row r="433" spans="1:8" x14ac:dyDescent="0.25">
      <c r="A433" s="13"/>
      <c r="B433" s="4"/>
      <c r="C433" s="8"/>
      <c r="D433" s="10"/>
      <c r="E433" s="7"/>
      <c r="H433" s="25"/>
    </row>
    <row r="434" spans="1:8" x14ac:dyDescent="0.25">
      <c r="A434" s="13"/>
      <c r="B434" s="4"/>
      <c r="C434" s="9"/>
      <c r="D434" s="10"/>
      <c r="E434" s="7"/>
      <c r="H434" s="25"/>
    </row>
    <row r="435" spans="1:8" x14ac:dyDescent="0.25">
      <c r="A435" s="13"/>
      <c r="B435" s="4"/>
      <c r="C435" s="9"/>
      <c r="D435" s="15"/>
      <c r="E435" s="7"/>
      <c r="H435" s="25"/>
    </row>
    <row r="436" spans="1:8" x14ac:dyDescent="0.25">
      <c r="A436" s="13"/>
      <c r="B436" s="4"/>
      <c r="C436" s="8"/>
      <c r="D436" s="15"/>
      <c r="E436" s="7"/>
      <c r="H436" s="25"/>
    </row>
    <row r="437" spans="1:8" x14ac:dyDescent="0.25">
      <c r="A437" s="13"/>
      <c r="B437" s="4"/>
      <c r="C437" s="9"/>
      <c r="D437" s="10"/>
      <c r="E437" s="7"/>
      <c r="H437" s="25"/>
    </row>
    <row r="438" spans="1:8" x14ac:dyDescent="0.25">
      <c r="A438" s="13"/>
      <c r="B438" s="4"/>
      <c r="C438" s="9"/>
      <c r="D438" s="10"/>
      <c r="E438" s="7"/>
      <c r="H438" s="25"/>
    </row>
    <row r="439" spans="1:8" x14ac:dyDescent="0.25">
      <c r="A439" s="13"/>
      <c r="B439" s="4"/>
      <c r="C439" s="9"/>
      <c r="D439" s="10"/>
      <c r="E439" s="7"/>
      <c r="H439" s="25"/>
    </row>
    <row r="440" spans="1:8" x14ac:dyDescent="0.25">
      <c r="A440" s="13"/>
      <c r="B440" s="4"/>
      <c r="C440" s="9"/>
      <c r="D440" s="15"/>
      <c r="E440" s="7"/>
      <c r="H440" s="25"/>
    </row>
    <row r="441" spans="1:8" x14ac:dyDescent="0.25">
      <c r="A441" s="13"/>
      <c r="B441" s="4"/>
      <c r="C441" s="9"/>
      <c r="D441" s="15"/>
      <c r="E441" s="7"/>
      <c r="H441" s="25"/>
    </row>
    <row r="442" spans="1:8" x14ac:dyDescent="0.25">
      <c r="A442" s="13"/>
      <c r="B442" s="4"/>
      <c r="C442" s="8"/>
      <c r="D442" s="15"/>
      <c r="E442" s="7"/>
      <c r="H442" s="25"/>
    </row>
    <row r="443" spans="1:8" x14ac:dyDescent="0.25">
      <c r="A443" s="13"/>
      <c r="B443" s="4"/>
      <c r="C443" s="9"/>
      <c r="D443" s="10"/>
      <c r="E443" s="7"/>
      <c r="H443" s="25"/>
    </row>
    <row r="444" spans="1:8" x14ac:dyDescent="0.25">
      <c r="A444" s="13"/>
      <c r="B444" s="4"/>
      <c r="C444" s="9"/>
      <c r="D444" s="10"/>
      <c r="E444" s="7"/>
      <c r="H444" s="25"/>
    </row>
    <row r="445" spans="1:8" x14ac:dyDescent="0.25">
      <c r="A445" s="13"/>
      <c r="B445" s="4"/>
      <c r="C445" s="9"/>
      <c r="D445" s="10"/>
      <c r="E445" s="7"/>
      <c r="H445" s="25"/>
    </row>
    <row r="446" spans="1:8" x14ac:dyDescent="0.25">
      <c r="A446" s="13"/>
      <c r="B446" s="4"/>
      <c r="C446" s="9"/>
      <c r="D446" s="10"/>
      <c r="E446" s="7"/>
      <c r="H446" s="25"/>
    </row>
    <row r="447" spans="1:8" x14ac:dyDescent="0.25">
      <c r="A447" s="13"/>
      <c r="B447" s="4"/>
      <c r="C447" s="9"/>
      <c r="D447" s="10"/>
      <c r="E447" s="7"/>
      <c r="H447" s="25"/>
    </row>
    <row r="448" spans="1:8" x14ac:dyDescent="0.25">
      <c r="A448" s="13"/>
      <c r="B448" s="4"/>
      <c r="C448" s="9"/>
      <c r="D448" s="10"/>
      <c r="E448" s="7"/>
      <c r="H448" s="25"/>
    </row>
    <row r="449" spans="1:8" x14ac:dyDescent="0.25">
      <c r="A449" s="13"/>
      <c r="B449" s="4"/>
      <c r="C449" s="9"/>
      <c r="D449" s="15"/>
      <c r="E449" s="7"/>
      <c r="H449" s="25"/>
    </row>
    <row r="450" spans="1:8" x14ac:dyDescent="0.25">
      <c r="A450" s="13"/>
      <c r="B450" s="4"/>
      <c r="C450" s="9"/>
      <c r="D450" s="10"/>
      <c r="E450" s="7"/>
      <c r="H450" s="25"/>
    </row>
    <row r="451" spans="1:8" x14ac:dyDescent="0.25">
      <c r="A451" s="13"/>
      <c r="B451" s="4"/>
      <c r="C451" s="9"/>
      <c r="D451" s="10"/>
      <c r="E451" s="7"/>
      <c r="H451" s="25"/>
    </row>
    <row r="452" spans="1:8" x14ac:dyDescent="0.25">
      <c r="A452" s="13"/>
      <c r="B452" s="4"/>
      <c r="C452" s="8"/>
      <c r="D452" s="15"/>
      <c r="E452" s="7"/>
      <c r="H452" s="25"/>
    </row>
    <row r="453" spans="1:8" x14ac:dyDescent="0.25">
      <c r="A453" s="13"/>
      <c r="B453" s="4"/>
      <c r="C453" s="9"/>
      <c r="D453" s="10"/>
      <c r="E453" s="7"/>
      <c r="H453" s="25"/>
    </row>
    <row r="454" spans="1:8" x14ac:dyDescent="0.25">
      <c r="A454" s="13"/>
      <c r="B454" s="4"/>
      <c r="C454" s="9"/>
      <c r="D454" s="10"/>
      <c r="E454" s="7"/>
      <c r="H454" s="25"/>
    </row>
    <row r="455" spans="1:8" x14ac:dyDescent="0.25">
      <c r="A455" s="13"/>
      <c r="B455" s="4"/>
      <c r="C455" s="8"/>
      <c r="D455" s="10"/>
      <c r="E455" s="7"/>
      <c r="H455" s="25"/>
    </row>
    <row r="456" spans="1:8" x14ac:dyDescent="0.25">
      <c r="A456" s="13"/>
      <c r="B456" s="4"/>
      <c r="C456" s="8"/>
      <c r="D456" s="10"/>
      <c r="E456" s="7"/>
      <c r="H456" s="25"/>
    </row>
    <row r="457" spans="1:8" x14ac:dyDescent="0.25">
      <c r="A457" s="13"/>
      <c r="B457" s="4"/>
      <c r="C457" s="9"/>
      <c r="D457" s="10"/>
      <c r="E457" s="7"/>
      <c r="H457" s="25"/>
    </row>
    <row r="458" spans="1:8" x14ac:dyDescent="0.25">
      <c r="A458" s="13"/>
      <c r="B458" s="4"/>
      <c r="C458" s="9"/>
      <c r="D458" s="10"/>
      <c r="E458" s="7"/>
      <c r="H458" s="25"/>
    </row>
    <row r="459" spans="1:8" x14ac:dyDescent="0.25">
      <c r="A459" s="13"/>
      <c r="B459" s="4"/>
      <c r="C459" s="9"/>
      <c r="D459" s="10"/>
      <c r="E459" s="7"/>
      <c r="H459" s="25"/>
    </row>
    <row r="460" spans="1:8" x14ac:dyDescent="0.25">
      <c r="A460" s="13"/>
      <c r="B460" s="4"/>
      <c r="C460" s="9"/>
      <c r="D460" s="10"/>
      <c r="E460" s="7"/>
      <c r="H460" s="25"/>
    </row>
    <row r="461" spans="1:8" x14ac:dyDescent="0.25">
      <c r="A461" s="13"/>
      <c r="B461" s="4"/>
      <c r="C461" s="8"/>
      <c r="D461" s="10"/>
      <c r="E461" s="7"/>
      <c r="H461" s="25"/>
    </row>
    <row r="462" spans="1:8" x14ac:dyDescent="0.25">
      <c r="A462" s="13"/>
      <c r="B462" s="4"/>
      <c r="C462" s="9"/>
      <c r="D462" s="10"/>
      <c r="E462" s="7"/>
      <c r="H462" s="25"/>
    </row>
    <row r="463" spans="1:8" x14ac:dyDescent="0.25">
      <c r="A463" s="13"/>
      <c r="B463" s="4"/>
      <c r="C463" s="9"/>
      <c r="D463" s="15"/>
      <c r="E463" s="7"/>
      <c r="H463" s="25"/>
    </row>
    <row r="464" spans="1:8" x14ac:dyDescent="0.25">
      <c r="A464" s="13"/>
      <c r="B464" s="4"/>
      <c r="C464" s="8"/>
      <c r="D464" s="15"/>
      <c r="E464" s="7"/>
      <c r="H464" s="25"/>
    </row>
    <row r="465" spans="1:8" x14ac:dyDescent="0.25">
      <c r="A465" s="13"/>
      <c r="B465" s="4"/>
      <c r="C465" s="9"/>
      <c r="D465" s="10"/>
      <c r="E465" s="7"/>
      <c r="H465" s="25"/>
    </row>
    <row r="466" spans="1:8" x14ac:dyDescent="0.25">
      <c r="A466" s="13"/>
      <c r="B466" s="4"/>
      <c r="C466" s="9"/>
      <c r="D466" s="10"/>
      <c r="E466" s="7"/>
      <c r="H466" s="25"/>
    </row>
    <row r="467" spans="1:8" x14ac:dyDescent="0.25">
      <c r="A467" s="13"/>
      <c r="B467" s="4"/>
      <c r="C467" s="8"/>
      <c r="D467" s="10"/>
      <c r="E467" s="7"/>
      <c r="H467" s="25"/>
    </row>
    <row r="468" spans="1:8" x14ac:dyDescent="0.25">
      <c r="A468" s="13"/>
      <c r="B468" s="4"/>
      <c r="C468" s="9"/>
      <c r="D468" s="10"/>
      <c r="E468" s="7"/>
      <c r="H468" s="25"/>
    </row>
    <row r="469" spans="1:8" x14ac:dyDescent="0.25">
      <c r="A469" s="13"/>
      <c r="B469" s="4"/>
      <c r="C469" s="9"/>
      <c r="D469" s="10"/>
      <c r="E469" s="7"/>
      <c r="H469" s="25"/>
    </row>
    <row r="470" spans="1:8" x14ac:dyDescent="0.25">
      <c r="A470" s="13"/>
      <c r="B470" s="4"/>
      <c r="C470" s="8"/>
      <c r="D470" s="15"/>
      <c r="E470" s="7"/>
      <c r="H470" s="25"/>
    </row>
    <row r="471" spans="1:8" x14ac:dyDescent="0.25">
      <c r="A471" s="13"/>
      <c r="B471" s="4"/>
      <c r="C471" s="9"/>
      <c r="D471" s="15"/>
      <c r="E471" s="7"/>
      <c r="H471" s="25"/>
    </row>
    <row r="472" spans="1:8" x14ac:dyDescent="0.25">
      <c r="A472" s="13"/>
      <c r="B472" s="4"/>
      <c r="C472" s="9"/>
      <c r="D472" s="10"/>
      <c r="E472" s="7"/>
      <c r="H472" s="25"/>
    </row>
    <row r="473" spans="1:8" x14ac:dyDescent="0.25">
      <c r="A473" s="13"/>
      <c r="B473" s="4"/>
      <c r="C473" s="9"/>
      <c r="D473" s="15"/>
      <c r="E473" s="7"/>
      <c r="H473" s="25"/>
    </row>
    <row r="474" spans="1:8" x14ac:dyDescent="0.25">
      <c r="A474" s="13"/>
      <c r="B474" s="4"/>
      <c r="C474" s="8"/>
      <c r="D474" s="10"/>
      <c r="E474" s="7"/>
      <c r="H474" s="25"/>
    </row>
    <row r="475" spans="1:8" x14ac:dyDescent="0.25">
      <c r="A475" s="13"/>
      <c r="B475" s="4"/>
      <c r="C475" s="9"/>
      <c r="D475" s="15"/>
      <c r="E475" s="7"/>
      <c r="H475" s="25"/>
    </row>
    <row r="476" spans="1:8" x14ac:dyDescent="0.25">
      <c r="A476" s="13"/>
      <c r="B476" s="4"/>
      <c r="C476" s="9"/>
      <c r="D476" s="10"/>
      <c r="E476" s="7"/>
      <c r="H476" s="25"/>
    </row>
    <row r="477" spans="1:8" x14ac:dyDescent="0.25">
      <c r="A477" s="13"/>
      <c r="B477" s="4"/>
      <c r="C477" s="9"/>
      <c r="D477" s="15"/>
      <c r="E477" s="7"/>
      <c r="H477" s="25"/>
    </row>
    <row r="478" spans="1:8" x14ac:dyDescent="0.25">
      <c r="A478" s="13"/>
      <c r="B478" s="4"/>
      <c r="C478" s="9"/>
      <c r="D478" s="10"/>
      <c r="E478" s="7"/>
      <c r="H478" s="25"/>
    </row>
    <row r="479" spans="1:8" x14ac:dyDescent="0.25">
      <c r="A479" s="13"/>
      <c r="B479" s="4"/>
      <c r="C479" s="9"/>
      <c r="D479" s="10"/>
      <c r="E479" s="7"/>
      <c r="H479" s="25"/>
    </row>
    <row r="480" spans="1:8" x14ac:dyDescent="0.25">
      <c r="A480" s="13"/>
      <c r="B480" s="4"/>
      <c r="C480" s="9"/>
      <c r="D480" s="15"/>
      <c r="E480" s="7"/>
      <c r="H480" s="25"/>
    </row>
    <row r="481" spans="1:8" x14ac:dyDescent="0.25">
      <c r="A481" s="13"/>
      <c r="B481" s="4"/>
      <c r="C481" s="9"/>
      <c r="D481" s="15"/>
      <c r="E481" s="7"/>
      <c r="H481" s="25"/>
    </row>
    <row r="482" spans="1:8" x14ac:dyDescent="0.25">
      <c r="A482" s="13"/>
      <c r="B482" s="4"/>
      <c r="C482" s="9"/>
      <c r="D482" s="15"/>
      <c r="E482" s="7"/>
      <c r="H482" s="25"/>
    </row>
    <row r="483" spans="1:8" x14ac:dyDescent="0.25">
      <c r="A483" s="13"/>
      <c r="B483" s="4"/>
      <c r="C483" s="9"/>
      <c r="D483" s="15"/>
      <c r="E483" s="7"/>
      <c r="H483" s="25"/>
    </row>
    <row r="484" spans="1:8" x14ac:dyDescent="0.25">
      <c r="A484" s="13"/>
      <c r="B484" s="4"/>
      <c r="C484" s="8"/>
      <c r="D484" s="10"/>
      <c r="E484" s="7"/>
      <c r="H484" s="25"/>
    </row>
    <row r="485" spans="1:8" x14ac:dyDescent="0.25">
      <c r="A485" s="13"/>
      <c r="B485" s="4"/>
      <c r="C485" s="9"/>
      <c r="D485" s="15"/>
      <c r="E485" s="7"/>
      <c r="H485" s="25"/>
    </row>
    <row r="486" spans="1:8" x14ac:dyDescent="0.25">
      <c r="A486" s="13"/>
      <c r="B486" s="4"/>
      <c r="C486" s="9"/>
      <c r="D486" s="15"/>
      <c r="E486" s="7"/>
      <c r="H486" s="25"/>
    </row>
    <row r="487" spans="1:8" x14ac:dyDescent="0.25">
      <c r="A487" s="13"/>
      <c r="B487" s="4"/>
      <c r="C487" s="9"/>
      <c r="D487" s="10"/>
      <c r="E487" s="7"/>
      <c r="H487" s="25"/>
    </row>
    <row r="488" spans="1:8" x14ac:dyDescent="0.25">
      <c r="A488" s="13"/>
      <c r="B488" s="4"/>
      <c r="C488" s="9"/>
      <c r="D488" s="15"/>
      <c r="E488" s="7"/>
      <c r="H488" s="25"/>
    </row>
    <row r="489" spans="1:8" x14ac:dyDescent="0.25">
      <c r="A489" s="13"/>
      <c r="B489" s="4"/>
      <c r="C489" s="8"/>
      <c r="D489" s="15"/>
      <c r="E489" s="7"/>
      <c r="H489" s="25"/>
    </row>
    <row r="490" spans="1:8" x14ac:dyDescent="0.25">
      <c r="A490" s="13"/>
      <c r="B490" s="4"/>
      <c r="C490" s="9"/>
      <c r="D490" s="10"/>
      <c r="E490" s="7"/>
      <c r="H490" s="25"/>
    </row>
    <row r="491" spans="1:8" x14ac:dyDescent="0.25">
      <c r="A491" s="13"/>
      <c r="B491" s="4"/>
      <c r="C491" s="9"/>
      <c r="D491" s="10"/>
      <c r="E491" s="7"/>
      <c r="H491" s="25"/>
    </row>
    <row r="492" spans="1:8" x14ac:dyDescent="0.25">
      <c r="A492" s="13"/>
      <c r="B492" s="4"/>
      <c r="C492" s="9"/>
      <c r="D492" s="10"/>
      <c r="E492" s="7"/>
      <c r="H492" s="25"/>
    </row>
    <row r="493" spans="1:8" x14ac:dyDescent="0.25">
      <c r="A493" s="13"/>
      <c r="B493" s="4"/>
      <c r="C493" s="8"/>
      <c r="D493" s="15"/>
      <c r="E493" s="7"/>
      <c r="H493" s="25"/>
    </row>
    <row r="494" spans="1:8" x14ac:dyDescent="0.25">
      <c r="A494" s="13"/>
      <c r="B494" s="4"/>
      <c r="C494" s="9"/>
      <c r="D494" s="10"/>
      <c r="E494" s="7"/>
      <c r="H494" s="25"/>
    </row>
    <row r="495" spans="1:8" x14ac:dyDescent="0.25">
      <c r="A495" s="13"/>
      <c r="B495" s="4"/>
      <c r="C495" s="9"/>
      <c r="D495" s="15"/>
      <c r="E495" s="7"/>
      <c r="H495" s="25"/>
    </row>
    <row r="496" spans="1:8" x14ac:dyDescent="0.25">
      <c r="A496" s="13"/>
      <c r="B496" s="4"/>
      <c r="C496" s="9"/>
      <c r="D496" s="10"/>
      <c r="E496" s="7"/>
      <c r="H496" s="25"/>
    </row>
    <row r="497" spans="1:8" x14ac:dyDescent="0.25">
      <c r="A497" s="13"/>
      <c r="B497" s="4"/>
      <c r="C497" s="9"/>
      <c r="D497" s="10"/>
      <c r="E497" s="7"/>
      <c r="H497" s="25"/>
    </row>
    <row r="498" spans="1:8" x14ac:dyDescent="0.25">
      <c r="A498" s="13"/>
      <c r="B498" s="4"/>
      <c r="C498" s="9"/>
      <c r="D498" s="10"/>
      <c r="E498" s="7"/>
      <c r="H498" s="25"/>
    </row>
    <row r="499" spans="1:8" x14ac:dyDescent="0.25">
      <c r="A499" s="13"/>
      <c r="B499" s="4"/>
      <c r="C499" s="9"/>
      <c r="D499" s="15"/>
      <c r="E499" s="7"/>
      <c r="H499" s="25"/>
    </row>
    <row r="500" spans="1:8" x14ac:dyDescent="0.25">
      <c r="A500" s="13"/>
      <c r="B500" s="4"/>
      <c r="C500" s="9"/>
      <c r="D500" s="10"/>
      <c r="E500" s="7"/>
      <c r="H500" s="25"/>
    </row>
    <row r="501" spans="1:8" x14ac:dyDescent="0.25">
      <c r="A501" s="13"/>
      <c r="B501" s="4"/>
      <c r="C501" s="9"/>
      <c r="D501" s="10"/>
      <c r="E501" s="7"/>
      <c r="H501" s="25"/>
    </row>
    <row r="502" spans="1:8" x14ac:dyDescent="0.25">
      <c r="A502" s="13"/>
      <c r="C502" s="9"/>
      <c r="D502" s="10"/>
      <c r="E502" s="7"/>
      <c r="H502" s="25"/>
    </row>
    <row r="503" spans="1:8" x14ac:dyDescent="0.25">
      <c r="A503" s="13"/>
      <c r="C503" s="8"/>
      <c r="D503" s="10"/>
      <c r="E503" s="7"/>
      <c r="H503" s="25"/>
    </row>
    <row r="504" spans="1:8" x14ac:dyDescent="0.25">
      <c r="A504" s="13"/>
      <c r="C504" s="9"/>
      <c r="D504" s="15"/>
      <c r="E504" s="7"/>
      <c r="H504" s="25"/>
    </row>
    <row r="505" spans="1:8" x14ac:dyDescent="0.25">
      <c r="A505" s="13"/>
      <c r="C505" s="9"/>
      <c r="D505" s="10"/>
      <c r="E505" s="7"/>
      <c r="H505" s="25"/>
    </row>
    <row r="506" spans="1:8" x14ac:dyDescent="0.25">
      <c r="A506" s="13"/>
      <c r="H506" s="25"/>
    </row>
    <row r="507" spans="1:8" x14ac:dyDescent="0.25">
      <c r="A507" s="13"/>
      <c r="H507" s="25"/>
    </row>
    <row r="508" spans="1:8" x14ac:dyDescent="0.25">
      <c r="A508" s="13"/>
      <c r="H508" s="25"/>
    </row>
    <row r="509" spans="1:8" x14ac:dyDescent="0.25">
      <c r="A509" s="13"/>
      <c r="H509" s="25"/>
    </row>
    <row r="510" spans="1:8" x14ac:dyDescent="0.25">
      <c r="A510" s="13"/>
      <c r="H510" s="25"/>
    </row>
    <row r="511" spans="1:8" x14ac:dyDescent="0.25">
      <c r="A511" s="13"/>
      <c r="H511" s="25"/>
    </row>
    <row r="512" spans="1:8" x14ac:dyDescent="0.25">
      <c r="A512" s="13"/>
      <c r="H512" s="25"/>
    </row>
    <row r="513" spans="1:8" x14ac:dyDescent="0.25">
      <c r="A513" s="13"/>
      <c r="H513" s="25"/>
    </row>
    <row r="514" spans="1:8" x14ac:dyDescent="0.25">
      <c r="A514" s="13"/>
      <c r="H514" s="25"/>
    </row>
    <row r="515" spans="1:8" x14ac:dyDescent="0.25">
      <c r="A515" s="13"/>
      <c r="H515" s="29"/>
    </row>
    <row r="516" spans="1:8" x14ac:dyDescent="0.25">
      <c r="A516" s="13"/>
    </row>
    <row r="517" spans="1:8" x14ac:dyDescent="0.25">
      <c r="A517" s="13"/>
    </row>
    <row r="518" spans="1:8" x14ac:dyDescent="0.25">
      <c r="A518" s="13"/>
    </row>
    <row r="519" spans="1:8" x14ac:dyDescent="0.25">
      <c r="A519" s="13"/>
    </row>
    <row r="520" spans="1:8" x14ac:dyDescent="0.25">
      <c r="A520" s="13"/>
    </row>
    <row r="521" spans="1:8" x14ac:dyDescent="0.25">
      <c r="A521" s="13"/>
    </row>
    <row r="522" spans="1:8" x14ac:dyDescent="0.25">
      <c r="A522" s="13"/>
    </row>
    <row r="523" spans="1:8" x14ac:dyDescent="0.25">
      <c r="A523" s="13"/>
    </row>
    <row r="524" spans="1:8" x14ac:dyDescent="0.25">
      <c r="A524" s="13"/>
    </row>
    <row r="525" spans="1:8" x14ac:dyDescent="0.25">
      <c r="A525" s="13"/>
    </row>
    <row r="526" spans="1:8" x14ac:dyDescent="0.25">
      <c r="A526" s="13"/>
    </row>
    <row r="527" spans="1:8" x14ac:dyDescent="0.25">
      <c r="A527" s="13"/>
    </row>
  </sheetData>
  <autoFilter ref="A1:H237"/>
  <sortState ref="B3:H203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7"/>
  <dimension ref="A1:AE363"/>
  <sheetViews>
    <sheetView zoomScale="93" zoomScaleNormal="93" workbookViewId="0">
      <pane ySplit="1" topLeftCell="A191" activePane="bottomLeft" state="frozen"/>
      <selection activeCell="T161" sqref="T161"/>
      <selection pane="bottomLeft" activeCell="P2" sqref="P2:P203"/>
    </sheetView>
  </sheetViews>
  <sheetFormatPr baseColWidth="10" defaultRowHeight="15" x14ac:dyDescent="0.25"/>
  <cols>
    <col min="1" max="1" width="4.28515625" style="20" customWidth="1"/>
    <col min="2" max="2" width="46.42578125" style="20" customWidth="1"/>
    <col min="3" max="3" width="5.42578125" style="21" customWidth="1"/>
    <col min="4" max="4" width="3.5703125" style="375" customWidth="1"/>
    <col min="5" max="5" width="4.140625" style="492" customWidth="1"/>
    <col min="6" max="6" width="3.85546875" style="375" customWidth="1"/>
    <col min="7" max="7" width="4" style="492" customWidth="1"/>
    <col min="8" max="8" width="3.42578125" style="375" customWidth="1"/>
    <col min="9" max="9" width="3.42578125" style="492" customWidth="1"/>
    <col min="10" max="10" width="3.42578125" style="375" customWidth="1"/>
    <col min="11" max="11" width="3.5703125" style="492" customWidth="1"/>
    <col min="12" max="12" width="3.5703125" style="375" customWidth="1"/>
    <col min="13" max="13" width="4.140625" style="492" customWidth="1"/>
    <col min="14" max="14" width="3.7109375" style="567" customWidth="1"/>
    <col min="15" max="15" width="5" style="52" customWidth="1"/>
    <col min="16" max="16" width="5.140625" style="317" customWidth="1"/>
    <col min="17" max="17" width="9.140625" style="44" customWidth="1"/>
    <col min="18" max="18" width="8.28515625" style="67" customWidth="1"/>
    <col min="19" max="19" width="8.5703125" style="16" customWidth="1"/>
    <col min="20" max="20" width="4.28515625" style="16" customWidth="1"/>
    <col min="21" max="21" width="3.42578125" style="16" customWidth="1"/>
    <col min="22" max="22" width="8.7109375" style="16" customWidth="1"/>
    <col min="23" max="24" width="4.5703125" style="14" customWidth="1"/>
    <col min="25" max="25" width="4.140625" style="315" customWidth="1"/>
    <col min="26" max="26" width="4.28515625" style="315" customWidth="1"/>
    <col min="27" max="27" width="5.42578125" style="16" customWidth="1"/>
    <col min="28" max="28" width="4.140625" style="16" customWidth="1"/>
    <col min="29" max="30" width="5.42578125" style="16" customWidth="1"/>
  </cols>
  <sheetData>
    <row r="1" spans="1:30" ht="71.25" x14ac:dyDescent="0.25">
      <c r="A1" s="1" t="s">
        <v>0</v>
      </c>
      <c r="B1" s="1" t="s">
        <v>1</v>
      </c>
      <c r="C1" s="2" t="s">
        <v>2</v>
      </c>
      <c r="D1" s="358" t="s">
        <v>554</v>
      </c>
      <c r="E1" s="477" t="s">
        <v>555</v>
      </c>
      <c r="F1" s="384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84" t="s">
        <v>561</v>
      </c>
      <c r="M1" s="512" t="s">
        <v>562</v>
      </c>
      <c r="N1" s="560" t="s">
        <v>3</v>
      </c>
      <c r="O1" s="51" t="s">
        <v>4</v>
      </c>
      <c r="P1" s="79" t="s">
        <v>110</v>
      </c>
      <c r="Q1" s="56" t="s">
        <v>5</v>
      </c>
      <c r="R1" s="62" t="s">
        <v>111</v>
      </c>
      <c r="S1" s="555" t="s">
        <v>107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0" x14ac:dyDescent="0.25">
      <c r="A2" s="4">
        <v>1</v>
      </c>
      <c r="B2" s="314" t="s">
        <v>772</v>
      </c>
      <c r="C2" s="340">
        <v>4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3">
        <f t="shared" ref="O2:O35" si="0">SUM(C2-D2-E2-F2-G2-H2-I2-J2-K2-L2-M2-N2)</f>
        <v>4</v>
      </c>
      <c r="P2" s="343">
        <f t="shared" ref="P2:P65" si="1">AD2-O2</f>
        <v>-2</v>
      </c>
      <c r="Q2" s="7">
        <v>31</v>
      </c>
      <c r="R2" s="63"/>
      <c r="S2" s="77">
        <v>46722</v>
      </c>
      <c r="T2" s="16">
        <v>8</v>
      </c>
      <c r="V2" s="77">
        <v>45292</v>
      </c>
      <c r="Y2" s="315">
        <v>1</v>
      </c>
      <c r="AA2" s="205">
        <f t="shared" ref="AA2:AA38" si="2">W2+X2+Y2+Z2</f>
        <v>1</v>
      </c>
      <c r="AB2" s="206">
        <f t="shared" ref="AB2:AB37" si="3">AA2/4</f>
        <v>0.25</v>
      </c>
      <c r="AC2" s="206">
        <f t="shared" ref="AC2:AC39" si="4">AB2*4</f>
        <v>1</v>
      </c>
      <c r="AD2" s="206">
        <f t="shared" ref="AD2:AD39" si="5">AC2*2</f>
        <v>2</v>
      </c>
    </row>
    <row r="3" spans="1:30" x14ac:dyDescent="0.25">
      <c r="A3" s="4">
        <f>A2+1</f>
        <v>2</v>
      </c>
      <c r="B3" s="314" t="s">
        <v>535</v>
      </c>
      <c r="C3" s="340">
        <v>2</v>
      </c>
      <c r="D3" s="367"/>
      <c r="E3" s="479"/>
      <c r="F3" s="364"/>
      <c r="G3" s="486"/>
      <c r="H3" s="364"/>
      <c r="I3" s="486"/>
      <c r="J3" s="364"/>
      <c r="K3" s="486"/>
      <c r="L3" s="364"/>
      <c r="M3" s="486"/>
      <c r="N3" s="568"/>
      <c r="O3" s="343">
        <f t="shared" si="0"/>
        <v>2</v>
      </c>
      <c r="P3" s="343">
        <f t="shared" si="1"/>
        <v>6</v>
      </c>
      <c r="Q3" s="10">
        <v>32</v>
      </c>
      <c r="R3" s="109"/>
      <c r="S3" s="112">
        <v>47088</v>
      </c>
      <c r="T3" s="322">
        <v>1</v>
      </c>
      <c r="U3" s="322"/>
      <c r="V3" s="197">
        <v>45536</v>
      </c>
      <c r="W3" s="189">
        <v>1</v>
      </c>
      <c r="X3" s="189">
        <v>1</v>
      </c>
      <c r="Y3" s="189">
        <v>1</v>
      </c>
      <c r="Z3" s="189">
        <v>1</v>
      </c>
      <c r="AA3" s="205">
        <f t="shared" si="2"/>
        <v>4</v>
      </c>
      <c r="AB3" s="206">
        <f t="shared" si="3"/>
        <v>1</v>
      </c>
      <c r="AC3" s="206">
        <f t="shared" si="4"/>
        <v>4</v>
      </c>
      <c r="AD3" s="206">
        <f t="shared" si="5"/>
        <v>8</v>
      </c>
    </row>
    <row r="4" spans="1:30" ht="15.75" x14ac:dyDescent="0.25">
      <c r="A4" s="4">
        <f>A3+1</f>
        <v>3</v>
      </c>
      <c r="B4" s="164" t="s">
        <v>862</v>
      </c>
      <c r="C4" s="102">
        <v>1</v>
      </c>
      <c r="D4" s="382"/>
      <c r="E4" s="505"/>
      <c r="F4" s="385"/>
      <c r="G4" s="509"/>
      <c r="H4" s="385"/>
      <c r="I4" s="509"/>
      <c r="J4" s="387"/>
      <c r="K4" s="511"/>
      <c r="L4" s="385"/>
      <c r="M4" s="509"/>
      <c r="N4" s="569"/>
      <c r="O4" s="343">
        <f t="shared" si="0"/>
        <v>1</v>
      </c>
      <c r="P4" s="343">
        <f t="shared" si="1"/>
        <v>3</v>
      </c>
      <c r="Q4" s="169">
        <v>45</v>
      </c>
      <c r="R4" s="241"/>
      <c r="S4" s="233">
        <v>46569</v>
      </c>
      <c r="T4" s="231">
        <v>1</v>
      </c>
      <c r="U4" s="231"/>
      <c r="V4" s="242">
        <v>45413</v>
      </c>
      <c r="W4" s="243"/>
      <c r="X4" s="243"/>
      <c r="Y4" s="234">
        <v>1</v>
      </c>
      <c r="Z4" s="234">
        <v>1</v>
      </c>
      <c r="AA4" s="205">
        <f t="shared" si="2"/>
        <v>2</v>
      </c>
      <c r="AB4" s="206">
        <f t="shared" si="3"/>
        <v>0.5</v>
      </c>
      <c r="AC4" s="206">
        <f t="shared" si="4"/>
        <v>2</v>
      </c>
      <c r="AD4" s="206">
        <f t="shared" si="5"/>
        <v>4</v>
      </c>
    </row>
    <row r="5" spans="1:30" x14ac:dyDescent="0.25">
      <c r="A5" s="4">
        <f>A4+1</f>
        <v>4</v>
      </c>
      <c r="B5" s="314" t="s">
        <v>859</v>
      </c>
      <c r="C5" s="340">
        <v>66</v>
      </c>
      <c r="D5" s="359">
        <v>3</v>
      </c>
      <c r="E5" s="478"/>
      <c r="F5" s="359"/>
      <c r="G5" s="478"/>
      <c r="H5" s="359"/>
      <c r="I5" s="478"/>
      <c r="J5" s="359"/>
      <c r="K5" s="478"/>
      <c r="L5" s="359">
        <v>1</v>
      </c>
      <c r="M5" s="478"/>
      <c r="N5" s="561"/>
      <c r="O5" s="343">
        <f t="shared" si="0"/>
        <v>62</v>
      </c>
      <c r="P5" s="343">
        <f t="shared" si="1"/>
        <v>-12</v>
      </c>
      <c r="Q5" s="7">
        <v>2</v>
      </c>
      <c r="R5" s="28"/>
      <c r="S5" s="118">
        <v>46722</v>
      </c>
      <c r="T5" s="316">
        <v>1</v>
      </c>
      <c r="U5" s="316"/>
      <c r="V5" s="199">
        <v>45689</v>
      </c>
      <c r="W5" s="309">
        <v>7</v>
      </c>
      <c r="X5" s="107">
        <v>4</v>
      </c>
      <c r="Y5" s="309">
        <v>10</v>
      </c>
      <c r="Z5" s="429">
        <v>4</v>
      </c>
      <c r="AA5" s="205">
        <f t="shared" si="2"/>
        <v>25</v>
      </c>
      <c r="AB5" s="206">
        <f t="shared" si="3"/>
        <v>6.25</v>
      </c>
      <c r="AC5" s="206">
        <f t="shared" si="4"/>
        <v>25</v>
      </c>
      <c r="AD5" s="206">
        <f t="shared" si="5"/>
        <v>50</v>
      </c>
    </row>
    <row r="6" spans="1:30" ht="15" customHeight="1" x14ac:dyDescent="0.25">
      <c r="A6" s="4">
        <f>A5+1</f>
        <v>5</v>
      </c>
      <c r="B6" s="314" t="s">
        <v>1201</v>
      </c>
      <c r="C6" s="340">
        <v>99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3">
        <f t="shared" si="0"/>
        <v>99</v>
      </c>
      <c r="P6" s="343">
        <f t="shared" si="1"/>
        <v>-63</v>
      </c>
      <c r="Q6" s="7">
        <v>2.25</v>
      </c>
      <c r="R6" s="63"/>
      <c r="S6" s="77">
        <v>46753</v>
      </c>
      <c r="T6" s="16">
        <v>0</v>
      </c>
      <c r="V6" s="77">
        <v>45566</v>
      </c>
      <c r="W6" s="14">
        <v>1</v>
      </c>
      <c r="X6" s="14">
        <v>3</v>
      </c>
      <c r="Y6" s="315">
        <v>12</v>
      </c>
      <c r="Z6" s="315">
        <v>2</v>
      </c>
      <c r="AA6" s="205">
        <f t="shared" si="2"/>
        <v>18</v>
      </c>
      <c r="AB6" s="206">
        <f t="shared" si="3"/>
        <v>4.5</v>
      </c>
      <c r="AC6" s="206">
        <f t="shared" si="4"/>
        <v>18</v>
      </c>
      <c r="AD6" s="206">
        <f t="shared" si="5"/>
        <v>36</v>
      </c>
    </row>
    <row r="7" spans="1:30" ht="14.25" customHeight="1" x14ac:dyDescent="0.25">
      <c r="A7" s="4">
        <f t="shared" ref="A7:A14" si="6">A6+1</f>
        <v>6</v>
      </c>
      <c r="B7" s="314" t="s">
        <v>775</v>
      </c>
      <c r="C7" s="340">
        <v>1</v>
      </c>
      <c r="D7" s="359"/>
      <c r="E7" s="478"/>
      <c r="F7" s="359"/>
      <c r="G7" s="478"/>
      <c r="H7" s="359"/>
      <c r="I7" s="478"/>
      <c r="J7" s="359"/>
      <c r="K7" s="478"/>
      <c r="L7" s="359"/>
      <c r="M7" s="478"/>
      <c r="N7" s="561"/>
      <c r="O7" s="343">
        <f t="shared" si="0"/>
        <v>1</v>
      </c>
      <c r="P7" s="343">
        <f t="shared" si="1"/>
        <v>9</v>
      </c>
      <c r="Q7" s="7">
        <v>85</v>
      </c>
      <c r="R7" s="8"/>
      <c r="S7" s="77">
        <v>47058</v>
      </c>
      <c r="T7" s="16">
        <v>4</v>
      </c>
      <c r="V7" s="77">
        <v>45658</v>
      </c>
      <c r="W7" s="14">
        <v>1</v>
      </c>
      <c r="X7" s="14">
        <v>2</v>
      </c>
      <c r="Y7" s="315">
        <v>1</v>
      </c>
      <c r="Z7" s="315">
        <v>1</v>
      </c>
      <c r="AA7" s="205">
        <f t="shared" si="2"/>
        <v>5</v>
      </c>
      <c r="AB7" s="206">
        <f t="shared" si="3"/>
        <v>1.25</v>
      </c>
      <c r="AC7" s="206">
        <f t="shared" si="4"/>
        <v>5</v>
      </c>
      <c r="AD7" s="206">
        <f t="shared" si="5"/>
        <v>10</v>
      </c>
    </row>
    <row r="8" spans="1:30" ht="15" customHeight="1" x14ac:dyDescent="0.25">
      <c r="A8" s="4">
        <f t="shared" si="6"/>
        <v>7</v>
      </c>
      <c r="B8" s="314" t="s">
        <v>774</v>
      </c>
      <c r="C8" s="340">
        <v>1</v>
      </c>
      <c r="D8" s="359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43">
        <f t="shared" si="0"/>
        <v>1</v>
      </c>
      <c r="P8" s="343">
        <f t="shared" si="1"/>
        <v>7</v>
      </c>
      <c r="Q8" s="7">
        <v>85</v>
      </c>
      <c r="R8" s="8"/>
      <c r="S8" s="77">
        <v>47088</v>
      </c>
      <c r="T8" s="16">
        <v>1</v>
      </c>
      <c r="U8" s="16">
        <v>2</v>
      </c>
      <c r="V8" s="77">
        <v>45717</v>
      </c>
      <c r="W8" s="14">
        <v>1</v>
      </c>
      <c r="X8" s="14">
        <v>1</v>
      </c>
      <c r="Y8" s="315">
        <v>1</v>
      </c>
      <c r="Z8" s="315">
        <v>1</v>
      </c>
      <c r="AA8" s="205">
        <f t="shared" si="2"/>
        <v>4</v>
      </c>
      <c r="AB8" s="206">
        <f t="shared" si="3"/>
        <v>1</v>
      </c>
      <c r="AC8" s="206">
        <f t="shared" si="4"/>
        <v>4</v>
      </c>
      <c r="AD8" s="206">
        <f t="shared" si="5"/>
        <v>8</v>
      </c>
    </row>
    <row r="9" spans="1:30" x14ac:dyDescent="0.25">
      <c r="A9" s="4">
        <f t="shared" si="6"/>
        <v>8</v>
      </c>
      <c r="B9" s="314" t="s">
        <v>524</v>
      </c>
      <c r="C9" s="413">
        <v>1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3">
        <f t="shared" si="0"/>
        <v>1</v>
      </c>
      <c r="P9" s="343">
        <f t="shared" si="1"/>
        <v>5</v>
      </c>
      <c r="Q9" s="7">
        <v>40</v>
      </c>
      <c r="R9" s="8"/>
      <c r="S9" s="118">
        <v>46722</v>
      </c>
      <c r="T9" s="315">
        <v>2</v>
      </c>
      <c r="U9" s="316">
        <v>1</v>
      </c>
      <c r="V9" s="199">
        <v>45748</v>
      </c>
      <c r="W9" s="107">
        <v>1</v>
      </c>
      <c r="X9" s="107">
        <v>2</v>
      </c>
      <c r="Y9" s="309"/>
      <c r="Z9" s="309"/>
      <c r="AA9" s="205">
        <f t="shared" si="2"/>
        <v>3</v>
      </c>
      <c r="AB9" s="206">
        <f t="shared" si="3"/>
        <v>0.75</v>
      </c>
      <c r="AC9" s="206">
        <f t="shared" si="4"/>
        <v>3</v>
      </c>
      <c r="AD9" s="206">
        <f t="shared" si="5"/>
        <v>6</v>
      </c>
    </row>
    <row r="10" spans="1:30" ht="15" customHeight="1" x14ac:dyDescent="0.25">
      <c r="A10" s="4">
        <f t="shared" si="6"/>
        <v>9</v>
      </c>
      <c r="B10" s="651" t="s">
        <v>1027</v>
      </c>
      <c r="C10" s="653">
        <v>8</v>
      </c>
      <c r="D10" s="359"/>
      <c r="E10" s="478"/>
      <c r="F10" s="360"/>
      <c r="G10" s="480"/>
      <c r="H10" s="360"/>
      <c r="I10" s="480"/>
      <c r="J10" s="360"/>
      <c r="K10" s="480"/>
      <c r="L10" s="360"/>
      <c r="M10" s="480"/>
      <c r="N10" s="562"/>
      <c r="O10" s="343">
        <f t="shared" si="0"/>
        <v>8</v>
      </c>
      <c r="P10" s="343">
        <f t="shared" si="1"/>
        <v>2</v>
      </c>
      <c r="Q10" s="10">
        <v>5</v>
      </c>
      <c r="R10" s="64"/>
      <c r="S10" s="659">
        <v>45809</v>
      </c>
      <c r="T10" s="316">
        <v>0</v>
      </c>
      <c r="U10" s="316"/>
      <c r="V10" s="344">
        <v>45352</v>
      </c>
      <c r="W10" s="309">
        <v>1</v>
      </c>
      <c r="X10" s="309">
        <v>1</v>
      </c>
      <c r="Y10" s="309">
        <v>2</v>
      </c>
      <c r="Z10" s="309">
        <v>1</v>
      </c>
      <c r="AA10" s="205">
        <f t="shared" si="2"/>
        <v>5</v>
      </c>
      <c r="AB10" s="206">
        <f t="shared" si="3"/>
        <v>1.25</v>
      </c>
      <c r="AC10" s="206">
        <f t="shared" si="4"/>
        <v>5</v>
      </c>
      <c r="AD10" s="206">
        <f t="shared" si="5"/>
        <v>10</v>
      </c>
    </row>
    <row r="11" spans="1:30" x14ac:dyDescent="0.25">
      <c r="A11" s="4">
        <f t="shared" si="6"/>
        <v>10</v>
      </c>
      <c r="B11" s="314" t="s">
        <v>822</v>
      </c>
      <c r="C11" s="413">
        <v>2</v>
      </c>
      <c r="D11" s="359"/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343">
        <f t="shared" si="0"/>
        <v>2</v>
      </c>
      <c r="P11" s="343">
        <f t="shared" si="1"/>
        <v>16</v>
      </c>
      <c r="Q11" s="7">
        <v>26</v>
      </c>
      <c r="R11" s="8"/>
      <c r="S11" s="118">
        <v>45962</v>
      </c>
      <c r="T11" s="315">
        <v>4</v>
      </c>
      <c r="U11" s="316"/>
      <c r="V11" s="344">
        <v>45658</v>
      </c>
      <c r="W11" s="309">
        <v>2</v>
      </c>
      <c r="X11" s="309">
        <v>1</v>
      </c>
      <c r="Y11" s="309">
        <v>2</v>
      </c>
      <c r="Z11" s="309">
        <v>4</v>
      </c>
      <c r="AA11" s="205">
        <f t="shared" si="2"/>
        <v>9</v>
      </c>
      <c r="AB11" s="206">
        <f t="shared" si="3"/>
        <v>2.25</v>
      </c>
      <c r="AC11" s="206">
        <f t="shared" si="4"/>
        <v>9</v>
      </c>
      <c r="AD11" s="206">
        <f t="shared" si="5"/>
        <v>18</v>
      </c>
    </row>
    <row r="12" spans="1:30" x14ac:dyDescent="0.25">
      <c r="A12" s="4">
        <f t="shared" si="6"/>
        <v>11</v>
      </c>
      <c r="B12" s="472" t="s">
        <v>277</v>
      </c>
      <c r="C12" s="340">
        <v>3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343">
        <f t="shared" si="0"/>
        <v>3</v>
      </c>
      <c r="P12" s="343">
        <f t="shared" si="1"/>
        <v>15</v>
      </c>
      <c r="Q12" s="7">
        <v>63</v>
      </c>
      <c r="R12" s="63"/>
      <c r="S12" s="344">
        <v>47270</v>
      </c>
      <c r="T12" s="318">
        <v>9</v>
      </c>
      <c r="U12" s="318"/>
      <c r="V12" s="344">
        <v>45658</v>
      </c>
      <c r="W12" s="309">
        <v>1</v>
      </c>
      <c r="X12" s="309">
        <v>5</v>
      </c>
      <c r="Y12" s="309">
        <v>1</v>
      </c>
      <c r="Z12" s="309">
        <v>2</v>
      </c>
      <c r="AA12" s="205">
        <f t="shared" si="2"/>
        <v>9</v>
      </c>
      <c r="AB12" s="206">
        <f t="shared" si="3"/>
        <v>2.25</v>
      </c>
      <c r="AC12" s="206">
        <f t="shared" si="4"/>
        <v>9</v>
      </c>
      <c r="AD12" s="206">
        <f t="shared" si="5"/>
        <v>18</v>
      </c>
    </row>
    <row r="13" spans="1:30" x14ac:dyDescent="0.25">
      <c r="A13" s="4">
        <f t="shared" si="6"/>
        <v>12</v>
      </c>
      <c r="B13" s="314" t="s">
        <v>695</v>
      </c>
      <c r="C13" s="340">
        <v>50</v>
      </c>
      <c r="D13" s="367"/>
      <c r="E13" s="479"/>
      <c r="F13" s="364"/>
      <c r="G13" s="486"/>
      <c r="H13" s="364"/>
      <c r="I13" s="486"/>
      <c r="J13" s="381"/>
      <c r="K13" s="487"/>
      <c r="L13" s="364"/>
      <c r="M13" s="486"/>
      <c r="N13" s="568"/>
      <c r="O13" s="343">
        <f t="shared" si="0"/>
        <v>50</v>
      </c>
      <c r="P13" s="343">
        <f t="shared" si="1"/>
        <v>38</v>
      </c>
      <c r="Q13" s="7">
        <v>0.75</v>
      </c>
      <c r="R13" s="109"/>
      <c r="S13" s="112">
        <v>46692</v>
      </c>
      <c r="T13" s="322">
        <v>1</v>
      </c>
      <c r="U13" s="322">
        <v>1</v>
      </c>
      <c r="V13" s="111">
        <v>45748</v>
      </c>
      <c r="W13" s="108">
        <v>4</v>
      </c>
      <c r="X13" s="108">
        <v>2</v>
      </c>
      <c r="Y13" s="92">
        <v>18</v>
      </c>
      <c r="Z13" s="92">
        <v>20</v>
      </c>
      <c r="AA13" s="205">
        <f t="shared" si="2"/>
        <v>44</v>
      </c>
      <c r="AB13" s="206">
        <f t="shared" si="3"/>
        <v>11</v>
      </c>
      <c r="AC13" s="206">
        <f t="shared" si="4"/>
        <v>44</v>
      </c>
      <c r="AD13" s="206">
        <f t="shared" si="5"/>
        <v>88</v>
      </c>
    </row>
    <row r="14" spans="1:30" x14ac:dyDescent="0.25">
      <c r="A14" s="4">
        <f t="shared" si="6"/>
        <v>13</v>
      </c>
      <c r="B14" s="314" t="s">
        <v>320</v>
      </c>
      <c r="C14" s="340">
        <v>4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3">
        <f t="shared" si="0"/>
        <v>4</v>
      </c>
      <c r="P14" s="343">
        <f t="shared" si="1"/>
        <v>10</v>
      </c>
      <c r="Q14" s="7">
        <v>12</v>
      </c>
      <c r="R14" s="106"/>
      <c r="S14" s="344">
        <v>46266</v>
      </c>
      <c r="T14" s="318">
        <v>10</v>
      </c>
      <c r="U14" s="318">
        <v>6</v>
      </c>
      <c r="V14" s="344">
        <v>45717</v>
      </c>
      <c r="W14" s="309">
        <v>2</v>
      </c>
      <c r="X14" s="309">
        <v>1</v>
      </c>
      <c r="Y14" s="309">
        <v>3</v>
      </c>
      <c r="Z14" s="429">
        <v>1</v>
      </c>
      <c r="AA14" s="205">
        <f t="shared" si="2"/>
        <v>7</v>
      </c>
      <c r="AB14" s="206">
        <f t="shared" si="3"/>
        <v>1.75</v>
      </c>
      <c r="AC14" s="206">
        <f t="shared" si="4"/>
        <v>7</v>
      </c>
      <c r="AD14" s="206">
        <f t="shared" si="5"/>
        <v>14</v>
      </c>
    </row>
    <row r="15" spans="1:30" ht="15" customHeight="1" x14ac:dyDescent="0.25">
      <c r="A15" s="4">
        <f t="shared" ref="A15:A77" si="7">A14+1</f>
        <v>14</v>
      </c>
      <c r="B15" s="314" t="s">
        <v>821</v>
      </c>
      <c r="C15" s="340">
        <v>3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43">
        <f t="shared" si="0"/>
        <v>3</v>
      </c>
      <c r="P15" s="343">
        <f t="shared" si="1"/>
        <v>11</v>
      </c>
      <c r="Q15" s="7">
        <v>30</v>
      </c>
      <c r="R15" s="63" t="s">
        <v>807</v>
      </c>
      <c r="S15" s="81">
        <v>46388</v>
      </c>
      <c r="T15" s="14">
        <v>4</v>
      </c>
      <c r="U15" s="14">
        <v>4</v>
      </c>
      <c r="V15" s="81">
        <v>45717</v>
      </c>
      <c r="W15" s="14">
        <v>2</v>
      </c>
      <c r="X15" s="14">
        <v>1</v>
      </c>
      <c r="Y15" s="14">
        <v>1</v>
      </c>
      <c r="Z15" s="28">
        <v>3</v>
      </c>
      <c r="AA15" s="205">
        <f t="shared" si="2"/>
        <v>7</v>
      </c>
      <c r="AB15" s="206">
        <f t="shared" si="3"/>
        <v>1.75</v>
      </c>
      <c r="AC15" s="206">
        <f t="shared" si="4"/>
        <v>7</v>
      </c>
      <c r="AD15" s="206">
        <f t="shared" si="5"/>
        <v>14</v>
      </c>
    </row>
    <row r="16" spans="1:30" x14ac:dyDescent="0.25">
      <c r="A16" s="4">
        <f t="shared" si="7"/>
        <v>15</v>
      </c>
      <c r="B16" s="314" t="s">
        <v>765</v>
      </c>
      <c r="C16" s="340">
        <v>24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3">
        <f t="shared" si="0"/>
        <v>24</v>
      </c>
      <c r="P16" s="343">
        <f t="shared" si="1"/>
        <v>30</v>
      </c>
      <c r="Q16" s="7">
        <v>2.5</v>
      </c>
      <c r="R16" s="68"/>
      <c r="S16" s="344">
        <v>47088</v>
      </c>
      <c r="T16" s="318">
        <v>1</v>
      </c>
      <c r="U16" s="318">
        <v>1</v>
      </c>
      <c r="V16" s="344">
        <v>45717</v>
      </c>
      <c r="W16" s="309">
        <v>8</v>
      </c>
      <c r="X16" s="309">
        <v>4</v>
      </c>
      <c r="Y16" s="309">
        <v>1</v>
      </c>
      <c r="Z16" s="309">
        <v>14</v>
      </c>
      <c r="AA16" s="205">
        <f t="shared" si="2"/>
        <v>27</v>
      </c>
      <c r="AB16" s="206">
        <f t="shared" si="3"/>
        <v>6.75</v>
      </c>
      <c r="AC16" s="206">
        <f t="shared" si="4"/>
        <v>27</v>
      </c>
      <c r="AD16" s="206">
        <f t="shared" si="5"/>
        <v>54</v>
      </c>
    </row>
    <row r="17" spans="1:30" x14ac:dyDescent="0.25">
      <c r="A17" s="4">
        <f t="shared" si="7"/>
        <v>16</v>
      </c>
      <c r="B17" s="314" t="s">
        <v>724</v>
      </c>
      <c r="C17" s="340">
        <v>9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3">
        <f t="shared" si="0"/>
        <v>9</v>
      </c>
      <c r="P17" s="343">
        <f t="shared" si="1"/>
        <v>-1</v>
      </c>
      <c r="Q17" s="7">
        <v>10</v>
      </c>
      <c r="R17" s="63"/>
      <c r="S17" s="83">
        <v>46722</v>
      </c>
      <c r="T17" s="16">
        <v>1</v>
      </c>
      <c r="V17" s="77">
        <v>45658</v>
      </c>
      <c r="W17" s="14">
        <v>1</v>
      </c>
      <c r="X17" s="14">
        <v>1</v>
      </c>
      <c r="Y17" s="315">
        <v>1</v>
      </c>
      <c r="Z17" s="315">
        <v>1</v>
      </c>
      <c r="AA17" s="205">
        <f t="shared" si="2"/>
        <v>4</v>
      </c>
      <c r="AB17" s="206">
        <f t="shared" si="3"/>
        <v>1</v>
      </c>
      <c r="AC17" s="206">
        <f t="shared" si="4"/>
        <v>4</v>
      </c>
      <c r="AD17" s="206">
        <f t="shared" si="5"/>
        <v>8</v>
      </c>
    </row>
    <row r="18" spans="1:30" x14ac:dyDescent="0.25">
      <c r="A18" s="4">
        <f t="shared" si="7"/>
        <v>17</v>
      </c>
      <c r="B18" s="314" t="s">
        <v>947</v>
      </c>
      <c r="C18" s="340">
        <v>1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3">
        <f t="shared" si="0"/>
        <v>1</v>
      </c>
      <c r="P18" s="343">
        <f t="shared" si="1"/>
        <v>3</v>
      </c>
      <c r="Q18" s="7">
        <v>68</v>
      </c>
      <c r="R18" s="63"/>
      <c r="S18" s="77">
        <v>46447</v>
      </c>
      <c r="T18" s="16">
        <v>1</v>
      </c>
      <c r="V18" s="77">
        <v>45627</v>
      </c>
      <c r="Y18" s="315">
        <v>1</v>
      </c>
      <c r="Z18" s="315">
        <v>1</v>
      </c>
      <c r="AA18" s="205">
        <f t="shared" si="2"/>
        <v>2</v>
      </c>
      <c r="AB18" s="206">
        <f t="shared" si="3"/>
        <v>0.5</v>
      </c>
      <c r="AC18" s="206">
        <f t="shared" si="4"/>
        <v>2</v>
      </c>
      <c r="AD18" s="206">
        <f t="shared" si="5"/>
        <v>4</v>
      </c>
    </row>
    <row r="19" spans="1:30" x14ac:dyDescent="0.25">
      <c r="A19" s="4">
        <f t="shared" si="7"/>
        <v>18</v>
      </c>
      <c r="B19" s="314" t="s">
        <v>794</v>
      </c>
      <c r="C19" s="340">
        <v>2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3">
        <f t="shared" si="0"/>
        <v>2</v>
      </c>
      <c r="P19" s="343">
        <f t="shared" si="1"/>
        <v>6</v>
      </c>
      <c r="Q19" s="7">
        <v>45</v>
      </c>
      <c r="R19" s="63" t="s">
        <v>807</v>
      </c>
      <c r="S19" s="344">
        <v>47239</v>
      </c>
      <c r="T19" s="318">
        <v>3</v>
      </c>
      <c r="U19" s="318">
        <v>3</v>
      </c>
      <c r="V19" s="344">
        <v>45717</v>
      </c>
      <c r="W19" s="309">
        <v>1</v>
      </c>
      <c r="X19" s="309">
        <v>1</v>
      </c>
      <c r="Y19" s="309">
        <v>1</v>
      </c>
      <c r="Z19" s="309">
        <v>1</v>
      </c>
      <c r="AA19" s="205">
        <f t="shared" si="2"/>
        <v>4</v>
      </c>
      <c r="AB19" s="206">
        <f t="shared" si="3"/>
        <v>1</v>
      </c>
      <c r="AC19" s="206">
        <f t="shared" si="4"/>
        <v>4</v>
      </c>
      <c r="AD19" s="206">
        <f t="shared" si="5"/>
        <v>8</v>
      </c>
    </row>
    <row r="20" spans="1:30" x14ac:dyDescent="0.25">
      <c r="A20" s="4">
        <f t="shared" si="7"/>
        <v>19</v>
      </c>
      <c r="B20" s="314" t="s">
        <v>1361</v>
      </c>
      <c r="C20" s="340">
        <v>3</v>
      </c>
      <c r="D20" s="359"/>
      <c r="E20" s="478">
        <v>1</v>
      </c>
      <c r="F20" s="359"/>
      <c r="G20" s="478"/>
      <c r="H20" s="359"/>
      <c r="I20" s="478"/>
      <c r="J20" s="359"/>
      <c r="K20" s="478"/>
      <c r="L20" s="359"/>
      <c r="M20" s="478"/>
      <c r="N20" s="561"/>
      <c r="O20" s="343">
        <f t="shared" si="0"/>
        <v>2</v>
      </c>
      <c r="P20" s="343">
        <f t="shared" si="1"/>
        <v>10</v>
      </c>
      <c r="Q20" s="7">
        <v>65</v>
      </c>
      <c r="R20" s="8"/>
      <c r="S20" s="118">
        <v>46357</v>
      </c>
      <c r="T20" s="316">
        <v>6</v>
      </c>
      <c r="U20" s="316">
        <v>3</v>
      </c>
      <c r="V20" s="344">
        <v>45717</v>
      </c>
      <c r="W20" s="309">
        <v>3</v>
      </c>
      <c r="X20" s="309">
        <v>1</v>
      </c>
      <c r="Y20" s="309">
        <v>1</v>
      </c>
      <c r="Z20" s="309">
        <v>1</v>
      </c>
      <c r="AA20" s="205">
        <f t="shared" si="2"/>
        <v>6</v>
      </c>
      <c r="AB20" s="206">
        <f t="shared" si="3"/>
        <v>1.5</v>
      </c>
      <c r="AC20" s="206">
        <f t="shared" si="4"/>
        <v>6</v>
      </c>
      <c r="AD20" s="206">
        <f t="shared" si="5"/>
        <v>12</v>
      </c>
    </row>
    <row r="21" spans="1:30" x14ac:dyDescent="0.25">
      <c r="A21" s="4">
        <f t="shared" si="7"/>
        <v>20</v>
      </c>
      <c r="B21" s="314" t="s">
        <v>103</v>
      </c>
      <c r="C21" s="340">
        <v>10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3">
        <f t="shared" si="0"/>
        <v>10</v>
      </c>
      <c r="P21" s="343">
        <f t="shared" si="1"/>
        <v>12</v>
      </c>
      <c r="Q21" s="7">
        <v>20</v>
      </c>
      <c r="R21" s="106"/>
      <c r="S21" s="344">
        <v>46054</v>
      </c>
      <c r="T21" s="318">
        <v>15</v>
      </c>
      <c r="U21" s="318"/>
      <c r="V21" s="199">
        <v>45658</v>
      </c>
      <c r="W21" s="309">
        <v>4</v>
      </c>
      <c r="X21" s="309">
        <v>3</v>
      </c>
      <c r="Y21" s="309">
        <v>1</v>
      </c>
      <c r="Z21" s="429">
        <v>3</v>
      </c>
      <c r="AA21" s="205">
        <f t="shared" si="2"/>
        <v>11</v>
      </c>
      <c r="AB21" s="206">
        <f t="shared" si="3"/>
        <v>2.75</v>
      </c>
      <c r="AC21" s="206">
        <f t="shared" si="4"/>
        <v>11</v>
      </c>
      <c r="AD21" s="206">
        <f t="shared" si="5"/>
        <v>22</v>
      </c>
    </row>
    <row r="22" spans="1:30" x14ac:dyDescent="0.25">
      <c r="A22" s="4">
        <f t="shared" si="7"/>
        <v>21</v>
      </c>
      <c r="B22" s="314" t="s">
        <v>1029</v>
      </c>
      <c r="C22" s="340">
        <v>1</v>
      </c>
      <c r="D22" s="359"/>
      <c r="E22" s="478"/>
      <c r="F22" s="360"/>
      <c r="G22" s="480"/>
      <c r="H22" s="360"/>
      <c r="I22" s="480"/>
      <c r="J22" s="360"/>
      <c r="K22" s="480"/>
      <c r="L22" s="360"/>
      <c r="M22" s="480"/>
      <c r="N22" s="562"/>
      <c r="O22" s="343">
        <f t="shared" si="0"/>
        <v>1</v>
      </c>
      <c r="P22" s="343">
        <f t="shared" si="1"/>
        <v>7</v>
      </c>
      <c r="Q22" s="7">
        <v>80</v>
      </c>
      <c r="R22" s="63"/>
      <c r="S22" s="118">
        <v>46722</v>
      </c>
      <c r="T22" s="316">
        <v>2</v>
      </c>
      <c r="U22" s="316">
        <v>3</v>
      </c>
      <c r="V22" s="344">
        <v>45717</v>
      </c>
      <c r="W22" s="309">
        <v>1</v>
      </c>
      <c r="X22" s="309">
        <v>1</v>
      </c>
      <c r="Y22" s="309">
        <v>1</v>
      </c>
      <c r="Z22" s="309">
        <v>1</v>
      </c>
      <c r="AA22" s="205">
        <f t="shared" si="2"/>
        <v>4</v>
      </c>
      <c r="AB22" s="206">
        <f t="shared" si="3"/>
        <v>1</v>
      </c>
      <c r="AC22" s="206">
        <f t="shared" si="4"/>
        <v>4</v>
      </c>
      <c r="AD22" s="206">
        <f t="shared" si="5"/>
        <v>8</v>
      </c>
    </row>
    <row r="23" spans="1:30" x14ac:dyDescent="0.25">
      <c r="A23" s="4">
        <f t="shared" si="7"/>
        <v>22</v>
      </c>
      <c r="B23" s="314" t="s">
        <v>492</v>
      </c>
      <c r="C23" s="340">
        <v>1</v>
      </c>
      <c r="D23" s="359"/>
      <c r="E23" s="478"/>
      <c r="F23" s="360"/>
      <c r="G23" s="480"/>
      <c r="H23" s="360"/>
      <c r="I23" s="480"/>
      <c r="J23" s="360"/>
      <c r="K23" s="480"/>
      <c r="L23" s="360"/>
      <c r="M23" s="480"/>
      <c r="N23" s="562"/>
      <c r="O23" s="343">
        <f t="shared" si="0"/>
        <v>1</v>
      </c>
      <c r="P23" s="343">
        <f t="shared" si="1"/>
        <v>7</v>
      </c>
      <c r="Q23" s="7">
        <v>80</v>
      </c>
      <c r="R23" s="63"/>
      <c r="S23" s="118">
        <v>46722</v>
      </c>
      <c r="T23" s="316">
        <v>1</v>
      </c>
      <c r="U23" s="316"/>
      <c r="V23" s="247">
        <v>45689</v>
      </c>
      <c r="W23" s="14">
        <v>1</v>
      </c>
      <c r="X23" s="14">
        <v>1</v>
      </c>
      <c r="Y23" s="28">
        <v>1</v>
      </c>
      <c r="Z23" s="28">
        <v>1</v>
      </c>
      <c r="AA23" s="205">
        <f t="shared" si="2"/>
        <v>4</v>
      </c>
      <c r="AB23" s="206">
        <f t="shared" si="3"/>
        <v>1</v>
      </c>
      <c r="AC23" s="206">
        <f t="shared" si="4"/>
        <v>4</v>
      </c>
      <c r="AD23" s="206">
        <f t="shared" si="5"/>
        <v>8</v>
      </c>
    </row>
    <row r="24" spans="1:30" ht="15" customHeight="1" x14ac:dyDescent="0.25">
      <c r="A24" s="4">
        <f t="shared" si="7"/>
        <v>23</v>
      </c>
      <c r="B24" s="314" t="s">
        <v>1030</v>
      </c>
      <c r="C24" s="340">
        <v>2</v>
      </c>
      <c r="D24" s="359"/>
      <c r="E24" s="478"/>
      <c r="F24" s="359"/>
      <c r="G24" s="478"/>
      <c r="H24" s="359"/>
      <c r="I24" s="478"/>
      <c r="J24" s="359"/>
      <c r="K24" s="478">
        <v>1</v>
      </c>
      <c r="L24" s="359"/>
      <c r="M24" s="478"/>
      <c r="N24" s="561"/>
      <c r="O24" s="343">
        <f t="shared" si="0"/>
        <v>1</v>
      </c>
      <c r="P24" s="343">
        <f t="shared" si="1"/>
        <v>7</v>
      </c>
      <c r="Q24" s="7">
        <v>80</v>
      </c>
      <c r="R24" s="207"/>
      <c r="S24" s="118">
        <v>46722</v>
      </c>
      <c r="T24" s="316">
        <v>0</v>
      </c>
      <c r="U24" s="316">
        <v>1</v>
      </c>
      <c r="V24" s="344">
        <v>45717</v>
      </c>
      <c r="W24" s="309">
        <v>1</v>
      </c>
      <c r="X24" s="309">
        <v>1</v>
      </c>
      <c r="Y24" s="309">
        <v>1</v>
      </c>
      <c r="Z24" s="309">
        <v>1</v>
      </c>
      <c r="AA24" s="205">
        <f t="shared" si="2"/>
        <v>4</v>
      </c>
      <c r="AB24" s="206">
        <f t="shared" si="3"/>
        <v>1</v>
      </c>
      <c r="AC24" s="206">
        <f t="shared" si="4"/>
        <v>4</v>
      </c>
      <c r="AD24" s="206">
        <f t="shared" si="5"/>
        <v>8</v>
      </c>
    </row>
    <row r="25" spans="1:30" ht="15" customHeight="1" x14ac:dyDescent="0.25">
      <c r="A25" s="4">
        <f t="shared" si="7"/>
        <v>24</v>
      </c>
      <c r="B25" s="314" t="s">
        <v>1028</v>
      </c>
      <c r="C25" s="340">
        <v>1</v>
      </c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343">
        <f t="shared" si="0"/>
        <v>1</v>
      </c>
      <c r="P25" s="343">
        <f t="shared" si="1"/>
        <v>5</v>
      </c>
      <c r="Q25" s="7">
        <v>80</v>
      </c>
      <c r="R25" s="64"/>
      <c r="S25" s="77">
        <v>46722</v>
      </c>
      <c r="T25" s="16">
        <v>1</v>
      </c>
      <c r="V25" s="77">
        <v>45597</v>
      </c>
      <c r="W25" s="14">
        <v>1</v>
      </c>
      <c r="X25" s="14">
        <v>1</v>
      </c>
      <c r="Y25" s="315">
        <v>1</v>
      </c>
      <c r="AA25" s="205">
        <f t="shared" si="2"/>
        <v>3</v>
      </c>
      <c r="AB25" s="206">
        <f t="shared" si="3"/>
        <v>0.75</v>
      </c>
      <c r="AC25" s="206">
        <f t="shared" si="4"/>
        <v>3</v>
      </c>
      <c r="AD25" s="206">
        <f t="shared" si="5"/>
        <v>6</v>
      </c>
    </row>
    <row r="26" spans="1:30" ht="15" customHeight="1" x14ac:dyDescent="0.25">
      <c r="A26" s="4">
        <f t="shared" si="7"/>
        <v>25</v>
      </c>
      <c r="B26" s="314" t="s">
        <v>1450</v>
      </c>
      <c r="C26" s="340">
        <v>0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43">
        <f t="shared" si="0"/>
        <v>0</v>
      </c>
      <c r="P26" s="343">
        <f t="shared" si="1"/>
        <v>2</v>
      </c>
      <c r="Q26" s="7">
        <v>110</v>
      </c>
      <c r="R26" s="63"/>
      <c r="S26" s="77">
        <v>46722</v>
      </c>
      <c r="T26" s="16">
        <v>2</v>
      </c>
      <c r="U26" s="16">
        <v>3</v>
      </c>
      <c r="V26" s="77">
        <v>45717</v>
      </c>
      <c r="X26" s="14">
        <v>1</v>
      </c>
      <c r="AA26" s="205">
        <f t="shared" si="2"/>
        <v>1</v>
      </c>
      <c r="AB26" s="206">
        <f t="shared" si="3"/>
        <v>0.25</v>
      </c>
      <c r="AC26" s="206">
        <f t="shared" si="4"/>
        <v>1</v>
      </c>
      <c r="AD26" s="206">
        <f t="shared" si="5"/>
        <v>2</v>
      </c>
    </row>
    <row r="27" spans="1:30" x14ac:dyDescent="0.25">
      <c r="A27" s="4">
        <f t="shared" si="7"/>
        <v>26</v>
      </c>
      <c r="B27" s="314" t="s">
        <v>1031</v>
      </c>
      <c r="C27" s="340">
        <v>9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3">
        <f t="shared" si="0"/>
        <v>9</v>
      </c>
      <c r="P27" s="343">
        <f t="shared" si="1"/>
        <v>-1</v>
      </c>
      <c r="Q27" s="7">
        <v>17</v>
      </c>
      <c r="R27" s="63"/>
      <c r="S27" s="407">
        <v>46357</v>
      </c>
      <c r="T27" s="329">
        <v>0</v>
      </c>
      <c r="U27" s="329"/>
      <c r="V27" s="77">
        <v>45413</v>
      </c>
      <c r="W27" s="14">
        <v>1</v>
      </c>
      <c r="X27" s="14">
        <v>1</v>
      </c>
      <c r="Y27" s="315">
        <v>1</v>
      </c>
      <c r="Z27" s="315">
        <v>1</v>
      </c>
      <c r="AA27" s="205">
        <f t="shared" si="2"/>
        <v>4</v>
      </c>
      <c r="AB27" s="206">
        <f t="shared" si="3"/>
        <v>1</v>
      </c>
      <c r="AC27" s="206">
        <f t="shared" si="4"/>
        <v>4</v>
      </c>
      <c r="AD27" s="206">
        <f t="shared" si="5"/>
        <v>8</v>
      </c>
    </row>
    <row r="28" spans="1:30" x14ac:dyDescent="0.25">
      <c r="A28" s="4">
        <f t="shared" si="7"/>
        <v>27</v>
      </c>
      <c r="B28" s="314" t="s">
        <v>1022</v>
      </c>
      <c r="C28" s="340">
        <v>52</v>
      </c>
      <c r="D28" s="359"/>
      <c r="E28" s="478"/>
      <c r="F28" s="359"/>
      <c r="G28" s="478"/>
      <c r="H28" s="359"/>
      <c r="I28" s="478"/>
      <c r="J28" s="359"/>
      <c r="K28" s="478"/>
      <c r="L28" s="359"/>
      <c r="M28" s="478">
        <v>3</v>
      </c>
      <c r="N28" s="561"/>
      <c r="O28" s="343">
        <f t="shared" si="0"/>
        <v>49</v>
      </c>
      <c r="P28" s="343">
        <f t="shared" si="1"/>
        <v>3</v>
      </c>
      <c r="Q28" s="7">
        <v>2.8</v>
      </c>
      <c r="R28" s="125" t="s">
        <v>619</v>
      </c>
      <c r="S28" s="118">
        <v>46753</v>
      </c>
      <c r="T28" s="316">
        <v>6</v>
      </c>
      <c r="U28" s="316">
        <v>4</v>
      </c>
      <c r="V28" s="344">
        <v>45717</v>
      </c>
      <c r="W28" s="309">
        <v>6</v>
      </c>
      <c r="X28" s="309">
        <v>7</v>
      </c>
      <c r="Y28" s="309">
        <v>10</v>
      </c>
      <c r="Z28" s="429">
        <v>3</v>
      </c>
      <c r="AA28" s="205">
        <f t="shared" si="2"/>
        <v>26</v>
      </c>
      <c r="AB28" s="206">
        <f t="shared" si="3"/>
        <v>6.5</v>
      </c>
      <c r="AC28" s="206">
        <f t="shared" si="4"/>
        <v>26</v>
      </c>
      <c r="AD28" s="206">
        <f t="shared" si="5"/>
        <v>52</v>
      </c>
    </row>
    <row r="29" spans="1:30" x14ac:dyDescent="0.25">
      <c r="A29" s="4">
        <f t="shared" si="7"/>
        <v>28</v>
      </c>
      <c r="B29" s="314" t="s">
        <v>527</v>
      </c>
      <c r="C29" s="340">
        <v>1</v>
      </c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343">
        <f t="shared" si="0"/>
        <v>1</v>
      </c>
      <c r="P29" s="343">
        <f t="shared" si="1"/>
        <v>7</v>
      </c>
      <c r="Q29" s="7">
        <v>40</v>
      </c>
      <c r="R29" s="207"/>
      <c r="S29" s="129">
        <v>46722</v>
      </c>
      <c r="T29" s="323">
        <v>0</v>
      </c>
      <c r="U29" s="323"/>
      <c r="V29" s="344">
        <v>45352</v>
      </c>
      <c r="W29" s="309">
        <v>1</v>
      </c>
      <c r="X29" s="309">
        <v>1</v>
      </c>
      <c r="Y29" s="309">
        <v>1</v>
      </c>
      <c r="Z29" s="309">
        <v>1</v>
      </c>
      <c r="AA29" s="205">
        <f t="shared" si="2"/>
        <v>4</v>
      </c>
      <c r="AB29" s="206">
        <f t="shared" si="3"/>
        <v>1</v>
      </c>
      <c r="AC29" s="206">
        <f t="shared" si="4"/>
        <v>4</v>
      </c>
      <c r="AD29" s="206">
        <f t="shared" si="5"/>
        <v>8</v>
      </c>
    </row>
    <row r="30" spans="1:30" ht="14.25" customHeight="1" x14ac:dyDescent="0.25">
      <c r="A30" s="4">
        <f t="shared" si="7"/>
        <v>29</v>
      </c>
      <c r="B30" s="314" t="s">
        <v>948</v>
      </c>
      <c r="C30" s="340">
        <v>1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43">
        <f t="shared" si="0"/>
        <v>1</v>
      </c>
      <c r="P30" s="343">
        <f t="shared" si="1"/>
        <v>1</v>
      </c>
      <c r="Q30" s="7">
        <v>68</v>
      </c>
      <c r="R30" s="63"/>
      <c r="S30" s="77">
        <v>46447</v>
      </c>
      <c r="T30" s="16">
        <v>2</v>
      </c>
      <c r="V30" s="77">
        <v>45536</v>
      </c>
      <c r="Y30" s="315">
        <v>1</v>
      </c>
      <c r="AA30" s="205">
        <f t="shared" si="2"/>
        <v>1</v>
      </c>
      <c r="AB30" s="206">
        <f t="shared" si="3"/>
        <v>0.25</v>
      </c>
      <c r="AC30" s="206">
        <f t="shared" si="4"/>
        <v>1</v>
      </c>
      <c r="AD30" s="206">
        <f t="shared" si="5"/>
        <v>2</v>
      </c>
    </row>
    <row r="31" spans="1:30" x14ac:dyDescent="0.25">
      <c r="A31" s="4">
        <f t="shared" si="7"/>
        <v>30</v>
      </c>
      <c r="B31" s="314" t="s">
        <v>756</v>
      </c>
      <c r="C31" s="340">
        <v>8</v>
      </c>
      <c r="D31" s="359">
        <v>1</v>
      </c>
      <c r="E31" s="478"/>
      <c r="F31" s="359"/>
      <c r="G31" s="478">
        <v>1</v>
      </c>
      <c r="H31" s="359"/>
      <c r="I31" s="478"/>
      <c r="J31" s="359"/>
      <c r="K31" s="478"/>
      <c r="L31" s="359"/>
      <c r="M31" s="478"/>
      <c r="N31" s="561"/>
      <c r="O31" s="343">
        <f t="shared" si="0"/>
        <v>6</v>
      </c>
      <c r="P31" s="343">
        <f t="shared" si="1"/>
        <v>12</v>
      </c>
      <c r="Q31" s="7">
        <v>4</v>
      </c>
      <c r="R31" s="63"/>
      <c r="T31" s="16">
        <v>12</v>
      </c>
      <c r="U31" s="16">
        <v>12</v>
      </c>
      <c r="V31" s="77">
        <v>45717</v>
      </c>
      <c r="W31" s="14">
        <v>3</v>
      </c>
      <c r="X31" s="14">
        <v>1</v>
      </c>
      <c r="Y31" s="315">
        <v>3</v>
      </c>
      <c r="Z31" s="315">
        <v>2</v>
      </c>
      <c r="AA31" s="205">
        <f t="shared" si="2"/>
        <v>9</v>
      </c>
      <c r="AB31" s="206">
        <f t="shared" si="3"/>
        <v>2.25</v>
      </c>
      <c r="AC31" s="206">
        <f t="shared" si="4"/>
        <v>9</v>
      </c>
      <c r="AD31" s="206">
        <f t="shared" si="5"/>
        <v>18</v>
      </c>
    </row>
    <row r="32" spans="1:30" ht="15.75" customHeight="1" x14ac:dyDescent="0.25">
      <c r="A32" s="4">
        <f t="shared" si="7"/>
        <v>31</v>
      </c>
      <c r="B32" s="314" t="s">
        <v>829</v>
      </c>
      <c r="C32" s="340">
        <v>197</v>
      </c>
      <c r="D32" s="359">
        <v>30</v>
      </c>
      <c r="E32" s="478">
        <v>2</v>
      </c>
      <c r="F32" s="359"/>
      <c r="G32" s="478"/>
      <c r="H32" s="359"/>
      <c r="I32" s="478"/>
      <c r="J32" s="359"/>
      <c r="K32" s="478"/>
      <c r="L32" s="359"/>
      <c r="M32" s="478"/>
      <c r="N32" s="561"/>
      <c r="O32" s="343">
        <f t="shared" si="0"/>
        <v>165</v>
      </c>
      <c r="P32" s="343">
        <f t="shared" si="1"/>
        <v>-23</v>
      </c>
      <c r="Q32" s="7">
        <v>3.2</v>
      </c>
      <c r="R32" s="63"/>
      <c r="S32" s="344">
        <v>47027</v>
      </c>
      <c r="T32" s="318">
        <v>150</v>
      </c>
      <c r="U32" s="318"/>
      <c r="V32" s="344">
        <v>45627</v>
      </c>
      <c r="W32" s="309">
        <v>14</v>
      </c>
      <c r="X32" s="309">
        <v>3</v>
      </c>
      <c r="Y32" s="309">
        <v>22</v>
      </c>
      <c r="Z32" s="309">
        <v>32</v>
      </c>
      <c r="AA32" s="205">
        <f t="shared" si="2"/>
        <v>71</v>
      </c>
      <c r="AB32" s="206">
        <f t="shared" si="3"/>
        <v>17.75</v>
      </c>
      <c r="AC32" s="206">
        <f t="shared" si="4"/>
        <v>71</v>
      </c>
      <c r="AD32" s="206">
        <f t="shared" si="5"/>
        <v>142</v>
      </c>
    </row>
    <row r="33" spans="1:31" ht="16.5" customHeight="1" x14ac:dyDescent="0.25">
      <c r="A33" s="4">
        <f t="shared" si="7"/>
        <v>32</v>
      </c>
      <c r="B33" s="314" t="s">
        <v>581</v>
      </c>
      <c r="C33" s="340">
        <v>1</v>
      </c>
      <c r="D33" s="367"/>
      <c r="E33" s="479"/>
      <c r="F33" s="359"/>
      <c r="G33" s="486"/>
      <c r="H33" s="359"/>
      <c r="I33" s="486"/>
      <c r="J33" s="381"/>
      <c r="K33" s="487"/>
      <c r="L33" s="364"/>
      <c r="M33" s="486">
        <v>1</v>
      </c>
      <c r="N33" s="568"/>
      <c r="O33" s="343">
        <f t="shared" si="0"/>
        <v>0</v>
      </c>
      <c r="P33" s="343">
        <f t="shared" si="1"/>
        <v>8</v>
      </c>
      <c r="Q33" s="10">
        <v>68</v>
      </c>
      <c r="R33" s="187"/>
      <c r="S33" s="110">
        <v>47027</v>
      </c>
      <c r="T33" s="53">
        <v>3</v>
      </c>
      <c r="U33" s="53"/>
      <c r="V33" s="197">
        <v>45627</v>
      </c>
      <c r="W33" s="189">
        <v>1</v>
      </c>
      <c r="X33" s="189">
        <v>1</v>
      </c>
      <c r="Y33" s="189">
        <v>1</v>
      </c>
      <c r="Z33" s="189">
        <v>1</v>
      </c>
      <c r="AA33" s="205">
        <f t="shared" si="2"/>
        <v>4</v>
      </c>
      <c r="AB33" s="206">
        <f t="shared" si="3"/>
        <v>1</v>
      </c>
      <c r="AC33" s="206">
        <f t="shared" si="4"/>
        <v>4</v>
      </c>
      <c r="AD33" s="206">
        <f t="shared" si="5"/>
        <v>8</v>
      </c>
    </row>
    <row r="34" spans="1:31" ht="15" customHeight="1" x14ac:dyDescent="0.25">
      <c r="A34" s="4">
        <f t="shared" si="7"/>
        <v>33</v>
      </c>
      <c r="B34" s="314" t="s">
        <v>299</v>
      </c>
      <c r="C34" s="340">
        <v>8</v>
      </c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343">
        <f t="shared" si="0"/>
        <v>8</v>
      </c>
      <c r="P34" s="343">
        <f t="shared" si="1"/>
        <v>4</v>
      </c>
      <c r="Q34" s="7">
        <v>10</v>
      </c>
      <c r="R34" s="79"/>
      <c r="S34" s="344">
        <v>46357</v>
      </c>
      <c r="T34" s="318">
        <v>1</v>
      </c>
      <c r="U34" s="318"/>
      <c r="V34" s="344">
        <v>45689</v>
      </c>
      <c r="W34" s="309">
        <v>3</v>
      </c>
      <c r="X34" s="309">
        <v>1</v>
      </c>
      <c r="Y34" s="309">
        <v>1</v>
      </c>
      <c r="Z34" s="309">
        <v>1</v>
      </c>
      <c r="AA34" s="205">
        <f t="shared" si="2"/>
        <v>6</v>
      </c>
      <c r="AB34" s="206">
        <f t="shared" si="3"/>
        <v>1.5</v>
      </c>
      <c r="AC34" s="206">
        <f t="shared" si="4"/>
        <v>6</v>
      </c>
      <c r="AD34" s="206">
        <f t="shared" si="5"/>
        <v>12</v>
      </c>
    </row>
    <row r="35" spans="1:31" x14ac:dyDescent="0.25">
      <c r="A35" s="4">
        <f t="shared" si="7"/>
        <v>34</v>
      </c>
      <c r="B35" s="4" t="s">
        <v>962</v>
      </c>
      <c r="C35" s="340">
        <v>89</v>
      </c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343">
        <f t="shared" si="0"/>
        <v>89</v>
      </c>
      <c r="P35" s="343">
        <f t="shared" si="1"/>
        <v>-71</v>
      </c>
      <c r="Q35" s="7">
        <v>1.1299999999999999</v>
      </c>
      <c r="R35" s="63"/>
      <c r="S35" s="77">
        <v>47088</v>
      </c>
      <c r="T35" s="16">
        <v>0</v>
      </c>
      <c r="V35" s="77">
        <v>45536</v>
      </c>
      <c r="W35" s="14">
        <v>4</v>
      </c>
      <c r="Y35" s="315">
        <v>4</v>
      </c>
      <c r="Z35" s="315">
        <v>1</v>
      </c>
      <c r="AA35" s="205">
        <f t="shared" si="2"/>
        <v>9</v>
      </c>
      <c r="AB35" s="206">
        <f t="shared" si="3"/>
        <v>2.25</v>
      </c>
      <c r="AC35" s="206">
        <f t="shared" si="4"/>
        <v>9</v>
      </c>
      <c r="AD35" s="206">
        <f t="shared" si="5"/>
        <v>18</v>
      </c>
    </row>
    <row r="36" spans="1:31" x14ac:dyDescent="0.25">
      <c r="A36" s="4">
        <f t="shared" si="7"/>
        <v>35</v>
      </c>
      <c r="B36" s="314" t="s">
        <v>1486</v>
      </c>
      <c r="C36" s="340">
        <v>1</v>
      </c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340">
        <v>1</v>
      </c>
      <c r="P36" s="343">
        <f t="shared" si="1"/>
        <v>-1</v>
      </c>
      <c r="Q36" s="7">
        <v>68</v>
      </c>
      <c r="R36" s="63"/>
      <c r="S36" s="77">
        <v>46631</v>
      </c>
      <c r="T36" s="16">
        <v>2</v>
      </c>
      <c r="U36" s="16">
        <v>3</v>
      </c>
      <c r="V36" s="77">
        <v>45717</v>
      </c>
      <c r="AA36" s="205">
        <f t="shared" si="2"/>
        <v>0</v>
      </c>
      <c r="AB36" s="206">
        <f t="shared" si="3"/>
        <v>0</v>
      </c>
      <c r="AC36" s="206">
        <f t="shared" si="4"/>
        <v>0</v>
      </c>
      <c r="AD36" s="206">
        <f t="shared" si="5"/>
        <v>0</v>
      </c>
    </row>
    <row r="37" spans="1:31" x14ac:dyDescent="0.25">
      <c r="A37" s="4">
        <f t="shared" si="7"/>
        <v>36</v>
      </c>
      <c r="B37" s="314" t="s">
        <v>685</v>
      </c>
      <c r="C37" s="340">
        <v>1</v>
      </c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343">
        <f t="shared" ref="O37:O68" si="8">SUM(C37-D37-E37-F37-G37-H37-I37-J37-K37-L37-M37-N37)</f>
        <v>1</v>
      </c>
      <c r="P37" s="343">
        <f t="shared" si="1"/>
        <v>7</v>
      </c>
      <c r="Q37" s="10">
        <v>142</v>
      </c>
      <c r="R37" s="309"/>
      <c r="S37" s="118">
        <v>47088</v>
      </c>
      <c r="T37" s="316">
        <v>1</v>
      </c>
      <c r="U37" s="322">
        <v>2</v>
      </c>
      <c r="V37" s="344">
        <v>45717</v>
      </c>
      <c r="W37" s="309">
        <v>1</v>
      </c>
      <c r="X37" s="309">
        <v>2</v>
      </c>
      <c r="Y37" s="309">
        <v>1</v>
      </c>
      <c r="Z37" s="309"/>
      <c r="AA37" s="205">
        <f t="shared" si="2"/>
        <v>4</v>
      </c>
      <c r="AB37" s="206">
        <f t="shared" si="3"/>
        <v>1</v>
      </c>
      <c r="AC37" s="206">
        <f t="shared" si="4"/>
        <v>4</v>
      </c>
      <c r="AD37" s="206">
        <f t="shared" si="5"/>
        <v>8</v>
      </c>
    </row>
    <row r="38" spans="1:31" x14ac:dyDescent="0.25">
      <c r="A38" s="4">
        <f t="shared" si="7"/>
        <v>37</v>
      </c>
      <c r="B38" s="314" t="s">
        <v>760</v>
      </c>
      <c r="C38" s="340">
        <v>1</v>
      </c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343">
        <f t="shared" si="8"/>
        <v>1</v>
      </c>
      <c r="P38" s="343">
        <f t="shared" si="1"/>
        <v>5</v>
      </c>
      <c r="Q38" s="7">
        <v>17</v>
      </c>
      <c r="R38" s="63" t="s">
        <v>807</v>
      </c>
      <c r="S38" s="107"/>
      <c r="T38" s="107">
        <v>3</v>
      </c>
      <c r="U38" s="127"/>
      <c r="V38" s="199">
        <v>45413</v>
      </c>
      <c r="W38" s="107">
        <v>1</v>
      </c>
      <c r="X38" s="107">
        <v>1</v>
      </c>
      <c r="Y38" s="107">
        <v>1</v>
      </c>
      <c r="Z38" s="309"/>
      <c r="AA38" s="205">
        <f t="shared" si="2"/>
        <v>3</v>
      </c>
      <c r="AB38" s="206">
        <f t="shared" ref="AB38:AB68" si="9">AA38/4</f>
        <v>0.75</v>
      </c>
      <c r="AC38" s="206">
        <f t="shared" si="4"/>
        <v>3</v>
      </c>
      <c r="AD38" s="206">
        <f t="shared" si="5"/>
        <v>6</v>
      </c>
    </row>
    <row r="39" spans="1:31" x14ac:dyDescent="0.25">
      <c r="A39" s="4">
        <f t="shared" si="7"/>
        <v>38</v>
      </c>
      <c r="B39" s="314" t="s">
        <v>1205</v>
      </c>
      <c r="C39" s="340">
        <v>2</v>
      </c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343">
        <f t="shared" si="8"/>
        <v>2</v>
      </c>
      <c r="P39" s="343">
        <f t="shared" si="1"/>
        <v>4</v>
      </c>
      <c r="Q39" s="7">
        <v>350</v>
      </c>
      <c r="R39" s="8"/>
      <c r="S39" s="77">
        <v>46082</v>
      </c>
      <c r="T39" s="16">
        <v>0</v>
      </c>
      <c r="V39" s="77">
        <v>45566</v>
      </c>
      <c r="W39" s="14">
        <v>1</v>
      </c>
      <c r="Y39" s="315">
        <v>1</v>
      </c>
      <c r="Z39" s="315">
        <v>1</v>
      </c>
      <c r="AA39" s="205">
        <f t="shared" ref="AA39:AA68" si="10">W39+X39+Y39+Z39</f>
        <v>3</v>
      </c>
      <c r="AB39" s="206">
        <f t="shared" si="9"/>
        <v>0.75</v>
      </c>
      <c r="AC39" s="206">
        <f t="shared" si="4"/>
        <v>3</v>
      </c>
      <c r="AD39" s="206">
        <f t="shared" si="5"/>
        <v>6</v>
      </c>
    </row>
    <row r="40" spans="1:31" ht="15" customHeight="1" x14ac:dyDescent="0.25">
      <c r="A40" s="4">
        <f t="shared" si="7"/>
        <v>39</v>
      </c>
      <c r="B40" s="314" t="s">
        <v>641</v>
      </c>
      <c r="C40" s="340">
        <v>1</v>
      </c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343">
        <f t="shared" si="8"/>
        <v>1</v>
      </c>
      <c r="P40" s="343">
        <f t="shared" si="1"/>
        <v>7</v>
      </c>
      <c r="Q40" s="7">
        <v>110</v>
      </c>
      <c r="R40" s="63"/>
      <c r="S40" s="77">
        <v>47027</v>
      </c>
      <c r="T40" s="16">
        <v>0</v>
      </c>
      <c r="V40" s="77">
        <v>45597</v>
      </c>
      <c r="W40" s="14">
        <v>1</v>
      </c>
      <c r="X40" s="14">
        <v>1</v>
      </c>
      <c r="Y40" s="315">
        <v>1</v>
      </c>
      <c r="Z40" s="315">
        <v>1</v>
      </c>
      <c r="AA40" s="205">
        <f t="shared" si="10"/>
        <v>4</v>
      </c>
      <c r="AB40" s="206">
        <f t="shared" si="9"/>
        <v>1</v>
      </c>
      <c r="AC40" s="206">
        <f t="shared" ref="AC40:AC68" si="11">AB40*4</f>
        <v>4</v>
      </c>
      <c r="AD40" s="206">
        <f t="shared" ref="AD40:AD68" si="12">AC40*2</f>
        <v>8</v>
      </c>
    </row>
    <row r="41" spans="1:31" x14ac:dyDescent="0.25">
      <c r="A41" s="4">
        <f t="shared" si="7"/>
        <v>40</v>
      </c>
      <c r="B41" s="314" t="s">
        <v>647</v>
      </c>
      <c r="C41" s="413">
        <v>6</v>
      </c>
      <c r="D41" s="363"/>
      <c r="E41" s="478"/>
      <c r="F41" s="359"/>
      <c r="G41" s="478"/>
      <c r="H41" s="359"/>
      <c r="I41" s="478">
        <v>3</v>
      </c>
      <c r="J41" s="359"/>
      <c r="K41" s="478"/>
      <c r="L41" s="359"/>
      <c r="M41" s="478"/>
      <c r="N41" s="561"/>
      <c r="O41" s="343">
        <f t="shared" si="8"/>
        <v>3</v>
      </c>
      <c r="P41" s="343">
        <f t="shared" si="1"/>
        <v>11</v>
      </c>
      <c r="Q41" s="7">
        <v>29</v>
      </c>
      <c r="R41" s="207"/>
      <c r="S41" s="83">
        <v>47027</v>
      </c>
      <c r="T41" s="315">
        <v>8</v>
      </c>
      <c r="U41" s="318"/>
      <c r="V41" s="83">
        <v>45658</v>
      </c>
      <c r="W41" s="315">
        <v>1</v>
      </c>
      <c r="X41" s="315">
        <v>1</v>
      </c>
      <c r="Y41" s="315">
        <v>2</v>
      </c>
      <c r="Z41" s="315">
        <v>3</v>
      </c>
      <c r="AA41" s="205">
        <f t="shared" si="10"/>
        <v>7</v>
      </c>
      <c r="AB41" s="206">
        <f t="shared" si="9"/>
        <v>1.75</v>
      </c>
      <c r="AC41" s="206">
        <f t="shared" si="11"/>
        <v>7</v>
      </c>
      <c r="AD41" s="206">
        <f t="shared" si="12"/>
        <v>14</v>
      </c>
    </row>
    <row r="42" spans="1:31" x14ac:dyDescent="0.25">
      <c r="A42" s="4">
        <f t="shared" si="7"/>
        <v>41</v>
      </c>
      <c r="B42" s="314" t="s">
        <v>646</v>
      </c>
      <c r="C42" s="413">
        <v>5</v>
      </c>
      <c r="D42" s="363"/>
      <c r="E42" s="478"/>
      <c r="F42" s="359"/>
      <c r="G42" s="478"/>
      <c r="H42" s="359"/>
      <c r="I42" s="478"/>
      <c r="J42" s="359"/>
      <c r="K42" s="478"/>
      <c r="L42" s="359"/>
      <c r="M42" s="478">
        <v>2</v>
      </c>
      <c r="N42" s="561"/>
      <c r="O42" s="343">
        <f t="shared" si="8"/>
        <v>3</v>
      </c>
      <c r="P42" s="343">
        <f t="shared" si="1"/>
        <v>15</v>
      </c>
      <c r="Q42" s="7">
        <v>29</v>
      </c>
      <c r="R42" s="66"/>
      <c r="S42" s="83">
        <v>47027</v>
      </c>
      <c r="T42" s="315">
        <v>6</v>
      </c>
      <c r="U42" s="318"/>
      <c r="V42" s="83">
        <v>45689</v>
      </c>
      <c r="W42" s="315">
        <v>2</v>
      </c>
      <c r="X42" s="315">
        <v>1</v>
      </c>
      <c r="Y42" s="315">
        <v>4</v>
      </c>
      <c r="Z42" s="315">
        <v>2</v>
      </c>
      <c r="AA42" s="205">
        <f t="shared" si="10"/>
        <v>9</v>
      </c>
      <c r="AB42" s="206">
        <f t="shared" si="9"/>
        <v>2.25</v>
      </c>
      <c r="AC42" s="206">
        <f t="shared" si="11"/>
        <v>9</v>
      </c>
      <c r="AD42" s="206">
        <f t="shared" si="12"/>
        <v>18</v>
      </c>
    </row>
    <row r="43" spans="1:31" x14ac:dyDescent="0.25">
      <c r="A43" s="4">
        <f t="shared" si="7"/>
        <v>42</v>
      </c>
      <c r="B43" s="314" t="s">
        <v>825</v>
      </c>
      <c r="C43" s="340">
        <v>1</v>
      </c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343">
        <f t="shared" si="8"/>
        <v>1</v>
      </c>
      <c r="P43" s="343">
        <f t="shared" si="1"/>
        <v>7</v>
      </c>
      <c r="Q43" s="7">
        <v>20</v>
      </c>
      <c r="R43" s="63"/>
      <c r="S43" s="77">
        <v>45992</v>
      </c>
      <c r="T43" s="16">
        <v>3</v>
      </c>
      <c r="V43" s="77">
        <v>45627</v>
      </c>
      <c r="W43" s="14">
        <v>1</v>
      </c>
      <c r="X43" s="14">
        <v>1</v>
      </c>
      <c r="Y43" s="315">
        <v>1</v>
      </c>
      <c r="Z43" s="315">
        <v>1</v>
      </c>
      <c r="AA43" s="205">
        <f t="shared" si="10"/>
        <v>4</v>
      </c>
      <c r="AB43" s="206">
        <f t="shared" si="9"/>
        <v>1</v>
      </c>
      <c r="AC43" s="206">
        <f t="shared" si="11"/>
        <v>4</v>
      </c>
      <c r="AD43" s="206">
        <f t="shared" si="12"/>
        <v>8</v>
      </c>
    </row>
    <row r="44" spans="1:31" x14ac:dyDescent="0.25">
      <c r="A44" s="4">
        <f t="shared" si="7"/>
        <v>43</v>
      </c>
      <c r="B44" s="314" t="s">
        <v>826</v>
      </c>
      <c r="C44" s="340">
        <v>1</v>
      </c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343">
        <f t="shared" si="8"/>
        <v>1</v>
      </c>
      <c r="P44" s="343">
        <f t="shared" si="1"/>
        <v>7</v>
      </c>
      <c r="Q44" s="7">
        <v>20</v>
      </c>
      <c r="R44" s="63"/>
      <c r="S44" s="77">
        <v>46357</v>
      </c>
      <c r="T44" s="16">
        <v>1</v>
      </c>
      <c r="V44" s="77">
        <v>45627</v>
      </c>
      <c r="W44" s="14">
        <v>1</v>
      </c>
      <c r="X44" s="14">
        <v>1</v>
      </c>
      <c r="Z44" s="315">
        <v>2</v>
      </c>
      <c r="AA44" s="205">
        <f t="shared" si="10"/>
        <v>4</v>
      </c>
      <c r="AB44" s="206">
        <f t="shared" si="9"/>
        <v>1</v>
      </c>
      <c r="AC44" s="206">
        <f t="shared" si="11"/>
        <v>4</v>
      </c>
      <c r="AD44" s="206">
        <f t="shared" si="12"/>
        <v>8</v>
      </c>
    </row>
    <row r="45" spans="1:31" x14ac:dyDescent="0.25">
      <c r="A45" s="4">
        <f t="shared" si="7"/>
        <v>44</v>
      </c>
      <c r="B45" s="314" t="s">
        <v>914</v>
      </c>
      <c r="C45" s="340">
        <v>131</v>
      </c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343">
        <f t="shared" si="8"/>
        <v>131</v>
      </c>
      <c r="P45" s="343">
        <f t="shared" si="1"/>
        <v>-45</v>
      </c>
      <c r="Q45" s="7">
        <v>1</v>
      </c>
      <c r="R45" s="63"/>
      <c r="S45" s="335">
        <v>46174</v>
      </c>
      <c r="T45" s="326">
        <v>0</v>
      </c>
      <c r="U45" s="326"/>
      <c r="V45" s="335">
        <v>45474</v>
      </c>
      <c r="W45" s="14">
        <v>10</v>
      </c>
      <c r="X45" s="14">
        <v>13</v>
      </c>
      <c r="Y45" s="315">
        <v>10</v>
      </c>
      <c r="Z45" s="315">
        <v>10</v>
      </c>
      <c r="AA45" s="205">
        <f t="shared" si="10"/>
        <v>43</v>
      </c>
      <c r="AB45" s="206">
        <f t="shared" si="9"/>
        <v>10.75</v>
      </c>
      <c r="AC45" s="206">
        <f t="shared" si="11"/>
        <v>43</v>
      </c>
      <c r="AD45" s="206">
        <f t="shared" si="12"/>
        <v>86</v>
      </c>
    </row>
    <row r="46" spans="1:31" x14ac:dyDescent="0.25">
      <c r="A46" s="4">
        <f t="shared" si="7"/>
        <v>45</v>
      </c>
      <c r="B46" s="314" t="s">
        <v>1032</v>
      </c>
      <c r="C46" s="340">
        <v>4</v>
      </c>
      <c r="D46" s="367"/>
      <c r="E46" s="479"/>
      <c r="F46" s="364"/>
      <c r="G46" s="486"/>
      <c r="H46" s="364"/>
      <c r="I46" s="486"/>
      <c r="J46" s="381"/>
      <c r="K46" s="487"/>
      <c r="L46" s="364"/>
      <c r="M46" s="486"/>
      <c r="N46" s="568"/>
      <c r="O46" s="343">
        <f t="shared" si="8"/>
        <v>4</v>
      </c>
      <c r="P46" s="343">
        <f t="shared" si="1"/>
        <v>14</v>
      </c>
      <c r="Q46" s="10">
        <v>20</v>
      </c>
      <c r="R46" s="91"/>
      <c r="S46" s="110">
        <v>46357</v>
      </c>
      <c r="T46" s="53">
        <v>18</v>
      </c>
      <c r="U46" s="53">
        <v>10</v>
      </c>
      <c r="V46" s="197">
        <v>45717</v>
      </c>
      <c r="W46" s="189">
        <v>2</v>
      </c>
      <c r="X46" s="189">
        <v>1</v>
      </c>
      <c r="Y46" s="189">
        <v>3</v>
      </c>
      <c r="Z46" s="189">
        <v>3</v>
      </c>
      <c r="AA46" s="205">
        <f t="shared" si="10"/>
        <v>9</v>
      </c>
      <c r="AB46" s="206">
        <f t="shared" si="9"/>
        <v>2.25</v>
      </c>
      <c r="AC46" s="206">
        <f t="shared" si="11"/>
        <v>9</v>
      </c>
      <c r="AD46" s="206">
        <f t="shared" si="12"/>
        <v>18</v>
      </c>
      <c r="AE46" s="206"/>
    </row>
    <row r="47" spans="1:31" x14ac:dyDescent="0.25">
      <c r="A47" s="4">
        <f t="shared" si="7"/>
        <v>46</v>
      </c>
      <c r="B47" s="651" t="s">
        <v>950</v>
      </c>
      <c r="C47" s="653">
        <v>25</v>
      </c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343">
        <f t="shared" si="8"/>
        <v>25</v>
      </c>
      <c r="P47" s="343">
        <f t="shared" si="1"/>
        <v>15</v>
      </c>
      <c r="Q47" s="10">
        <v>4.4000000000000004</v>
      </c>
      <c r="R47" s="63"/>
      <c r="S47" s="655">
        <v>45839</v>
      </c>
      <c r="T47" s="318">
        <v>5</v>
      </c>
      <c r="U47" s="318"/>
      <c r="V47" s="199">
        <v>45505</v>
      </c>
      <c r="W47" s="107">
        <v>3</v>
      </c>
      <c r="X47" s="107">
        <v>8</v>
      </c>
      <c r="Y47" s="309">
        <v>4</v>
      </c>
      <c r="Z47" s="428">
        <v>5</v>
      </c>
      <c r="AA47" s="205">
        <f t="shared" si="10"/>
        <v>20</v>
      </c>
      <c r="AB47" s="206">
        <f t="shared" si="9"/>
        <v>5</v>
      </c>
      <c r="AC47" s="206">
        <f t="shared" si="11"/>
        <v>20</v>
      </c>
      <c r="AD47" s="206">
        <f t="shared" si="12"/>
        <v>40</v>
      </c>
    </row>
    <row r="48" spans="1:31" x14ac:dyDescent="0.25">
      <c r="A48" s="4">
        <f t="shared" si="7"/>
        <v>47</v>
      </c>
      <c r="B48" s="314" t="s">
        <v>526</v>
      </c>
      <c r="C48" s="340">
        <v>1</v>
      </c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343">
        <f t="shared" si="8"/>
        <v>1</v>
      </c>
      <c r="P48" s="343">
        <f t="shared" si="1"/>
        <v>5</v>
      </c>
      <c r="Q48" s="7">
        <v>40</v>
      </c>
      <c r="R48" s="207"/>
      <c r="S48" s="118">
        <v>45992</v>
      </c>
      <c r="T48" s="318">
        <v>1</v>
      </c>
      <c r="U48" s="316"/>
      <c r="V48" s="344">
        <v>45413</v>
      </c>
      <c r="W48" s="309">
        <v>1</v>
      </c>
      <c r="X48" s="309">
        <v>1</v>
      </c>
      <c r="Y48" s="309"/>
      <c r="Z48" s="309">
        <v>1</v>
      </c>
      <c r="AA48" s="205">
        <f t="shared" si="10"/>
        <v>3</v>
      </c>
      <c r="AB48" s="206">
        <f t="shared" si="9"/>
        <v>0.75</v>
      </c>
      <c r="AC48" s="206">
        <f t="shared" si="11"/>
        <v>3</v>
      </c>
      <c r="AD48" s="206">
        <f t="shared" si="12"/>
        <v>6</v>
      </c>
    </row>
    <row r="49" spans="1:30" x14ac:dyDescent="0.25">
      <c r="A49" s="4">
        <f t="shared" si="7"/>
        <v>48</v>
      </c>
      <c r="B49" s="314" t="s">
        <v>182</v>
      </c>
      <c r="C49" s="340">
        <v>13</v>
      </c>
      <c r="D49" s="376"/>
      <c r="E49" s="478">
        <v>1</v>
      </c>
      <c r="F49" s="359">
        <v>1</v>
      </c>
      <c r="G49" s="478">
        <v>1</v>
      </c>
      <c r="H49" s="359"/>
      <c r="I49" s="478">
        <v>1</v>
      </c>
      <c r="J49" s="359">
        <v>1</v>
      </c>
      <c r="K49" s="478">
        <v>1</v>
      </c>
      <c r="L49" s="359">
        <v>1</v>
      </c>
      <c r="M49" s="478"/>
      <c r="N49" s="561"/>
      <c r="O49" s="343">
        <f t="shared" si="8"/>
        <v>6</v>
      </c>
      <c r="P49" s="343">
        <f t="shared" si="1"/>
        <v>28.200000000000003</v>
      </c>
      <c r="Q49" s="7">
        <v>10</v>
      </c>
      <c r="R49" s="68"/>
      <c r="S49" s="335">
        <v>46327</v>
      </c>
      <c r="T49" s="318">
        <v>2</v>
      </c>
      <c r="U49" s="318">
        <v>2</v>
      </c>
      <c r="V49" s="199">
        <v>45717</v>
      </c>
      <c r="W49" s="309">
        <v>5</v>
      </c>
      <c r="X49" s="309">
        <v>1.1000000000000001</v>
      </c>
      <c r="Y49" s="309">
        <v>4</v>
      </c>
      <c r="Z49" s="429">
        <v>7</v>
      </c>
      <c r="AA49" s="205">
        <f t="shared" si="10"/>
        <v>17.100000000000001</v>
      </c>
      <c r="AB49" s="206">
        <f t="shared" si="9"/>
        <v>4.2750000000000004</v>
      </c>
      <c r="AC49" s="206">
        <f t="shared" si="11"/>
        <v>17.100000000000001</v>
      </c>
      <c r="AD49" s="206">
        <f t="shared" si="12"/>
        <v>34.200000000000003</v>
      </c>
    </row>
    <row r="50" spans="1:30" x14ac:dyDescent="0.25">
      <c r="A50" s="4">
        <f t="shared" si="7"/>
        <v>49</v>
      </c>
      <c r="B50" s="314" t="s">
        <v>1215</v>
      </c>
      <c r="C50" s="340">
        <v>9</v>
      </c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343">
        <f t="shared" si="8"/>
        <v>9</v>
      </c>
      <c r="P50" s="343">
        <f t="shared" si="1"/>
        <v>3</v>
      </c>
      <c r="Q50" s="7">
        <v>4</v>
      </c>
      <c r="R50" s="8"/>
      <c r="S50" s="77">
        <v>46327</v>
      </c>
      <c r="T50" s="16">
        <v>1</v>
      </c>
      <c r="V50" s="77">
        <v>45627</v>
      </c>
      <c r="W50" s="14">
        <v>3</v>
      </c>
      <c r="X50" s="14">
        <v>1</v>
      </c>
      <c r="Y50" s="315">
        <v>1</v>
      </c>
      <c r="Z50" s="315">
        <v>1</v>
      </c>
      <c r="AA50" s="205">
        <f t="shared" si="10"/>
        <v>6</v>
      </c>
      <c r="AB50" s="206">
        <f t="shared" si="9"/>
        <v>1.5</v>
      </c>
      <c r="AC50" s="206">
        <f t="shared" si="11"/>
        <v>6</v>
      </c>
      <c r="AD50" s="206">
        <f t="shared" si="12"/>
        <v>12</v>
      </c>
    </row>
    <row r="51" spans="1:30" ht="15" customHeight="1" x14ac:dyDescent="0.25">
      <c r="A51" s="4">
        <f t="shared" si="7"/>
        <v>50</v>
      </c>
      <c r="B51" s="314" t="s">
        <v>1216</v>
      </c>
      <c r="C51" s="340">
        <v>15</v>
      </c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343">
        <f t="shared" si="8"/>
        <v>15</v>
      </c>
      <c r="P51" s="343">
        <f t="shared" si="1"/>
        <v>3</v>
      </c>
      <c r="Q51" s="7">
        <v>4</v>
      </c>
      <c r="R51" s="63"/>
      <c r="S51" s="77">
        <v>46327</v>
      </c>
      <c r="T51" s="16">
        <v>1</v>
      </c>
      <c r="V51" s="77">
        <v>45627</v>
      </c>
      <c r="W51" s="14">
        <v>3</v>
      </c>
      <c r="X51" s="14">
        <v>1</v>
      </c>
      <c r="Y51" s="315">
        <v>1</v>
      </c>
      <c r="Z51" s="315">
        <v>4</v>
      </c>
      <c r="AA51" s="205">
        <f t="shared" si="10"/>
        <v>9</v>
      </c>
      <c r="AB51" s="206">
        <f t="shared" si="9"/>
        <v>2.25</v>
      </c>
      <c r="AC51" s="206">
        <f t="shared" si="11"/>
        <v>9</v>
      </c>
      <c r="AD51" s="206">
        <f t="shared" si="12"/>
        <v>18</v>
      </c>
    </row>
    <row r="52" spans="1:30" ht="15" customHeight="1" x14ac:dyDescent="0.25">
      <c r="A52" s="4">
        <f t="shared" si="7"/>
        <v>51</v>
      </c>
      <c r="B52" s="314" t="s">
        <v>583</v>
      </c>
      <c r="C52" s="340">
        <v>2</v>
      </c>
      <c r="D52" s="359"/>
      <c r="E52" s="478"/>
      <c r="F52" s="359"/>
      <c r="G52" s="478"/>
      <c r="H52" s="359"/>
      <c r="I52" s="478"/>
      <c r="J52" s="359"/>
      <c r="K52" s="478"/>
      <c r="L52" s="359"/>
      <c r="M52" s="478">
        <v>1</v>
      </c>
      <c r="N52" s="561"/>
      <c r="O52" s="343">
        <f t="shared" si="8"/>
        <v>1</v>
      </c>
      <c r="P52" s="343">
        <f t="shared" si="1"/>
        <v>5</v>
      </c>
      <c r="Q52" s="10">
        <v>40</v>
      </c>
      <c r="R52" s="63"/>
      <c r="S52" s="118">
        <v>46054</v>
      </c>
      <c r="T52" s="316">
        <v>2</v>
      </c>
      <c r="U52" s="316"/>
      <c r="V52" s="344">
        <v>44958</v>
      </c>
      <c r="W52" s="309">
        <v>1</v>
      </c>
      <c r="X52" s="309"/>
      <c r="Y52" s="309">
        <v>1</v>
      </c>
      <c r="Z52" s="309">
        <v>1</v>
      </c>
      <c r="AA52" s="205">
        <f t="shared" si="10"/>
        <v>3</v>
      </c>
      <c r="AB52" s="206">
        <f t="shared" si="9"/>
        <v>0.75</v>
      </c>
      <c r="AC52" s="206">
        <f t="shared" si="11"/>
        <v>3</v>
      </c>
      <c r="AD52" s="206">
        <f t="shared" si="12"/>
        <v>6</v>
      </c>
    </row>
    <row r="53" spans="1:30" ht="15" customHeight="1" x14ac:dyDescent="0.25">
      <c r="A53" s="4">
        <f t="shared" si="7"/>
        <v>52</v>
      </c>
      <c r="B53" s="314" t="s">
        <v>1187</v>
      </c>
      <c r="C53" s="340">
        <v>119</v>
      </c>
      <c r="D53" s="359"/>
      <c r="E53" s="478">
        <v>4</v>
      </c>
      <c r="F53" s="359">
        <v>4</v>
      </c>
      <c r="G53" s="478">
        <v>5</v>
      </c>
      <c r="H53" s="359"/>
      <c r="I53" s="478">
        <v>7</v>
      </c>
      <c r="J53" s="359">
        <v>6</v>
      </c>
      <c r="K53" s="478">
        <v>10</v>
      </c>
      <c r="L53" s="359">
        <v>7</v>
      </c>
      <c r="M53" s="478"/>
      <c r="N53" s="561"/>
      <c r="O53" s="343">
        <f t="shared" si="8"/>
        <v>76</v>
      </c>
      <c r="P53" s="343">
        <f t="shared" si="1"/>
        <v>180</v>
      </c>
      <c r="Q53" s="7">
        <v>4</v>
      </c>
      <c r="R53" s="63"/>
      <c r="S53" s="77">
        <v>46082</v>
      </c>
      <c r="T53" s="16">
        <v>2</v>
      </c>
      <c r="U53" s="16">
        <v>2</v>
      </c>
      <c r="V53" s="77">
        <v>45717</v>
      </c>
      <c r="W53" s="14">
        <v>33</v>
      </c>
      <c r="X53" s="14">
        <v>35</v>
      </c>
      <c r="Y53" s="315">
        <v>17</v>
      </c>
      <c r="Z53" s="315">
        <v>43</v>
      </c>
      <c r="AA53" s="205">
        <f t="shared" si="10"/>
        <v>128</v>
      </c>
      <c r="AB53" s="206">
        <f t="shared" si="9"/>
        <v>32</v>
      </c>
      <c r="AC53" s="206">
        <f t="shared" si="11"/>
        <v>128</v>
      </c>
      <c r="AD53" s="206">
        <f t="shared" si="12"/>
        <v>256</v>
      </c>
    </row>
    <row r="54" spans="1:30" ht="15" customHeight="1" x14ac:dyDescent="0.25">
      <c r="A54" s="4">
        <f t="shared" si="7"/>
        <v>53</v>
      </c>
      <c r="B54" s="314" t="s">
        <v>657</v>
      </c>
      <c r="C54" s="340">
        <v>2</v>
      </c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343">
        <f t="shared" si="8"/>
        <v>2</v>
      </c>
      <c r="P54" s="343">
        <f t="shared" si="1"/>
        <v>12</v>
      </c>
      <c r="Q54" s="7">
        <v>82</v>
      </c>
      <c r="R54" s="63"/>
      <c r="S54" s="77">
        <v>46661</v>
      </c>
      <c r="T54" s="16">
        <v>6</v>
      </c>
      <c r="V54" s="77">
        <v>45689</v>
      </c>
      <c r="W54" s="14">
        <v>4</v>
      </c>
      <c r="X54" s="14">
        <v>1</v>
      </c>
      <c r="Y54" s="315">
        <v>1</v>
      </c>
      <c r="Z54" s="315">
        <v>1</v>
      </c>
      <c r="AA54" s="205">
        <f t="shared" si="10"/>
        <v>7</v>
      </c>
      <c r="AB54" s="206">
        <f t="shared" si="9"/>
        <v>1.75</v>
      </c>
      <c r="AC54" s="206">
        <f t="shared" si="11"/>
        <v>7</v>
      </c>
      <c r="AD54" s="206">
        <f t="shared" si="12"/>
        <v>14</v>
      </c>
    </row>
    <row r="55" spans="1:30" ht="15" customHeight="1" x14ac:dyDescent="0.25">
      <c r="A55" s="4">
        <f t="shared" si="7"/>
        <v>54</v>
      </c>
      <c r="B55" s="314" t="s">
        <v>805</v>
      </c>
      <c r="C55" s="340">
        <v>1</v>
      </c>
      <c r="D55" s="367"/>
      <c r="E55" s="479"/>
      <c r="F55" s="364"/>
      <c r="G55" s="486"/>
      <c r="H55" s="364"/>
      <c r="I55" s="483"/>
      <c r="J55" s="364"/>
      <c r="K55" s="486"/>
      <c r="L55" s="364"/>
      <c r="M55" s="486"/>
      <c r="N55" s="568"/>
      <c r="O55" s="343">
        <f t="shared" si="8"/>
        <v>1</v>
      </c>
      <c r="P55" s="343">
        <f t="shared" si="1"/>
        <v>11</v>
      </c>
      <c r="Q55" s="10">
        <v>50</v>
      </c>
      <c r="R55" s="208"/>
      <c r="S55" s="112">
        <v>46296</v>
      </c>
      <c r="T55" s="322">
        <v>3</v>
      </c>
      <c r="U55" s="322"/>
      <c r="V55" s="197">
        <v>45474</v>
      </c>
      <c r="W55" s="189">
        <v>2</v>
      </c>
      <c r="X55" s="189">
        <v>1</v>
      </c>
      <c r="Y55" s="189">
        <v>1</v>
      </c>
      <c r="Z55" s="189">
        <v>2</v>
      </c>
      <c r="AA55" s="205">
        <f t="shared" si="10"/>
        <v>6</v>
      </c>
      <c r="AB55" s="206">
        <f t="shared" si="9"/>
        <v>1.5</v>
      </c>
      <c r="AC55" s="206">
        <f t="shared" si="11"/>
        <v>6</v>
      </c>
      <c r="AD55" s="206">
        <f t="shared" si="12"/>
        <v>12</v>
      </c>
    </row>
    <row r="56" spans="1:30" ht="15.75" customHeight="1" x14ac:dyDescent="0.25">
      <c r="A56" s="4">
        <f t="shared" si="7"/>
        <v>55</v>
      </c>
      <c r="B56" s="314" t="s">
        <v>806</v>
      </c>
      <c r="C56" s="340">
        <v>18</v>
      </c>
      <c r="D56" s="359">
        <v>1</v>
      </c>
      <c r="E56" s="478">
        <v>3</v>
      </c>
      <c r="F56" s="359"/>
      <c r="G56" s="478">
        <v>1</v>
      </c>
      <c r="H56" s="359"/>
      <c r="I56" s="478">
        <v>2</v>
      </c>
      <c r="J56" s="359"/>
      <c r="K56" s="478"/>
      <c r="L56" s="359">
        <v>2</v>
      </c>
      <c r="M56" s="478">
        <v>2</v>
      </c>
      <c r="N56" s="561"/>
      <c r="O56" s="343">
        <f t="shared" si="8"/>
        <v>7</v>
      </c>
      <c r="P56" s="343">
        <f t="shared" si="1"/>
        <v>93</v>
      </c>
      <c r="Q56" s="7">
        <v>8</v>
      </c>
      <c r="R56" s="125"/>
      <c r="S56" s="118">
        <v>46753</v>
      </c>
      <c r="T56" s="316">
        <v>12</v>
      </c>
      <c r="U56" s="316">
        <v>12</v>
      </c>
      <c r="V56" s="118">
        <v>45717</v>
      </c>
      <c r="W56" s="28">
        <v>9</v>
      </c>
      <c r="X56" s="28">
        <v>18</v>
      </c>
      <c r="Y56" s="28">
        <v>12</v>
      </c>
      <c r="Z56" s="28">
        <v>11</v>
      </c>
      <c r="AA56" s="205">
        <f t="shared" si="10"/>
        <v>50</v>
      </c>
      <c r="AB56" s="206">
        <f t="shared" si="9"/>
        <v>12.5</v>
      </c>
      <c r="AC56" s="206">
        <f t="shared" si="11"/>
        <v>50</v>
      </c>
      <c r="AD56" s="206">
        <f t="shared" si="12"/>
        <v>100</v>
      </c>
    </row>
    <row r="57" spans="1:30" x14ac:dyDescent="0.25">
      <c r="A57" s="4">
        <f t="shared" si="7"/>
        <v>56</v>
      </c>
      <c r="B57" s="314" t="s">
        <v>1429</v>
      </c>
      <c r="C57" s="415">
        <v>2</v>
      </c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343">
        <f t="shared" si="8"/>
        <v>2</v>
      </c>
      <c r="P57" s="343">
        <f t="shared" si="1"/>
        <v>4</v>
      </c>
      <c r="Q57" s="7">
        <v>49</v>
      </c>
      <c r="R57" s="63"/>
      <c r="S57" s="77">
        <v>46357</v>
      </c>
      <c r="T57" s="16">
        <v>3</v>
      </c>
      <c r="V57" s="77">
        <v>45689</v>
      </c>
      <c r="X57" s="14">
        <v>1</v>
      </c>
      <c r="Y57" s="315">
        <v>1</v>
      </c>
      <c r="Z57" s="315">
        <v>1</v>
      </c>
      <c r="AA57" s="205">
        <f t="shared" si="10"/>
        <v>3</v>
      </c>
      <c r="AB57" s="206">
        <f t="shared" si="9"/>
        <v>0.75</v>
      </c>
      <c r="AC57" s="206">
        <f t="shared" si="11"/>
        <v>3</v>
      </c>
      <c r="AD57" s="206">
        <f t="shared" si="12"/>
        <v>6</v>
      </c>
    </row>
    <row r="58" spans="1:30" ht="15" customHeight="1" x14ac:dyDescent="0.25">
      <c r="A58" s="4">
        <f t="shared" si="7"/>
        <v>57</v>
      </c>
      <c r="B58" s="314" t="s">
        <v>1033</v>
      </c>
      <c r="C58" s="340">
        <v>162</v>
      </c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343">
        <f t="shared" si="8"/>
        <v>162</v>
      </c>
      <c r="P58" s="343">
        <f t="shared" si="1"/>
        <v>-126</v>
      </c>
      <c r="Q58" s="7">
        <v>1.2</v>
      </c>
      <c r="R58" s="63"/>
      <c r="S58" s="344">
        <v>45962</v>
      </c>
      <c r="T58" s="318">
        <v>0</v>
      </c>
      <c r="U58" s="318">
        <v>1</v>
      </c>
      <c r="V58" s="344">
        <v>45717</v>
      </c>
      <c r="W58" s="309">
        <v>4</v>
      </c>
      <c r="X58" s="309">
        <v>10</v>
      </c>
      <c r="Y58" s="309">
        <v>2</v>
      </c>
      <c r="Z58" s="309">
        <v>2</v>
      </c>
      <c r="AA58" s="205">
        <f t="shared" si="10"/>
        <v>18</v>
      </c>
      <c r="AB58" s="206">
        <f t="shared" si="9"/>
        <v>4.5</v>
      </c>
      <c r="AC58" s="206">
        <f t="shared" si="11"/>
        <v>18</v>
      </c>
      <c r="AD58" s="206">
        <f t="shared" si="12"/>
        <v>36</v>
      </c>
    </row>
    <row r="59" spans="1:30" ht="15" customHeight="1" x14ac:dyDescent="0.25">
      <c r="A59" s="4">
        <f t="shared" si="7"/>
        <v>58</v>
      </c>
      <c r="B59" s="314" t="s">
        <v>776</v>
      </c>
      <c r="C59" s="340">
        <v>96</v>
      </c>
      <c r="D59" s="359"/>
      <c r="E59" s="478">
        <v>5</v>
      </c>
      <c r="F59" s="359">
        <v>6</v>
      </c>
      <c r="G59" s="478"/>
      <c r="H59" s="359"/>
      <c r="I59" s="478"/>
      <c r="J59" s="359"/>
      <c r="K59" s="478"/>
      <c r="L59" s="359"/>
      <c r="M59" s="478"/>
      <c r="N59" s="561"/>
      <c r="O59" s="343">
        <f t="shared" si="8"/>
        <v>85</v>
      </c>
      <c r="P59" s="343">
        <f t="shared" si="1"/>
        <v>-47</v>
      </c>
      <c r="Q59" s="7">
        <v>1</v>
      </c>
      <c r="R59" s="63"/>
      <c r="S59" s="77">
        <v>46235</v>
      </c>
      <c r="T59" s="16">
        <v>0</v>
      </c>
      <c r="V59" s="77">
        <v>45474</v>
      </c>
      <c r="W59" s="14">
        <v>2</v>
      </c>
      <c r="X59" s="14">
        <v>2</v>
      </c>
      <c r="Y59" s="315">
        <v>4</v>
      </c>
      <c r="Z59" s="315">
        <v>11</v>
      </c>
      <c r="AA59" s="205">
        <f t="shared" si="10"/>
        <v>19</v>
      </c>
      <c r="AB59" s="206">
        <f t="shared" si="9"/>
        <v>4.75</v>
      </c>
      <c r="AC59" s="206">
        <f t="shared" si="11"/>
        <v>19</v>
      </c>
      <c r="AD59" s="206">
        <f t="shared" si="12"/>
        <v>38</v>
      </c>
    </row>
    <row r="60" spans="1:30" ht="16.5" customHeight="1" x14ac:dyDescent="0.25">
      <c r="A60" s="4">
        <f t="shared" si="7"/>
        <v>59</v>
      </c>
      <c r="B60" s="314" t="s">
        <v>1034</v>
      </c>
      <c r="C60" s="340">
        <v>41</v>
      </c>
      <c r="D60" s="359"/>
      <c r="E60" s="478"/>
      <c r="F60" s="359"/>
      <c r="G60" s="478"/>
      <c r="H60" s="359"/>
      <c r="I60" s="478"/>
      <c r="J60" s="359"/>
      <c r="K60" s="478">
        <v>12</v>
      </c>
      <c r="L60" s="359"/>
      <c r="M60" s="478"/>
      <c r="N60" s="561"/>
      <c r="O60" s="343">
        <f t="shared" si="8"/>
        <v>29</v>
      </c>
      <c r="P60" s="343">
        <f t="shared" si="1"/>
        <v>103</v>
      </c>
      <c r="Q60" s="7">
        <v>2</v>
      </c>
      <c r="R60" s="63"/>
      <c r="S60" s="77">
        <v>47058</v>
      </c>
      <c r="T60" s="16">
        <v>0</v>
      </c>
      <c r="V60" s="77">
        <v>45658</v>
      </c>
      <c r="W60" s="14">
        <v>36</v>
      </c>
      <c r="X60" s="14">
        <v>12</v>
      </c>
      <c r="Y60" s="315">
        <v>6</v>
      </c>
      <c r="Z60" s="315">
        <v>12</v>
      </c>
      <c r="AA60" s="205">
        <f t="shared" si="10"/>
        <v>66</v>
      </c>
      <c r="AB60" s="206">
        <f t="shared" si="9"/>
        <v>16.5</v>
      </c>
      <c r="AC60" s="206">
        <f t="shared" si="11"/>
        <v>66</v>
      </c>
      <c r="AD60" s="206">
        <f t="shared" si="12"/>
        <v>132</v>
      </c>
    </row>
    <row r="61" spans="1:30" ht="15" customHeight="1" x14ac:dyDescent="0.25">
      <c r="A61" s="4">
        <f t="shared" si="7"/>
        <v>60</v>
      </c>
      <c r="B61" s="314" t="s">
        <v>736</v>
      </c>
      <c r="C61" s="340">
        <v>3</v>
      </c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343">
        <f t="shared" si="8"/>
        <v>3</v>
      </c>
      <c r="P61" s="343">
        <f t="shared" si="1"/>
        <v>5</v>
      </c>
      <c r="Q61" s="7">
        <v>29</v>
      </c>
      <c r="R61" s="63"/>
      <c r="S61" s="77">
        <v>46143</v>
      </c>
      <c r="T61" s="16">
        <v>0</v>
      </c>
      <c r="U61" s="16">
        <v>2</v>
      </c>
      <c r="V61" s="77">
        <v>45717</v>
      </c>
      <c r="W61" s="14">
        <v>1</v>
      </c>
      <c r="X61" s="14">
        <v>1</v>
      </c>
      <c r="Y61" s="315">
        <v>1</v>
      </c>
      <c r="Z61" s="315">
        <v>1</v>
      </c>
      <c r="AA61" s="205">
        <f t="shared" si="10"/>
        <v>4</v>
      </c>
      <c r="AB61" s="206">
        <f t="shared" si="9"/>
        <v>1</v>
      </c>
      <c r="AC61" s="206">
        <f t="shared" si="11"/>
        <v>4</v>
      </c>
      <c r="AD61" s="206">
        <f t="shared" si="12"/>
        <v>8</v>
      </c>
    </row>
    <row r="62" spans="1:30" ht="15" customHeight="1" x14ac:dyDescent="0.25">
      <c r="A62" s="4">
        <f t="shared" si="7"/>
        <v>61</v>
      </c>
      <c r="B62" s="314" t="s">
        <v>1418</v>
      </c>
      <c r="C62" s="413">
        <v>15</v>
      </c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343">
        <f t="shared" si="8"/>
        <v>15</v>
      </c>
      <c r="P62" s="343">
        <f t="shared" si="1"/>
        <v>-9</v>
      </c>
      <c r="Q62" s="7">
        <v>12</v>
      </c>
      <c r="R62" s="63"/>
      <c r="S62" s="129">
        <v>46722</v>
      </c>
      <c r="T62" s="66">
        <v>1</v>
      </c>
      <c r="U62" s="323"/>
      <c r="V62" s="199">
        <v>45689</v>
      </c>
      <c r="W62" s="107"/>
      <c r="X62" s="107">
        <v>1</v>
      </c>
      <c r="Y62" s="309">
        <v>2</v>
      </c>
      <c r="Z62" s="309"/>
      <c r="AA62" s="205">
        <f t="shared" si="10"/>
        <v>3</v>
      </c>
      <c r="AB62" s="206">
        <f t="shared" si="9"/>
        <v>0.75</v>
      </c>
      <c r="AC62" s="206">
        <f t="shared" si="11"/>
        <v>3</v>
      </c>
      <c r="AD62" s="206">
        <f t="shared" si="12"/>
        <v>6</v>
      </c>
    </row>
    <row r="63" spans="1:30" ht="15" customHeight="1" x14ac:dyDescent="0.25">
      <c r="A63" s="4">
        <f t="shared" si="7"/>
        <v>62</v>
      </c>
      <c r="B63" s="314" t="s">
        <v>915</v>
      </c>
      <c r="C63" s="340">
        <v>27</v>
      </c>
      <c r="D63" s="360"/>
      <c r="E63" s="480"/>
      <c r="F63" s="360"/>
      <c r="G63" s="480"/>
      <c r="H63" s="360"/>
      <c r="I63" s="480"/>
      <c r="J63" s="360"/>
      <c r="K63" s="480"/>
      <c r="L63" s="360">
        <v>1</v>
      </c>
      <c r="M63" s="480"/>
      <c r="N63" s="562"/>
      <c r="O63" s="343">
        <f t="shared" si="8"/>
        <v>26</v>
      </c>
      <c r="P63" s="343">
        <f t="shared" si="1"/>
        <v>40</v>
      </c>
      <c r="Q63" s="7">
        <v>20</v>
      </c>
      <c r="R63" s="8"/>
      <c r="S63" s="118">
        <v>46054</v>
      </c>
      <c r="T63" s="316">
        <v>7</v>
      </c>
      <c r="U63" s="316"/>
      <c r="V63" s="199">
        <v>45689</v>
      </c>
      <c r="W63" s="127">
        <v>9</v>
      </c>
      <c r="X63" s="127">
        <v>8</v>
      </c>
      <c r="Y63" s="318">
        <v>15</v>
      </c>
      <c r="Z63" s="318">
        <v>1</v>
      </c>
      <c r="AA63" s="205">
        <f t="shared" si="10"/>
        <v>33</v>
      </c>
      <c r="AB63" s="206">
        <f t="shared" si="9"/>
        <v>8.25</v>
      </c>
      <c r="AC63" s="206">
        <f t="shared" si="11"/>
        <v>33</v>
      </c>
      <c r="AD63" s="206">
        <f t="shared" si="12"/>
        <v>66</v>
      </c>
    </row>
    <row r="64" spans="1:30" x14ac:dyDescent="0.25">
      <c r="A64" s="4">
        <f t="shared" si="7"/>
        <v>63</v>
      </c>
      <c r="B64" s="314" t="s">
        <v>777</v>
      </c>
      <c r="C64" s="340">
        <v>28</v>
      </c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343">
        <f t="shared" si="8"/>
        <v>28</v>
      </c>
      <c r="P64" s="343">
        <f t="shared" si="1"/>
        <v>4</v>
      </c>
      <c r="Q64" s="7">
        <v>2</v>
      </c>
      <c r="R64" s="8"/>
      <c r="S64" s="77">
        <v>46478</v>
      </c>
      <c r="T64" s="16">
        <v>0</v>
      </c>
      <c r="V64" s="77">
        <v>45292</v>
      </c>
      <c r="W64" s="14">
        <v>8</v>
      </c>
      <c r="X64" s="14">
        <v>1</v>
      </c>
      <c r="Y64" s="315">
        <v>4</v>
      </c>
      <c r="Z64" s="315">
        <v>3</v>
      </c>
      <c r="AA64" s="205">
        <f t="shared" si="10"/>
        <v>16</v>
      </c>
      <c r="AB64" s="206">
        <f t="shared" si="9"/>
        <v>4</v>
      </c>
      <c r="AC64" s="206">
        <f t="shared" si="11"/>
        <v>16</v>
      </c>
      <c r="AD64" s="206">
        <f t="shared" si="12"/>
        <v>32</v>
      </c>
    </row>
    <row r="65" spans="1:30" ht="15" customHeight="1" x14ac:dyDescent="0.25">
      <c r="A65" s="4">
        <f t="shared" si="7"/>
        <v>64</v>
      </c>
      <c r="B65" s="314" t="s">
        <v>519</v>
      </c>
      <c r="C65" s="340">
        <v>1</v>
      </c>
      <c r="D65" s="698"/>
      <c r="E65" s="699"/>
      <c r="F65" s="700"/>
      <c r="G65" s="486"/>
      <c r="H65" s="364"/>
      <c r="I65" s="486"/>
      <c r="J65" s="381"/>
      <c r="K65" s="487"/>
      <c r="L65" s="364"/>
      <c r="M65" s="486"/>
      <c r="N65" s="568"/>
      <c r="O65" s="343">
        <f t="shared" si="8"/>
        <v>1</v>
      </c>
      <c r="P65" s="343">
        <f t="shared" si="1"/>
        <v>7</v>
      </c>
      <c r="Q65" s="7">
        <v>45</v>
      </c>
      <c r="R65" s="187"/>
      <c r="S65" s="112">
        <v>46082</v>
      </c>
      <c r="T65" s="322">
        <v>0</v>
      </c>
      <c r="U65" s="322"/>
      <c r="V65" s="197">
        <v>45658</v>
      </c>
      <c r="W65" s="189">
        <v>1</v>
      </c>
      <c r="X65" s="189">
        <v>1</v>
      </c>
      <c r="Y65" s="189">
        <v>1</v>
      </c>
      <c r="Z65" s="189">
        <v>1</v>
      </c>
      <c r="AA65" s="205">
        <f t="shared" si="10"/>
        <v>4</v>
      </c>
      <c r="AB65" s="206">
        <f t="shared" si="9"/>
        <v>1</v>
      </c>
      <c r="AC65" s="206">
        <f t="shared" si="11"/>
        <v>4</v>
      </c>
      <c r="AD65" s="206">
        <f t="shared" si="12"/>
        <v>8</v>
      </c>
    </row>
    <row r="66" spans="1:30" x14ac:dyDescent="0.25">
      <c r="A66" s="4">
        <f t="shared" si="7"/>
        <v>65</v>
      </c>
      <c r="B66" s="314" t="s">
        <v>949</v>
      </c>
      <c r="C66" s="415">
        <v>1</v>
      </c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343">
        <f t="shared" si="8"/>
        <v>1</v>
      </c>
      <c r="P66" s="343">
        <f t="shared" ref="P66:P129" si="13">AD66-O66</f>
        <v>1</v>
      </c>
      <c r="Q66" s="7">
        <v>55</v>
      </c>
      <c r="R66" s="63"/>
      <c r="S66" s="77">
        <v>46722</v>
      </c>
      <c r="T66" s="16">
        <v>1</v>
      </c>
      <c r="V66" s="77">
        <v>45505</v>
      </c>
      <c r="Z66" s="315">
        <v>1</v>
      </c>
      <c r="AA66" s="205">
        <f t="shared" si="10"/>
        <v>1</v>
      </c>
      <c r="AB66" s="206">
        <f t="shared" si="9"/>
        <v>0.25</v>
      </c>
      <c r="AC66" s="206">
        <f t="shared" si="11"/>
        <v>1</v>
      </c>
      <c r="AD66" s="206">
        <f t="shared" si="12"/>
        <v>2</v>
      </c>
    </row>
    <row r="67" spans="1:30" ht="13.5" customHeight="1" x14ac:dyDescent="0.25">
      <c r="A67" s="4">
        <f t="shared" si="7"/>
        <v>66</v>
      </c>
      <c r="B67" s="314" t="s">
        <v>675</v>
      </c>
      <c r="C67" s="340">
        <v>8</v>
      </c>
      <c r="D67" s="359"/>
      <c r="E67" s="478"/>
      <c r="F67" s="359"/>
      <c r="G67" s="478"/>
      <c r="H67" s="359"/>
      <c r="I67" s="478"/>
      <c r="J67" s="359"/>
      <c r="K67" s="478"/>
      <c r="L67" s="359">
        <v>1</v>
      </c>
      <c r="M67" s="478"/>
      <c r="N67" s="561"/>
      <c r="O67" s="343">
        <f t="shared" si="8"/>
        <v>7</v>
      </c>
      <c r="P67" s="343">
        <f t="shared" si="13"/>
        <v>3</v>
      </c>
      <c r="Q67" s="7">
        <v>7</v>
      </c>
      <c r="R67" s="63"/>
      <c r="S67" s="77">
        <v>46357</v>
      </c>
      <c r="T67" s="16">
        <v>0</v>
      </c>
      <c r="V67" s="77">
        <v>45536</v>
      </c>
      <c r="W67" s="14">
        <v>1</v>
      </c>
      <c r="X67" s="14">
        <v>2</v>
      </c>
      <c r="Y67" s="315">
        <v>1</v>
      </c>
      <c r="Z67" s="315">
        <v>1</v>
      </c>
      <c r="AA67" s="205">
        <f t="shared" si="10"/>
        <v>5</v>
      </c>
      <c r="AB67" s="206">
        <f t="shared" si="9"/>
        <v>1.25</v>
      </c>
      <c r="AC67" s="206">
        <f t="shared" si="11"/>
        <v>5</v>
      </c>
      <c r="AD67" s="206">
        <f t="shared" si="12"/>
        <v>10</v>
      </c>
    </row>
    <row r="68" spans="1:30" ht="15" customHeight="1" x14ac:dyDescent="0.25">
      <c r="A68" s="4">
        <f t="shared" si="7"/>
        <v>67</v>
      </c>
      <c r="B68" s="314" t="s">
        <v>861</v>
      </c>
      <c r="C68" s="340">
        <v>16</v>
      </c>
      <c r="D68" s="359"/>
      <c r="E68" s="478"/>
      <c r="F68" s="359">
        <v>5</v>
      </c>
      <c r="G68" s="478"/>
      <c r="H68" s="359"/>
      <c r="I68" s="478">
        <v>1</v>
      </c>
      <c r="J68" s="359"/>
      <c r="K68" s="478">
        <v>2</v>
      </c>
      <c r="L68" s="359"/>
      <c r="M68" s="478"/>
      <c r="N68" s="561"/>
      <c r="O68" s="343">
        <f t="shared" si="8"/>
        <v>8</v>
      </c>
      <c r="P68" s="343">
        <f t="shared" si="13"/>
        <v>24</v>
      </c>
      <c r="Q68" s="7">
        <v>10</v>
      </c>
      <c r="R68" s="68"/>
      <c r="S68" s="118">
        <v>46600</v>
      </c>
      <c r="T68" s="316">
        <v>1</v>
      </c>
      <c r="U68" s="316"/>
      <c r="V68" s="118">
        <v>45689</v>
      </c>
      <c r="W68" s="28">
        <v>3</v>
      </c>
      <c r="X68" s="28">
        <v>4</v>
      </c>
      <c r="Y68" s="28">
        <v>1</v>
      </c>
      <c r="Z68" s="28">
        <v>8</v>
      </c>
      <c r="AA68" s="205">
        <f t="shared" si="10"/>
        <v>16</v>
      </c>
      <c r="AB68" s="206">
        <f t="shared" si="9"/>
        <v>4</v>
      </c>
      <c r="AC68" s="206">
        <f t="shared" si="11"/>
        <v>16</v>
      </c>
      <c r="AD68" s="206">
        <f t="shared" si="12"/>
        <v>32</v>
      </c>
    </row>
    <row r="69" spans="1:30" x14ac:dyDescent="0.25">
      <c r="A69" s="4">
        <f t="shared" si="7"/>
        <v>68</v>
      </c>
      <c r="B69" s="314" t="s">
        <v>129</v>
      </c>
      <c r="C69" s="340">
        <v>4</v>
      </c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343">
        <f t="shared" ref="O69:O100" si="14">SUM(C69-D69-E69-F69-G69-H69-I69-J69-K69-L69-M69-N69)</f>
        <v>4</v>
      </c>
      <c r="P69" s="343">
        <f t="shared" si="13"/>
        <v>8</v>
      </c>
      <c r="Q69" s="7">
        <v>35</v>
      </c>
      <c r="R69" s="68"/>
      <c r="S69" s="337">
        <v>46113</v>
      </c>
      <c r="T69" s="318">
        <v>4</v>
      </c>
      <c r="U69" s="318">
        <v>4</v>
      </c>
      <c r="V69" s="199">
        <v>45717</v>
      </c>
      <c r="W69" s="309">
        <v>3</v>
      </c>
      <c r="X69" s="309">
        <v>1</v>
      </c>
      <c r="Y69" s="309">
        <v>1</v>
      </c>
      <c r="Z69" s="429">
        <v>1</v>
      </c>
      <c r="AA69" s="205">
        <f t="shared" ref="AA69:AA100" si="15">W69+X69+Y69+Z69</f>
        <v>6</v>
      </c>
      <c r="AB69" s="206">
        <f t="shared" ref="AB69:AB100" si="16">AA69/4</f>
        <v>1.5</v>
      </c>
      <c r="AC69" s="206">
        <f t="shared" ref="AC69:AC100" si="17">AB69*4</f>
        <v>6</v>
      </c>
      <c r="AD69" s="206">
        <f t="shared" ref="AD69:AD100" si="18">AC69*2</f>
        <v>12</v>
      </c>
    </row>
    <row r="70" spans="1:30" x14ac:dyDescent="0.25">
      <c r="A70" s="4">
        <f t="shared" si="7"/>
        <v>69</v>
      </c>
      <c r="B70" s="314" t="s">
        <v>130</v>
      </c>
      <c r="C70" s="340">
        <v>3</v>
      </c>
      <c r="D70" s="359"/>
      <c r="E70" s="478"/>
      <c r="F70" s="359"/>
      <c r="G70" s="480"/>
      <c r="H70" s="360"/>
      <c r="I70" s="480"/>
      <c r="J70" s="360"/>
      <c r="K70" s="480"/>
      <c r="L70" s="360"/>
      <c r="M70" s="480"/>
      <c r="N70" s="562"/>
      <c r="O70" s="343">
        <f t="shared" si="14"/>
        <v>3</v>
      </c>
      <c r="P70" s="343">
        <f t="shared" si="13"/>
        <v>9</v>
      </c>
      <c r="Q70" s="7">
        <v>39</v>
      </c>
      <c r="R70" s="63"/>
      <c r="S70" s="83">
        <v>46388</v>
      </c>
      <c r="T70" s="313">
        <v>2</v>
      </c>
      <c r="U70" s="313">
        <v>6</v>
      </c>
      <c r="V70" s="81">
        <v>45717</v>
      </c>
      <c r="W70" s="28">
        <v>1</v>
      </c>
      <c r="X70" s="28">
        <v>2</v>
      </c>
      <c r="Y70" s="28">
        <v>1</v>
      </c>
      <c r="Z70" s="429">
        <v>2</v>
      </c>
      <c r="AA70" s="205">
        <f t="shared" si="15"/>
        <v>6</v>
      </c>
      <c r="AB70" s="206">
        <f t="shared" si="16"/>
        <v>1.5</v>
      </c>
      <c r="AC70" s="206">
        <f t="shared" si="17"/>
        <v>6</v>
      </c>
      <c r="AD70" s="206">
        <f t="shared" si="18"/>
        <v>12</v>
      </c>
    </row>
    <row r="71" spans="1:30" x14ac:dyDescent="0.25">
      <c r="A71" s="4">
        <f t="shared" si="7"/>
        <v>70</v>
      </c>
      <c r="B71" s="472" t="s">
        <v>132</v>
      </c>
      <c r="C71" s="340">
        <v>6</v>
      </c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343">
        <f t="shared" si="14"/>
        <v>6</v>
      </c>
      <c r="P71" s="343">
        <f t="shared" si="13"/>
        <v>6</v>
      </c>
      <c r="Q71" s="7">
        <v>39</v>
      </c>
      <c r="R71" s="68" t="s">
        <v>77</v>
      </c>
      <c r="S71" s="335">
        <v>46235</v>
      </c>
      <c r="T71" s="318">
        <v>6</v>
      </c>
      <c r="U71" s="318">
        <v>6</v>
      </c>
      <c r="V71" s="344">
        <v>45717</v>
      </c>
      <c r="W71" s="309">
        <v>1</v>
      </c>
      <c r="X71" s="309">
        <v>1</v>
      </c>
      <c r="Y71" s="309">
        <v>1</v>
      </c>
      <c r="Z71" s="429">
        <v>3</v>
      </c>
      <c r="AA71" s="205">
        <f t="shared" si="15"/>
        <v>6</v>
      </c>
      <c r="AB71" s="206">
        <f t="shared" si="16"/>
        <v>1.5</v>
      </c>
      <c r="AC71" s="206">
        <f t="shared" si="17"/>
        <v>6</v>
      </c>
      <c r="AD71" s="206">
        <f t="shared" si="18"/>
        <v>12</v>
      </c>
    </row>
    <row r="72" spans="1:30" ht="15" customHeight="1" x14ac:dyDescent="0.25">
      <c r="A72" s="4">
        <f t="shared" si="7"/>
        <v>71</v>
      </c>
      <c r="B72" s="314" t="s">
        <v>1035</v>
      </c>
      <c r="C72" s="340">
        <v>98</v>
      </c>
      <c r="D72" s="359">
        <v>10</v>
      </c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343">
        <f t="shared" si="14"/>
        <v>88</v>
      </c>
      <c r="P72" s="343">
        <f t="shared" si="13"/>
        <v>110</v>
      </c>
      <c r="Q72" s="7">
        <v>0.5</v>
      </c>
      <c r="R72" s="8"/>
      <c r="S72" s="77">
        <v>46478</v>
      </c>
      <c r="T72" s="16">
        <v>4</v>
      </c>
      <c r="V72" s="77">
        <v>45536</v>
      </c>
      <c r="W72" s="107">
        <v>24</v>
      </c>
      <c r="X72" s="107">
        <v>42</v>
      </c>
      <c r="Y72" s="309">
        <v>23</v>
      </c>
      <c r="Z72" s="309">
        <v>10</v>
      </c>
      <c r="AA72" s="205">
        <f t="shared" si="15"/>
        <v>99</v>
      </c>
      <c r="AB72" s="206">
        <f t="shared" si="16"/>
        <v>24.75</v>
      </c>
      <c r="AC72" s="206">
        <f t="shared" si="17"/>
        <v>99</v>
      </c>
      <c r="AD72" s="206">
        <f t="shared" si="18"/>
        <v>198</v>
      </c>
    </row>
    <row r="73" spans="1:30" ht="15" customHeight="1" x14ac:dyDescent="0.25">
      <c r="A73" s="4">
        <f t="shared" si="7"/>
        <v>72</v>
      </c>
      <c r="B73" s="314" t="s">
        <v>1036</v>
      </c>
      <c r="C73" s="340">
        <v>1</v>
      </c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343">
        <f t="shared" si="14"/>
        <v>1</v>
      </c>
      <c r="P73" s="343">
        <f t="shared" si="13"/>
        <v>5</v>
      </c>
      <c r="Q73" s="7">
        <v>95</v>
      </c>
      <c r="R73" s="63"/>
      <c r="S73" s="77">
        <v>46722</v>
      </c>
      <c r="T73" s="16">
        <v>0</v>
      </c>
      <c r="V73" s="77">
        <v>45536</v>
      </c>
      <c r="W73" s="14">
        <v>1</v>
      </c>
      <c r="X73" s="14">
        <v>1</v>
      </c>
      <c r="Z73" s="315">
        <v>1</v>
      </c>
      <c r="AA73" s="205">
        <f t="shared" si="15"/>
        <v>3</v>
      </c>
      <c r="AB73" s="206">
        <f t="shared" si="16"/>
        <v>0.75</v>
      </c>
      <c r="AC73" s="206">
        <f t="shared" si="17"/>
        <v>3</v>
      </c>
      <c r="AD73" s="206">
        <f t="shared" si="18"/>
        <v>6</v>
      </c>
    </row>
    <row r="74" spans="1:30" x14ac:dyDescent="0.25">
      <c r="A74" s="4">
        <f t="shared" si="7"/>
        <v>73</v>
      </c>
      <c r="B74" s="314" t="s">
        <v>1214</v>
      </c>
      <c r="C74" s="340">
        <v>0</v>
      </c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343">
        <f t="shared" si="14"/>
        <v>0</v>
      </c>
      <c r="P74" s="343">
        <f t="shared" si="13"/>
        <v>54</v>
      </c>
      <c r="Q74" s="7">
        <v>9.34</v>
      </c>
      <c r="R74" s="63"/>
      <c r="S74" s="77">
        <v>45992</v>
      </c>
      <c r="T74" s="16">
        <v>0</v>
      </c>
      <c r="V74" s="77">
        <v>45627</v>
      </c>
      <c r="W74" s="14">
        <v>7</v>
      </c>
      <c r="X74" s="14">
        <v>10</v>
      </c>
      <c r="Y74" s="315">
        <v>7</v>
      </c>
      <c r="Z74" s="315">
        <v>3</v>
      </c>
      <c r="AA74" s="205">
        <f t="shared" si="15"/>
        <v>27</v>
      </c>
      <c r="AB74" s="206">
        <f t="shared" si="16"/>
        <v>6.75</v>
      </c>
      <c r="AC74" s="206">
        <f t="shared" si="17"/>
        <v>27</v>
      </c>
      <c r="AD74" s="206">
        <f t="shared" si="18"/>
        <v>54</v>
      </c>
    </row>
    <row r="75" spans="1:30" x14ac:dyDescent="0.25">
      <c r="A75" s="4">
        <f t="shared" si="7"/>
        <v>74</v>
      </c>
      <c r="B75" s="314" t="s">
        <v>734</v>
      </c>
      <c r="C75" s="340">
        <v>1</v>
      </c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343">
        <f t="shared" si="14"/>
        <v>1</v>
      </c>
      <c r="P75" s="343">
        <f t="shared" si="13"/>
        <v>7</v>
      </c>
      <c r="Q75" s="7">
        <v>26</v>
      </c>
      <c r="R75" s="63"/>
      <c r="S75" s="77">
        <v>46905</v>
      </c>
      <c r="T75" s="16">
        <v>3</v>
      </c>
      <c r="V75" s="77">
        <v>45352</v>
      </c>
      <c r="W75" s="14">
        <v>1</v>
      </c>
      <c r="X75" s="14">
        <v>1</v>
      </c>
      <c r="Y75" s="315">
        <v>1</v>
      </c>
      <c r="Z75" s="315">
        <v>1</v>
      </c>
      <c r="AA75" s="205">
        <f t="shared" si="15"/>
        <v>4</v>
      </c>
      <c r="AB75" s="206">
        <f t="shared" si="16"/>
        <v>1</v>
      </c>
      <c r="AC75" s="206">
        <f t="shared" si="17"/>
        <v>4</v>
      </c>
      <c r="AD75" s="206">
        <f t="shared" si="18"/>
        <v>8</v>
      </c>
    </row>
    <row r="76" spans="1:30" x14ac:dyDescent="0.25">
      <c r="A76" s="4">
        <f t="shared" si="7"/>
        <v>75</v>
      </c>
      <c r="B76" s="314" t="s">
        <v>270</v>
      </c>
      <c r="C76" s="340">
        <v>1</v>
      </c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343">
        <f t="shared" si="14"/>
        <v>1</v>
      </c>
      <c r="P76" s="343">
        <f t="shared" si="13"/>
        <v>7</v>
      </c>
      <c r="Q76" s="7">
        <v>37</v>
      </c>
      <c r="R76" s="106"/>
      <c r="S76" s="344">
        <v>46266</v>
      </c>
      <c r="T76" s="318">
        <v>3</v>
      </c>
      <c r="U76" s="318">
        <v>3</v>
      </c>
      <c r="V76" s="199">
        <v>45717</v>
      </c>
      <c r="W76" s="309">
        <v>1</v>
      </c>
      <c r="X76" s="309">
        <v>1</v>
      </c>
      <c r="Y76" s="309">
        <v>1</v>
      </c>
      <c r="Z76" s="429">
        <v>1</v>
      </c>
      <c r="AA76" s="205">
        <f t="shared" si="15"/>
        <v>4</v>
      </c>
      <c r="AB76" s="206">
        <f t="shared" si="16"/>
        <v>1</v>
      </c>
      <c r="AC76" s="206">
        <f t="shared" si="17"/>
        <v>4</v>
      </c>
      <c r="AD76" s="206">
        <f t="shared" si="18"/>
        <v>8</v>
      </c>
    </row>
    <row r="77" spans="1:30" x14ac:dyDescent="0.25">
      <c r="A77" s="4">
        <f t="shared" si="7"/>
        <v>76</v>
      </c>
      <c r="B77" s="314" t="s">
        <v>1428</v>
      </c>
      <c r="C77" s="415">
        <v>28</v>
      </c>
      <c r="D77" s="359"/>
      <c r="E77" s="478"/>
      <c r="F77" s="359"/>
      <c r="G77" s="478"/>
      <c r="H77" s="359"/>
      <c r="I77" s="478"/>
      <c r="J77" s="359"/>
      <c r="K77" s="478">
        <v>2</v>
      </c>
      <c r="L77" s="359"/>
      <c r="M77" s="478"/>
      <c r="N77" s="561"/>
      <c r="O77" s="343">
        <f t="shared" si="14"/>
        <v>26</v>
      </c>
      <c r="P77" s="343">
        <f t="shared" si="13"/>
        <v>18</v>
      </c>
      <c r="Q77" s="7">
        <v>3</v>
      </c>
      <c r="R77" s="63"/>
      <c r="S77" s="344">
        <v>46023</v>
      </c>
      <c r="T77" s="318">
        <v>1</v>
      </c>
      <c r="U77" s="318"/>
      <c r="V77" s="344">
        <v>45658</v>
      </c>
      <c r="W77" s="309">
        <v>3</v>
      </c>
      <c r="X77" s="309">
        <v>12</v>
      </c>
      <c r="Y77" s="309">
        <v>5</v>
      </c>
      <c r="Z77" s="309">
        <v>2</v>
      </c>
      <c r="AA77" s="205">
        <f t="shared" si="15"/>
        <v>22</v>
      </c>
      <c r="AB77" s="206">
        <f t="shared" si="16"/>
        <v>5.5</v>
      </c>
      <c r="AC77" s="206">
        <f t="shared" si="17"/>
        <v>22</v>
      </c>
      <c r="AD77" s="206">
        <f t="shared" si="18"/>
        <v>44</v>
      </c>
    </row>
    <row r="78" spans="1:30" ht="16.5" customHeight="1" x14ac:dyDescent="0.25">
      <c r="A78" s="4">
        <f>A77+1</f>
        <v>77</v>
      </c>
      <c r="B78" s="314" t="s">
        <v>1457</v>
      </c>
      <c r="C78" s="340">
        <v>32</v>
      </c>
      <c r="D78" s="359"/>
      <c r="E78" s="478">
        <v>6</v>
      </c>
      <c r="F78" s="360"/>
      <c r="G78" s="480"/>
      <c r="H78" s="360"/>
      <c r="I78" s="480"/>
      <c r="J78" s="360"/>
      <c r="K78" s="480"/>
      <c r="L78" s="360"/>
      <c r="M78" s="480"/>
      <c r="N78" s="562"/>
      <c r="O78" s="343">
        <f t="shared" si="14"/>
        <v>26</v>
      </c>
      <c r="P78" s="343">
        <f t="shared" si="13"/>
        <v>-2</v>
      </c>
      <c r="Q78" s="10">
        <v>3</v>
      </c>
      <c r="R78" s="63"/>
      <c r="S78" s="118">
        <v>46054</v>
      </c>
      <c r="T78" s="28">
        <v>0</v>
      </c>
      <c r="U78" s="28">
        <v>2</v>
      </c>
      <c r="V78" s="81">
        <v>45717</v>
      </c>
      <c r="Y78" s="28">
        <v>6</v>
      </c>
      <c r="Z78" s="28">
        <v>6</v>
      </c>
      <c r="AA78" s="205">
        <f t="shared" si="15"/>
        <v>12</v>
      </c>
      <c r="AB78" s="206">
        <f t="shared" si="16"/>
        <v>3</v>
      </c>
      <c r="AC78" s="206">
        <f t="shared" si="17"/>
        <v>12</v>
      </c>
      <c r="AD78" s="206">
        <f t="shared" si="18"/>
        <v>24</v>
      </c>
    </row>
    <row r="79" spans="1:30" x14ac:dyDescent="0.25">
      <c r="A79" s="4">
        <f t="shared" ref="A79:A145" si="19">A78+1</f>
        <v>78</v>
      </c>
      <c r="B79" s="314" t="s">
        <v>1037</v>
      </c>
      <c r="C79" s="340">
        <v>4</v>
      </c>
      <c r="D79" s="359"/>
      <c r="E79" s="478"/>
      <c r="F79" s="360"/>
      <c r="G79" s="480"/>
      <c r="H79" s="360"/>
      <c r="I79" s="480"/>
      <c r="J79" s="360"/>
      <c r="K79" s="480"/>
      <c r="L79" s="360"/>
      <c r="M79" s="480"/>
      <c r="N79" s="562"/>
      <c r="O79" s="343">
        <f t="shared" si="14"/>
        <v>4</v>
      </c>
      <c r="P79" s="343">
        <f t="shared" si="13"/>
        <v>12</v>
      </c>
      <c r="Q79" s="7">
        <v>10</v>
      </c>
      <c r="R79" s="63"/>
      <c r="S79" s="118">
        <v>46296</v>
      </c>
      <c r="T79" s="316">
        <v>10</v>
      </c>
      <c r="U79" s="316">
        <v>10</v>
      </c>
      <c r="V79" s="344">
        <v>45717</v>
      </c>
      <c r="W79" s="107">
        <v>2</v>
      </c>
      <c r="X79" s="107">
        <v>1</v>
      </c>
      <c r="Y79" s="309">
        <v>2</v>
      </c>
      <c r="Z79" s="309">
        <v>3</v>
      </c>
      <c r="AA79" s="205">
        <f t="shared" si="15"/>
        <v>8</v>
      </c>
      <c r="AB79" s="206">
        <f t="shared" si="16"/>
        <v>2</v>
      </c>
      <c r="AC79" s="206">
        <f t="shared" si="17"/>
        <v>8</v>
      </c>
      <c r="AD79" s="206">
        <f t="shared" si="18"/>
        <v>16</v>
      </c>
    </row>
    <row r="80" spans="1:30" x14ac:dyDescent="0.25">
      <c r="A80" s="4">
        <f t="shared" si="19"/>
        <v>79</v>
      </c>
      <c r="B80" s="314" t="s">
        <v>663</v>
      </c>
      <c r="C80" s="340">
        <v>6</v>
      </c>
      <c r="D80" s="367"/>
      <c r="E80" s="479"/>
      <c r="F80" s="364"/>
      <c r="G80" s="486"/>
      <c r="H80" s="364"/>
      <c r="I80" s="486"/>
      <c r="J80" s="381"/>
      <c r="K80" s="487"/>
      <c r="L80" s="364"/>
      <c r="M80" s="486">
        <v>2</v>
      </c>
      <c r="N80" s="568"/>
      <c r="O80" s="343">
        <f t="shared" si="14"/>
        <v>4</v>
      </c>
      <c r="P80" s="343">
        <f t="shared" si="13"/>
        <v>6</v>
      </c>
      <c r="Q80" s="7">
        <v>19</v>
      </c>
      <c r="R80" s="187"/>
      <c r="S80" s="112">
        <v>46204</v>
      </c>
      <c r="T80" s="322">
        <v>43</v>
      </c>
      <c r="U80" s="322"/>
      <c r="V80" s="197">
        <v>45689</v>
      </c>
      <c r="W80" s="189">
        <v>1</v>
      </c>
      <c r="X80" s="189">
        <v>1</v>
      </c>
      <c r="Y80" s="189">
        <v>1</v>
      </c>
      <c r="Z80" s="189">
        <v>2</v>
      </c>
      <c r="AA80" s="205">
        <f t="shared" si="15"/>
        <v>5</v>
      </c>
      <c r="AB80" s="206">
        <f t="shared" si="16"/>
        <v>1.25</v>
      </c>
      <c r="AC80" s="206">
        <f t="shared" si="17"/>
        <v>5</v>
      </c>
      <c r="AD80" s="206">
        <f t="shared" si="18"/>
        <v>10</v>
      </c>
    </row>
    <row r="81" spans="1:30" ht="15" customHeight="1" x14ac:dyDescent="0.25">
      <c r="A81" s="4">
        <f t="shared" si="19"/>
        <v>80</v>
      </c>
      <c r="B81" s="314" t="s">
        <v>665</v>
      </c>
      <c r="C81" s="340">
        <v>4</v>
      </c>
      <c r="D81" s="367"/>
      <c r="E81" s="479"/>
      <c r="F81" s="364"/>
      <c r="G81" s="486"/>
      <c r="H81" s="364"/>
      <c r="I81" s="486"/>
      <c r="J81" s="381"/>
      <c r="K81" s="487"/>
      <c r="L81" s="364"/>
      <c r="M81" s="486"/>
      <c r="N81" s="568"/>
      <c r="O81" s="343">
        <f t="shared" si="14"/>
        <v>4</v>
      </c>
      <c r="P81" s="343">
        <f t="shared" si="13"/>
        <v>8</v>
      </c>
      <c r="Q81" s="7">
        <v>19</v>
      </c>
      <c r="R81" s="187"/>
      <c r="S81" s="112">
        <v>46204</v>
      </c>
      <c r="T81" s="53">
        <v>31</v>
      </c>
      <c r="U81" s="322"/>
      <c r="V81" s="197">
        <v>45689</v>
      </c>
      <c r="W81" s="315">
        <v>2</v>
      </c>
      <c r="X81" s="315">
        <v>1</v>
      </c>
      <c r="Y81" s="315">
        <v>1</v>
      </c>
      <c r="Z81" s="315">
        <v>2</v>
      </c>
      <c r="AA81" s="205">
        <f t="shared" si="15"/>
        <v>6</v>
      </c>
      <c r="AB81" s="206">
        <f t="shared" si="16"/>
        <v>1.5</v>
      </c>
      <c r="AC81" s="206">
        <f t="shared" si="17"/>
        <v>6</v>
      </c>
      <c r="AD81" s="206">
        <f t="shared" si="18"/>
        <v>12</v>
      </c>
    </row>
    <row r="82" spans="1:30" ht="15" customHeight="1" x14ac:dyDescent="0.25">
      <c r="A82" s="4">
        <f t="shared" si="19"/>
        <v>81</v>
      </c>
      <c r="B82" s="314" t="s">
        <v>737</v>
      </c>
      <c r="C82" s="340">
        <v>4</v>
      </c>
      <c r="D82" s="359"/>
      <c r="E82" s="478"/>
      <c r="F82" s="360"/>
      <c r="G82" s="480"/>
      <c r="H82" s="360"/>
      <c r="I82" s="480"/>
      <c r="J82" s="360"/>
      <c r="K82" s="480"/>
      <c r="L82" s="360"/>
      <c r="M82" s="480"/>
      <c r="N82" s="562"/>
      <c r="O82" s="343">
        <f t="shared" si="14"/>
        <v>4</v>
      </c>
      <c r="P82" s="343">
        <f t="shared" si="13"/>
        <v>6</v>
      </c>
      <c r="Q82" s="7">
        <v>19</v>
      </c>
      <c r="R82" s="187"/>
      <c r="S82" s="112">
        <v>46023</v>
      </c>
      <c r="T82" s="28">
        <v>15</v>
      </c>
      <c r="U82" s="322"/>
      <c r="V82" s="197">
        <v>45536</v>
      </c>
      <c r="W82" s="14">
        <v>1</v>
      </c>
      <c r="X82" s="14">
        <v>1</v>
      </c>
      <c r="Y82" s="28">
        <v>1</v>
      </c>
      <c r="Z82" s="28">
        <v>2</v>
      </c>
      <c r="AA82" s="205">
        <f t="shared" si="15"/>
        <v>5</v>
      </c>
      <c r="AB82" s="206">
        <f t="shared" si="16"/>
        <v>1.25</v>
      </c>
      <c r="AC82" s="206">
        <f t="shared" si="17"/>
        <v>5</v>
      </c>
      <c r="AD82" s="206">
        <f t="shared" si="18"/>
        <v>10</v>
      </c>
    </row>
    <row r="83" spans="1:30" x14ac:dyDescent="0.25">
      <c r="A83" s="4">
        <f t="shared" si="19"/>
        <v>82</v>
      </c>
      <c r="B83" s="314" t="s">
        <v>672</v>
      </c>
      <c r="C83" s="340">
        <v>3</v>
      </c>
      <c r="D83" s="367"/>
      <c r="E83" s="479"/>
      <c r="F83" s="364"/>
      <c r="G83" s="486"/>
      <c r="H83" s="364"/>
      <c r="I83" s="486"/>
      <c r="J83" s="381"/>
      <c r="K83" s="487"/>
      <c r="L83" s="364"/>
      <c r="M83" s="486"/>
      <c r="N83" s="568"/>
      <c r="O83" s="343">
        <f t="shared" si="14"/>
        <v>3</v>
      </c>
      <c r="P83" s="343">
        <f t="shared" si="13"/>
        <v>9</v>
      </c>
      <c r="Q83" s="7">
        <v>19</v>
      </c>
      <c r="R83" s="110"/>
      <c r="S83" s="112">
        <v>46023</v>
      </c>
      <c r="T83" s="322">
        <v>18</v>
      </c>
      <c r="U83" s="322"/>
      <c r="V83" s="197">
        <v>45566</v>
      </c>
      <c r="W83" s="189">
        <v>1</v>
      </c>
      <c r="X83" s="189">
        <v>3</v>
      </c>
      <c r="Y83" s="189">
        <v>1</v>
      </c>
      <c r="Z83" s="189">
        <v>1</v>
      </c>
      <c r="AA83" s="205">
        <f t="shared" si="15"/>
        <v>6</v>
      </c>
      <c r="AB83" s="206">
        <f t="shared" si="16"/>
        <v>1.5</v>
      </c>
      <c r="AC83" s="206">
        <f t="shared" si="17"/>
        <v>6</v>
      </c>
      <c r="AD83" s="206">
        <f t="shared" si="18"/>
        <v>12</v>
      </c>
    </row>
    <row r="84" spans="1:30" ht="15" customHeight="1" x14ac:dyDescent="0.25">
      <c r="A84" s="4">
        <f t="shared" si="19"/>
        <v>83</v>
      </c>
      <c r="B84" s="314" t="s">
        <v>767</v>
      </c>
      <c r="C84" s="340">
        <v>4</v>
      </c>
      <c r="D84" s="367"/>
      <c r="E84" s="479"/>
      <c r="F84" s="364"/>
      <c r="G84" s="486"/>
      <c r="H84" s="364"/>
      <c r="I84" s="486"/>
      <c r="J84" s="381"/>
      <c r="K84" s="487"/>
      <c r="L84" s="364"/>
      <c r="M84" s="486"/>
      <c r="N84" s="568"/>
      <c r="O84" s="343">
        <f t="shared" si="14"/>
        <v>4</v>
      </c>
      <c r="P84" s="343">
        <f t="shared" si="13"/>
        <v>8</v>
      </c>
      <c r="Q84" s="7">
        <v>19</v>
      </c>
      <c r="R84" s="187"/>
      <c r="S84" s="112">
        <v>46023</v>
      </c>
      <c r="T84" s="322">
        <v>18</v>
      </c>
      <c r="U84" s="322"/>
      <c r="V84" s="197">
        <v>45566</v>
      </c>
      <c r="W84" s="189">
        <v>1</v>
      </c>
      <c r="X84" s="189">
        <v>2</v>
      </c>
      <c r="Y84" s="189">
        <v>2</v>
      </c>
      <c r="Z84" s="189">
        <v>1</v>
      </c>
      <c r="AA84" s="205">
        <f t="shared" si="15"/>
        <v>6</v>
      </c>
      <c r="AB84" s="206">
        <f t="shared" si="16"/>
        <v>1.5</v>
      </c>
      <c r="AC84" s="206">
        <f t="shared" si="17"/>
        <v>6</v>
      </c>
      <c r="AD84" s="206">
        <f t="shared" si="18"/>
        <v>12</v>
      </c>
    </row>
    <row r="85" spans="1:30" x14ac:dyDescent="0.25">
      <c r="A85" s="4">
        <f t="shared" si="19"/>
        <v>84</v>
      </c>
      <c r="B85" s="314" t="s">
        <v>662</v>
      </c>
      <c r="C85" s="340">
        <v>4</v>
      </c>
      <c r="D85" s="367">
        <v>1</v>
      </c>
      <c r="E85" s="479"/>
      <c r="F85" s="367"/>
      <c r="G85" s="479"/>
      <c r="H85" s="367"/>
      <c r="I85" s="479"/>
      <c r="J85" s="367"/>
      <c r="K85" s="479"/>
      <c r="L85" s="367"/>
      <c r="M85" s="479"/>
      <c r="N85" s="570"/>
      <c r="O85" s="343">
        <f t="shared" si="14"/>
        <v>3</v>
      </c>
      <c r="P85" s="343">
        <f t="shared" si="13"/>
        <v>11</v>
      </c>
      <c r="Q85" s="7">
        <v>19</v>
      </c>
      <c r="R85" s="187"/>
      <c r="S85" s="112">
        <v>46174</v>
      </c>
      <c r="T85" s="322">
        <v>36</v>
      </c>
      <c r="U85" s="322"/>
      <c r="V85" s="197">
        <v>45689</v>
      </c>
      <c r="W85" s="315">
        <v>2</v>
      </c>
      <c r="X85" s="315">
        <v>2</v>
      </c>
      <c r="Y85" s="315">
        <v>2</v>
      </c>
      <c r="Z85" s="315">
        <v>1</v>
      </c>
      <c r="AA85" s="205">
        <f t="shared" si="15"/>
        <v>7</v>
      </c>
      <c r="AB85" s="206">
        <f t="shared" si="16"/>
        <v>1.75</v>
      </c>
      <c r="AC85" s="206">
        <f t="shared" si="17"/>
        <v>7</v>
      </c>
      <c r="AD85" s="206">
        <f t="shared" si="18"/>
        <v>14</v>
      </c>
    </row>
    <row r="86" spans="1:30" x14ac:dyDescent="0.25">
      <c r="A86" s="4">
        <f t="shared" si="19"/>
        <v>85</v>
      </c>
      <c r="B86" s="314" t="s">
        <v>666</v>
      </c>
      <c r="C86" s="340">
        <v>4</v>
      </c>
      <c r="D86" s="359"/>
      <c r="E86" s="478"/>
      <c r="F86" s="360"/>
      <c r="G86" s="480"/>
      <c r="H86" s="360"/>
      <c r="I86" s="480"/>
      <c r="J86" s="360"/>
      <c r="K86" s="480"/>
      <c r="L86" s="360"/>
      <c r="M86" s="480"/>
      <c r="N86" s="562"/>
      <c r="O86" s="343">
        <f t="shared" si="14"/>
        <v>4</v>
      </c>
      <c r="P86" s="343">
        <f t="shared" si="13"/>
        <v>4</v>
      </c>
      <c r="Q86" s="7">
        <v>19</v>
      </c>
      <c r="R86" s="187"/>
      <c r="S86" s="112">
        <v>46113</v>
      </c>
      <c r="T86" s="28">
        <v>14</v>
      </c>
      <c r="U86" s="322"/>
      <c r="V86" s="197">
        <v>45566</v>
      </c>
      <c r="W86" s="315">
        <v>1</v>
      </c>
      <c r="X86" s="315">
        <v>1</v>
      </c>
      <c r="Y86" s="315">
        <v>1</v>
      </c>
      <c r="Z86" s="315">
        <v>1</v>
      </c>
      <c r="AA86" s="205">
        <f t="shared" si="15"/>
        <v>4</v>
      </c>
      <c r="AB86" s="206">
        <f t="shared" si="16"/>
        <v>1</v>
      </c>
      <c r="AC86" s="206">
        <f t="shared" si="17"/>
        <v>4</v>
      </c>
      <c r="AD86" s="206">
        <f t="shared" si="18"/>
        <v>8</v>
      </c>
    </row>
    <row r="87" spans="1:30" x14ac:dyDescent="0.25">
      <c r="A87" s="4">
        <f t="shared" si="19"/>
        <v>86</v>
      </c>
      <c r="B87" s="314" t="s">
        <v>671</v>
      </c>
      <c r="C87" s="340">
        <v>4</v>
      </c>
      <c r="D87" s="359"/>
      <c r="E87" s="478"/>
      <c r="F87" s="360"/>
      <c r="G87" s="480"/>
      <c r="H87" s="360"/>
      <c r="I87" s="480"/>
      <c r="J87" s="360"/>
      <c r="K87" s="480"/>
      <c r="L87" s="360"/>
      <c r="M87" s="480"/>
      <c r="N87" s="562"/>
      <c r="O87" s="343">
        <f t="shared" si="14"/>
        <v>4</v>
      </c>
      <c r="P87" s="343">
        <f t="shared" si="13"/>
        <v>6</v>
      </c>
      <c r="Q87" s="7">
        <v>19</v>
      </c>
      <c r="R87" s="187"/>
      <c r="S87" s="112">
        <v>46204</v>
      </c>
      <c r="T87" s="28">
        <v>43</v>
      </c>
      <c r="U87" s="322"/>
      <c r="V87" s="197">
        <v>45689</v>
      </c>
      <c r="W87" s="14">
        <v>1</v>
      </c>
      <c r="X87" s="14">
        <v>2</v>
      </c>
      <c r="Y87" s="28">
        <v>1</v>
      </c>
      <c r="Z87" s="28">
        <v>1</v>
      </c>
      <c r="AA87" s="205">
        <f t="shared" si="15"/>
        <v>5</v>
      </c>
      <c r="AB87" s="206">
        <f t="shared" si="16"/>
        <v>1.25</v>
      </c>
      <c r="AC87" s="206">
        <f t="shared" si="17"/>
        <v>5</v>
      </c>
      <c r="AD87" s="206">
        <f t="shared" si="18"/>
        <v>10</v>
      </c>
    </row>
    <row r="88" spans="1:30" ht="15" customHeight="1" x14ac:dyDescent="0.25">
      <c r="A88" s="4">
        <f t="shared" si="19"/>
        <v>87</v>
      </c>
      <c r="B88" s="314" t="s">
        <v>528</v>
      </c>
      <c r="C88" s="340">
        <v>1</v>
      </c>
      <c r="D88" s="367"/>
      <c r="E88" s="479"/>
      <c r="F88" s="364"/>
      <c r="G88" s="486"/>
      <c r="H88" s="364"/>
      <c r="I88" s="486">
        <v>1</v>
      </c>
      <c r="J88" s="381"/>
      <c r="K88" s="487"/>
      <c r="L88" s="364"/>
      <c r="M88" s="486"/>
      <c r="N88" s="568"/>
      <c r="O88" s="343">
        <f t="shared" si="14"/>
        <v>0</v>
      </c>
      <c r="P88" s="343">
        <f t="shared" si="13"/>
        <v>6</v>
      </c>
      <c r="Q88" s="7">
        <v>28</v>
      </c>
      <c r="R88" s="63"/>
      <c r="S88" s="118"/>
      <c r="T88" s="316">
        <v>0</v>
      </c>
      <c r="U88" s="316"/>
      <c r="V88" s="344">
        <v>45078</v>
      </c>
      <c r="W88" s="309"/>
      <c r="X88" s="309">
        <v>1</v>
      </c>
      <c r="Y88" s="309">
        <v>1</v>
      </c>
      <c r="Z88" s="309">
        <v>1</v>
      </c>
      <c r="AA88" s="205">
        <f t="shared" si="15"/>
        <v>3</v>
      </c>
      <c r="AB88" s="206">
        <f t="shared" si="16"/>
        <v>0.75</v>
      </c>
      <c r="AC88" s="206">
        <f t="shared" si="17"/>
        <v>3</v>
      </c>
      <c r="AD88" s="206">
        <f t="shared" si="18"/>
        <v>6</v>
      </c>
    </row>
    <row r="89" spans="1:30" x14ac:dyDescent="0.25">
      <c r="A89" s="4">
        <f t="shared" si="19"/>
        <v>88</v>
      </c>
      <c r="B89" s="314" t="s">
        <v>458</v>
      </c>
      <c r="C89" s="340">
        <v>12</v>
      </c>
      <c r="D89" s="359"/>
      <c r="E89" s="478"/>
      <c r="F89" s="360"/>
      <c r="G89" s="480"/>
      <c r="H89" s="360"/>
      <c r="I89" s="480"/>
      <c r="J89" s="360"/>
      <c r="K89" s="480"/>
      <c r="L89" s="360"/>
      <c r="M89" s="480"/>
      <c r="N89" s="562"/>
      <c r="O89" s="343">
        <f t="shared" si="14"/>
        <v>12</v>
      </c>
      <c r="P89" s="343">
        <f t="shared" si="13"/>
        <v>-2</v>
      </c>
      <c r="Q89" s="7">
        <v>10</v>
      </c>
      <c r="R89" s="8"/>
      <c r="S89" s="118">
        <v>46296</v>
      </c>
      <c r="T89" s="316">
        <v>0</v>
      </c>
      <c r="U89" s="316"/>
      <c r="V89" s="199">
        <v>45627</v>
      </c>
      <c r="W89" s="107">
        <v>2</v>
      </c>
      <c r="X89" s="107">
        <v>1</v>
      </c>
      <c r="Y89" s="309">
        <v>1</v>
      </c>
      <c r="Z89" s="309">
        <v>1</v>
      </c>
      <c r="AA89" s="205">
        <f t="shared" si="15"/>
        <v>5</v>
      </c>
      <c r="AB89" s="206">
        <f t="shared" si="16"/>
        <v>1.25</v>
      </c>
      <c r="AC89" s="206">
        <f t="shared" si="17"/>
        <v>5</v>
      </c>
      <c r="AD89" s="206">
        <f t="shared" si="18"/>
        <v>10</v>
      </c>
    </row>
    <row r="90" spans="1:30" x14ac:dyDescent="0.25">
      <c r="A90" s="4">
        <f t="shared" si="19"/>
        <v>89</v>
      </c>
      <c r="B90" s="314" t="s">
        <v>582</v>
      </c>
      <c r="C90" s="340">
        <v>103</v>
      </c>
      <c r="D90" s="359"/>
      <c r="E90" s="478">
        <v>1</v>
      </c>
      <c r="F90" s="360">
        <v>2</v>
      </c>
      <c r="G90" s="480"/>
      <c r="H90" s="360"/>
      <c r="I90" s="480"/>
      <c r="J90" s="360">
        <v>1</v>
      </c>
      <c r="K90" s="480"/>
      <c r="L90" s="360"/>
      <c r="M90" s="480"/>
      <c r="N90" s="562"/>
      <c r="O90" s="343">
        <f t="shared" si="14"/>
        <v>99</v>
      </c>
      <c r="P90" s="343">
        <f t="shared" si="13"/>
        <v>-27</v>
      </c>
      <c r="Q90" s="10">
        <v>2</v>
      </c>
      <c r="R90" s="63"/>
      <c r="S90" s="118">
        <v>46327</v>
      </c>
      <c r="T90" s="316">
        <v>0</v>
      </c>
      <c r="U90" s="316"/>
      <c r="V90" s="344">
        <v>45444</v>
      </c>
      <c r="W90" s="309">
        <v>5</v>
      </c>
      <c r="X90" s="309">
        <v>12</v>
      </c>
      <c r="Y90" s="309">
        <v>15</v>
      </c>
      <c r="Z90" s="309">
        <v>4</v>
      </c>
      <c r="AA90" s="205">
        <f t="shared" si="15"/>
        <v>36</v>
      </c>
      <c r="AB90" s="206">
        <f t="shared" si="16"/>
        <v>9</v>
      </c>
      <c r="AC90" s="206">
        <f t="shared" si="17"/>
        <v>36</v>
      </c>
      <c r="AD90" s="206">
        <f t="shared" si="18"/>
        <v>72</v>
      </c>
    </row>
    <row r="91" spans="1:30" x14ac:dyDescent="0.25">
      <c r="A91" s="4">
        <f t="shared" si="19"/>
        <v>90</v>
      </c>
      <c r="B91" s="4" t="s">
        <v>803</v>
      </c>
      <c r="C91" s="413">
        <v>7</v>
      </c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343">
        <f t="shared" si="14"/>
        <v>7</v>
      </c>
      <c r="P91" s="343">
        <f t="shared" si="13"/>
        <v>7</v>
      </c>
      <c r="Q91" s="7">
        <v>19</v>
      </c>
      <c r="R91" s="63" t="s">
        <v>1479</v>
      </c>
      <c r="S91" s="199">
        <v>46631</v>
      </c>
      <c r="T91" s="318">
        <v>5</v>
      </c>
      <c r="U91" s="318">
        <v>3</v>
      </c>
      <c r="V91" s="199">
        <v>45717</v>
      </c>
      <c r="W91" s="107">
        <v>1</v>
      </c>
      <c r="X91" s="107">
        <v>3</v>
      </c>
      <c r="Y91" s="309">
        <v>2</v>
      </c>
      <c r="Z91" s="309">
        <v>1</v>
      </c>
      <c r="AA91" s="205">
        <f t="shared" si="15"/>
        <v>7</v>
      </c>
      <c r="AB91" s="206">
        <f t="shared" si="16"/>
        <v>1.75</v>
      </c>
      <c r="AC91" s="206">
        <f t="shared" si="17"/>
        <v>7</v>
      </c>
      <c r="AD91" s="206">
        <f t="shared" si="18"/>
        <v>14</v>
      </c>
    </row>
    <row r="92" spans="1:30" ht="15.75" x14ac:dyDescent="0.25">
      <c r="A92" s="4">
        <f t="shared" si="19"/>
        <v>91</v>
      </c>
      <c r="B92" s="314" t="s">
        <v>160</v>
      </c>
      <c r="C92" s="340">
        <v>4</v>
      </c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343">
        <f t="shared" si="14"/>
        <v>4</v>
      </c>
      <c r="P92" s="343">
        <f t="shared" si="13"/>
        <v>4</v>
      </c>
      <c r="Q92" s="7">
        <v>23</v>
      </c>
      <c r="R92" s="125"/>
      <c r="S92" s="118">
        <v>46722</v>
      </c>
      <c r="T92" s="316">
        <v>0</v>
      </c>
      <c r="U92" s="316"/>
      <c r="V92" s="118">
        <v>45658</v>
      </c>
      <c r="W92" s="234">
        <v>1</v>
      </c>
      <c r="X92" s="234">
        <v>1</v>
      </c>
      <c r="Y92" s="234">
        <v>1</v>
      </c>
      <c r="Z92" s="234">
        <v>1</v>
      </c>
      <c r="AA92" s="205">
        <f t="shared" si="15"/>
        <v>4</v>
      </c>
      <c r="AB92" s="206">
        <f t="shared" si="16"/>
        <v>1</v>
      </c>
      <c r="AC92" s="206">
        <f t="shared" si="17"/>
        <v>4</v>
      </c>
      <c r="AD92" s="206">
        <f t="shared" si="18"/>
        <v>8</v>
      </c>
    </row>
    <row r="93" spans="1:30" ht="15" customHeight="1" x14ac:dyDescent="0.25">
      <c r="A93" s="4">
        <f t="shared" si="19"/>
        <v>92</v>
      </c>
      <c r="B93" s="314" t="s">
        <v>525</v>
      </c>
      <c r="C93" s="340">
        <v>1</v>
      </c>
      <c r="D93" s="367"/>
      <c r="E93" s="479"/>
      <c r="F93" s="364"/>
      <c r="G93" s="486"/>
      <c r="H93" s="364"/>
      <c r="I93" s="486"/>
      <c r="J93" s="381"/>
      <c r="K93" s="487"/>
      <c r="L93" s="364"/>
      <c r="M93" s="486"/>
      <c r="N93" s="568"/>
      <c r="O93" s="343">
        <f t="shared" si="14"/>
        <v>1</v>
      </c>
      <c r="P93" s="343">
        <f t="shared" si="13"/>
        <v>7</v>
      </c>
      <c r="Q93" s="7">
        <v>40</v>
      </c>
      <c r="R93" s="207"/>
      <c r="S93" s="112">
        <v>47088</v>
      </c>
      <c r="T93" s="322">
        <v>0</v>
      </c>
      <c r="U93" s="316"/>
      <c r="V93" s="197">
        <v>45505</v>
      </c>
      <c r="W93" s="189">
        <v>1</v>
      </c>
      <c r="X93" s="189">
        <v>1</v>
      </c>
      <c r="Y93" s="189">
        <v>1</v>
      </c>
      <c r="Z93" s="189">
        <v>1</v>
      </c>
      <c r="AA93" s="205">
        <f t="shared" si="15"/>
        <v>4</v>
      </c>
      <c r="AB93" s="206">
        <f t="shared" si="16"/>
        <v>1</v>
      </c>
      <c r="AC93" s="206">
        <f t="shared" si="17"/>
        <v>4</v>
      </c>
      <c r="AD93" s="206">
        <f t="shared" si="18"/>
        <v>8</v>
      </c>
    </row>
    <row r="94" spans="1:30" ht="15" customHeight="1" x14ac:dyDescent="0.25">
      <c r="A94" s="4">
        <f t="shared" si="19"/>
        <v>93</v>
      </c>
      <c r="B94" s="651" t="s">
        <v>605</v>
      </c>
      <c r="C94" s="653">
        <v>12</v>
      </c>
      <c r="D94" s="367"/>
      <c r="E94" s="479"/>
      <c r="F94" s="364"/>
      <c r="G94" s="486"/>
      <c r="H94" s="364"/>
      <c r="I94" s="486"/>
      <c r="J94" s="364"/>
      <c r="K94" s="486">
        <v>1</v>
      </c>
      <c r="L94" s="364"/>
      <c r="M94" s="486"/>
      <c r="N94" s="568"/>
      <c r="O94" s="343">
        <f t="shared" si="14"/>
        <v>11</v>
      </c>
      <c r="P94" s="343">
        <f t="shared" si="13"/>
        <v>3</v>
      </c>
      <c r="Q94" s="10">
        <v>7</v>
      </c>
      <c r="R94" s="109"/>
      <c r="S94" s="660">
        <v>45839</v>
      </c>
      <c r="T94" s="318">
        <v>20</v>
      </c>
      <c r="U94" s="322"/>
      <c r="V94" s="197">
        <v>44958</v>
      </c>
      <c r="W94" s="189">
        <v>2</v>
      </c>
      <c r="X94" s="189">
        <v>1</v>
      </c>
      <c r="Y94" s="189">
        <v>3</v>
      </c>
      <c r="Z94" s="189">
        <v>1</v>
      </c>
      <c r="AA94" s="205">
        <f t="shared" si="15"/>
        <v>7</v>
      </c>
      <c r="AB94" s="206">
        <f t="shared" si="16"/>
        <v>1.75</v>
      </c>
      <c r="AC94" s="206">
        <f t="shared" si="17"/>
        <v>7</v>
      </c>
      <c r="AD94" s="206">
        <f t="shared" si="18"/>
        <v>14</v>
      </c>
    </row>
    <row r="95" spans="1:30" x14ac:dyDescent="0.25">
      <c r="A95" s="4">
        <f t="shared" si="19"/>
        <v>94</v>
      </c>
      <c r="B95" s="314" t="s">
        <v>746</v>
      </c>
      <c r="C95" s="340">
        <v>14</v>
      </c>
      <c r="D95" s="367"/>
      <c r="E95" s="479"/>
      <c r="F95" s="364"/>
      <c r="G95" s="486"/>
      <c r="H95" s="364"/>
      <c r="I95" s="486"/>
      <c r="J95" s="364"/>
      <c r="K95" s="486"/>
      <c r="L95" s="364"/>
      <c r="M95" s="486"/>
      <c r="N95" s="568"/>
      <c r="O95" s="343">
        <f t="shared" si="14"/>
        <v>14</v>
      </c>
      <c r="P95" s="343">
        <f t="shared" si="13"/>
        <v>10</v>
      </c>
      <c r="Q95" s="10">
        <v>1.75</v>
      </c>
      <c r="R95" s="109"/>
      <c r="S95" s="112">
        <v>46174</v>
      </c>
      <c r="T95" s="318">
        <v>1</v>
      </c>
      <c r="U95" s="322"/>
      <c r="V95" s="197">
        <v>45323</v>
      </c>
      <c r="W95" s="189">
        <v>3</v>
      </c>
      <c r="X95" s="189">
        <v>2</v>
      </c>
      <c r="Y95" s="189">
        <v>3</v>
      </c>
      <c r="Z95" s="189">
        <v>4</v>
      </c>
      <c r="AA95" s="205">
        <f t="shared" si="15"/>
        <v>12</v>
      </c>
      <c r="AB95" s="206">
        <f t="shared" si="16"/>
        <v>3</v>
      </c>
      <c r="AC95" s="206">
        <f t="shared" si="17"/>
        <v>12</v>
      </c>
      <c r="AD95" s="206">
        <f t="shared" si="18"/>
        <v>24</v>
      </c>
    </row>
    <row r="96" spans="1:30" x14ac:dyDescent="0.25">
      <c r="A96" s="4">
        <f t="shared" si="19"/>
        <v>95</v>
      </c>
      <c r="B96" s="314" t="s">
        <v>917</v>
      </c>
      <c r="C96" s="415">
        <v>2</v>
      </c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343">
        <f t="shared" si="14"/>
        <v>2</v>
      </c>
      <c r="P96" s="343">
        <f t="shared" si="13"/>
        <v>14</v>
      </c>
      <c r="Q96" s="7">
        <v>11</v>
      </c>
      <c r="R96" s="63"/>
      <c r="S96" s="77">
        <v>46174</v>
      </c>
      <c r="T96" s="16">
        <v>0</v>
      </c>
      <c r="V96" s="77">
        <v>45597</v>
      </c>
      <c r="W96" s="14">
        <v>2</v>
      </c>
      <c r="X96" s="14">
        <v>4</v>
      </c>
      <c r="Y96" s="315">
        <v>1</v>
      </c>
      <c r="Z96" s="315">
        <v>1</v>
      </c>
      <c r="AA96" s="205">
        <f t="shared" si="15"/>
        <v>8</v>
      </c>
      <c r="AB96" s="206">
        <f t="shared" si="16"/>
        <v>2</v>
      </c>
      <c r="AC96" s="206">
        <f t="shared" si="17"/>
        <v>8</v>
      </c>
      <c r="AD96" s="206">
        <f t="shared" si="18"/>
        <v>16</v>
      </c>
    </row>
    <row r="97" spans="1:30" x14ac:dyDescent="0.25">
      <c r="A97" s="4">
        <f t="shared" si="19"/>
        <v>96</v>
      </c>
      <c r="B97" s="314" t="s">
        <v>918</v>
      </c>
      <c r="C97" s="340">
        <v>1</v>
      </c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343">
        <f t="shared" si="14"/>
        <v>1</v>
      </c>
      <c r="P97" s="343">
        <f t="shared" si="13"/>
        <v>7</v>
      </c>
      <c r="Q97" s="7">
        <v>15</v>
      </c>
      <c r="R97" s="63"/>
      <c r="S97" s="77">
        <v>46054</v>
      </c>
      <c r="T97" s="16">
        <v>0</v>
      </c>
      <c r="V97" s="77">
        <v>45352</v>
      </c>
      <c r="W97" s="14">
        <v>1</v>
      </c>
      <c r="X97" s="14">
        <v>1</v>
      </c>
      <c r="Y97" s="315">
        <v>1</v>
      </c>
      <c r="Z97" s="315">
        <v>1</v>
      </c>
      <c r="AA97" s="205">
        <f t="shared" si="15"/>
        <v>4</v>
      </c>
      <c r="AB97" s="206">
        <f t="shared" si="16"/>
        <v>1</v>
      </c>
      <c r="AC97" s="206">
        <f t="shared" si="17"/>
        <v>4</v>
      </c>
      <c r="AD97" s="206">
        <f t="shared" si="18"/>
        <v>8</v>
      </c>
    </row>
    <row r="98" spans="1:30" ht="14.25" customHeight="1" x14ac:dyDescent="0.25">
      <c r="A98" s="4">
        <f t="shared" si="19"/>
        <v>97</v>
      </c>
      <c r="B98" s="314" t="s">
        <v>566</v>
      </c>
      <c r="C98" s="340">
        <v>2</v>
      </c>
      <c r="D98" s="367"/>
      <c r="E98" s="479"/>
      <c r="F98" s="364"/>
      <c r="G98" s="486"/>
      <c r="H98" s="364"/>
      <c r="I98" s="486">
        <v>1</v>
      </c>
      <c r="J98" s="381"/>
      <c r="K98" s="487"/>
      <c r="L98" s="364"/>
      <c r="M98" s="486"/>
      <c r="N98" s="568"/>
      <c r="O98" s="343">
        <f t="shared" si="14"/>
        <v>1</v>
      </c>
      <c r="P98" s="343">
        <f t="shared" si="13"/>
        <v>9</v>
      </c>
      <c r="Q98" s="10">
        <v>10</v>
      </c>
      <c r="R98" s="64"/>
      <c r="S98" s="118">
        <v>45992</v>
      </c>
      <c r="T98" s="28">
        <v>0</v>
      </c>
      <c r="U98" s="316"/>
      <c r="V98" s="344">
        <v>45261</v>
      </c>
      <c r="W98" s="309">
        <v>1</v>
      </c>
      <c r="X98" s="309">
        <v>1</v>
      </c>
      <c r="Y98" s="309">
        <v>2</v>
      </c>
      <c r="Z98" s="309">
        <v>1</v>
      </c>
      <c r="AA98" s="205">
        <f t="shared" si="15"/>
        <v>5</v>
      </c>
      <c r="AB98" s="206">
        <f t="shared" si="16"/>
        <v>1.25</v>
      </c>
      <c r="AC98" s="206">
        <f t="shared" si="17"/>
        <v>5</v>
      </c>
      <c r="AD98" s="206">
        <f t="shared" si="18"/>
        <v>10</v>
      </c>
    </row>
    <row r="99" spans="1:30" x14ac:dyDescent="0.25">
      <c r="A99" s="4">
        <f t="shared" si="19"/>
        <v>98</v>
      </c>
      <c r="B99" s="314" t="s">
        <v>1013</v>
      </c>
      <c r="C99" s="340">
        <v>10</v>
      </c>
      <c r="D99" s="359"/>
      <c r="E99" s="478"/>
      <c r="F99" s="359"/>
      <c r="G99" s="478"/>
      <c r="H99" s="359"/>
      <c r="I99" s="478"/>
      <c r="J99" s="359"/>
      <c r="K99" s="478"/>
      <c r="L99" s="359">
        <v>3</v>
      </c>
      <c r="M99" s="478"/>
      <c r="N99" s="561"/>
      <c r="O99" s="343">
        <f t="shared" si="14"/>
        <v>7</v>
      </c>
      <c r="P99" s="343">
        <f t="shared" si="13"/>
        <v>15</v>
      </c>
      <c r="Q99" s="7">
        <v>13</v>
      </c>
      <c r="R99" s="63"/>
      <c r="S99" s="81">
        <v>46631</v>
      </c>
      <c r="T99" s="14">
        <v>2</v>
      </c>
      <c r="U99" s="14"/>
      <c r="V99" s="81">
        <v>45627</v>
      </c>
      <c r="W99" s="14">
        <v>2</v>
      </c>
      <c r="X99" s="14">
        <v>3</v>
      </c>
      <c r="Y99" s="28">
        <v>3</v>
      </c>
      <c r="Z99" s="28">
        <v>3</v>
      </c>
      <c r="AA99" s="205">
        <f t="shared" si="15"/>
        <v>11</v>
      </c>
      <c r="AB99" s="206">
        <f t="shared" si="16"/>
        <v>2.75</v>
      </c>
      <c r="AC99" s="206">
        <f t="shared" si="17"/>
        <v>11</v>
      </c>
      <c r="AD99" s="206">
        <f t="shared" si="18"/>
        <v>22</v>
      </c>
    </row>
    <row r="100" spans="1:30" ht="15" customHeight="1" x14ac:dyDescent="0.25">
      <c r="A100" s="4">
        <f t="shared" si="19"/>
        <v>99</v>
      </c>
      <c r="B100" s="314" t="s">
        <v>919</v>
      </c>
      <c r="C100" s="340">
        <v>1</v>
      </c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343">
        <f t="shared" si="14"/>
        <v>1</v>
      </c>
      <c r="P100" s="343">
        <f t="shared" si="13"/>
        <v>-1</v>
      </c>
      <c r="Q100" s="7">
        <v>50</v>
      </c>
      <c r="R100" s="63"/>
      <c r="S100" s="77">
        <v>46023</v>
      </c>
      <c r="T100" s="16">
        <v>1</v>
      </c>
      <c r="V100" s="77">
        <v>45474</v>
      </c>
      <c r="AA100" s="205">
        <f t="shared" si="15"/>
        <v>0</v>
      </c>
      <c r="AB100" s="206">
        <f t="shared" si="16"/>
        <v>0</v>
      </c>
      <c r="AC100" s="206">
        <f t="shared" si="17"/>
        <v>0</v>
      </c>
      <c r="AD100" s="206">
        <f t="shared" si="18"/>
        <v>0</v>
      </c>
    </row>
    <row r="101" spans="1:30" x14ac:dyDescent="0.25">
      <c r="A101" s="4">
        <f t="shared" si="19"/>
        <v>100</v>
      </c>
      <c r="B101" s="314" t="s">
        <v>54</v>
      </c>
      <c r="C101" s="340">
        <v>5</v>
      </c>
      <c r="D101" s="359"/>
      <c r="E101" s="478"/>
      <c r="F101" s="359"/>
      <c r="G101" s="478"/>
      <c r="H101" s="359"/>
      <c r="I101" s="478"/>
      <c r="J101" s="359"/>
      <c r="K101" s="478"/>
      <c r="L101" s="359"/>
      <c r="M101" s="478">
        <v>1</v>
      </c>
      <c r="N101" s="561"/>
      <c r="O101" s="343">
        <f t="shared" ref="O101:O132" si="20">SUM(C101-D101-E101-F101-G101-H101-I101-J101-K101-L101-M101-N101)</f>
        <v>4</v>
      </c>
      <c r="P101" s="343">
        <f t="shared" si="13"/>
        <v>4</v>
      </c>
      <c r="Q101" s="7">
        <v>3.5</v>
      </c>
      <c r="R101" s="63"/>
      <c r="S101" s="118">
        <v>46204</v>
      </c>
      <c r="T101" s="316">
        <v>10</v>
      </c>
      <c r="U101" s="316"/>
      <c r="V101" s="118">
        <v>45627</v>
      </c>
      <c r="W101" s="28">
        <v>1</v>
      </c>
      <c r="X101" s="28">
        <v>1</v>
      </c>
      <c r="Y101" s="28">
        <v>1</v>
      </c>
      <c r="Z101" s="28">
        <v>1</v>
      </c>
      <c r="AA101" s="205">
        <f t="shared" ref="AA101:AA132" si="21">W101+X101+Y101+Z101</f>
        <v>4</v>
      </c>
      <c r="AB101" s="206">
        <f t="shared" ref="AB101:AB132" si="22">AA101/4</f>
        <v>1</v>
      </c>
      <c r="AC101" s="206">
        <f t="shared" ref="AC101:AC132" si="23">AB101*4</f>
        <v>4</v>
      </c>
      <c r="AD101" s="206">
        <f t="shared" ref="AD101:AD132" si="24">AC101*2</f>
        <v>8</v>
      </c>
    </row>
    <row r="102" spans="1:30" x14ac:dyDescent="0.25">
      <c r="A102" s="4">
        <f t="shared" si="19"/>
        <v>101</v>
      </c>
      <c r="B102" s="314" t="s">
        <v>1084</v>
      </c>
      <c r="C102" s="435">
        <v>163</v>
      </c>
      <c r="D102" s="363"/>
      <c r="E102" s="480"/>
      <c r="F102" s="360"/>
      <c r="G102" s="480"/>
      <c r="H102" s="360"/>
      <c r="I102" s="480"/>
      <c r="J102" s="360"/>
      <c r="K102" s="480"/>
      <c r="L102" s="360"/>
      <c r="M102" s="480">
        <v>4</v>
      </c>
      <c r="N102" s="562"/>
      <c r="O102" s="343">
        <f t="shared" si="20"/>
        <v>159</v>
      </c>
      <c r="P102" s="343">
        <f t="shared" si="13"/>
        <v>-91</v>
      </c>
      <c r="Q102" s="448">
        <v>4.7</v>
      </c>
      <c r="R102" s="64"/>
      <c r="S102" s="285">
        <v>45992</v>
      </c>
      <c r="T102" s="322">
        <v>1</v>
      </c>
      <c r="U102" s="318"/>
      <c r="V102" s="83">
        <v>45627</v>
      </c>
      <c r="W102" s="321">
        <v>3</v>
      </c>
      <c r="X102" s="316">
        <v>22</v>
      </c>
      <c r="Y102" s="316">
        <v>5</v>
      </c>
      <c r="Z102" s="316">
        <v>4</v>
      </c>
      <c r="AA102" s="205">
        <f t="shared" si="21"/>
        <v>34</v>
      </c>
      <c r="AB102" s="206">
        <f t="shared" si="22"/>
        <v>8.5</v>
      </c>
      <c r="AC102" s="206">
        <f t="shared" si="23"/>
        <v>34</v>
      </c>
      <c r="AD102" s="206">
        <f t="shared" si="24"/>
        <v>68</v>
      </c>
    </row>
    <row r="103" spans="1:30" x14ac:dyDescent="0.25">
      <c r="A103" s="4">
        <f t="shared" si="19"/>
        <v>102</v>
      </c>
      <c r="B103" s="314" t="s">
        <v>920</v>
      </c>
      <c r="C103" s="340">
        <v>220</v>
      </c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343">
        <f t="shared" si="20"/>
        <v>220</v>
      </c>
      <c r="P103" s="343">
        <f t="shared" si="13"/>
        <v>-48</v>
      </c>
      <c r="Q103" s="7">
        <v>0.9</v>
      </c>
      <c r="R103" s="63"/>
      <c r="S103" s="118">
        <v>46569</v>
      </c>
      <c r="T103" s="316">
        <v>10</v>
      </c>
      <c r="U103" s="316"/>
      <c r="V103" s="199">
        <v>45627</v>
      </c>
      <c r="W103" s="107">
        <v>34</v>
      </c>
      <c r="X103" s="309">
        <v>21</v>
      </c>
      <c r="Y103" s="309">
        <v>10</v>
      </c>
      <c r="Z103" s="309">
        <v>21</v>
      </c>
      <c r="AA103" s="205">
        <f t="shared" si="21"/>
        <v>86</v>
      </c>
      <c r="AB103" s="206">
        <f t="shared" si="22"/>
        <v>21.5</v>
      </c>
      <c r="AC103" s="206">
        <f t="shared" si="23"/>
        <v>86</v>
      </c>
      <c r="AD103" s="206">
        <f t="shared" si="24"/>
        <v>172</v>
      </c>
    </row>
    <row r="104" spans="1:30" ht="15" customHeight="1" x14ac:dyDescent="0.25">
      <c r="A104" s="4">
        <f t="shared" si="19"/>
        <v>103</v>
      </c>
      <c r="B104" s="314" t="s">
        <v>136</v>
      </c>
      <c r="C104" s="343">
        <v>1</v>
      </c>
      <c r="D104" s="360"/>
      <c r="E104" s="480"/>
      <c r="F104" s="360"/>
      <c r="G104" s="480"/>
      <c r="H104" s="360"/>
      <c r="I104" s="480"/>
      <c r="J104" s="360"/>
      <c r="K104" s="480"/>
      <c r="L104" s="360"/>
      <c r="M104" s="480"/>
      <c r="N104" s="562"/>
      <c r="O104" s="343">
        <f t="shared" si="20"/>
        <v>1</v>
      </c>
      <c r="P104" s="343">
        <f t="shared" si="13"/>
        <v>7</v>
      </c>
      <c r="Q104" s="7">
        <v>77</v>
      </c>
      <c r="R104" s="63"/>
      <c r="S104" s="118">
        <v>46478</v>
      </c>
      <c r="T104" s="316">
        <v>2</v>
      </c>
      <c r="U104" s="316">
        <v>3</v>
      </c>
      <c r="V104" s="118">
        <v>45717</v>
      </c>
      <c r="W104" s="316">
        <v>1</v>
      </c>
      <c r="X104" s="316">
        <v>1</v>
      </c>
      <c r="Y104" s="316">
        <v>1</v>
      </c>
      <c r="Z104" s="316">
        <v>1</v>
      </c>
      <c r="AA104" s="205">
        <f t="shared" si="21"/>
        <v>4</v>
      </c>
      <c r="AB104" s="206">
        <f t="shared" si="22"/>
        <v>1</v>
      </c>
      <c r="AC104" s="206">
        <f t="shared" si="23"/>
        <v>4</v>
      </c>
      <c r="AD104" s="206">
        <f t="shared" si="24"/>
        <v>8</v>
      </c>
    </row>
    <row r="105" spans="1:30" x14ac:dyDescent="0.25">
      <c r="A105" s="4">
        <f t="shared" si="19"/>
        <v>104</v>
      </c>
      <c r="B105" s="314" t="s">
        <v>137</v>
      </c>
      <c r="C105" s="340">
        <v>2</v>
      </c>
      <c r="D105" s="360"/>
      <c r="E105" s="480"/>
      <c r="F105" s="360"/>
      <c r="G105" s="480"/>
      <c r="H105" s="360"/>
      <c r="I105" s="480"/>
      <c r="J105" s="360"/>
      <c r="K105" s="480"/>
      <c r="L105" s="360">
        <v>1</v>
      </c>
      <c r="M105" s="480"/>
      <c r="N105" s="562"/>
      <c r="O105" s="343">
        <f t="shared" si="20"/>
        <v>1</v>
      </c>
      <c r="P105" s="343">
        <f t="shared" si="13"/>
        <v>7</v>
      </c>
      <c r="Q105" s="7">
        <v>77</v>
      </c>
      <c r="R105" s="63"/>
      <c r="S105" s="118">
        <v>46204</v>
      </c>
      <c r="T105" s="316">
        <v>6</v>
      </c>
      <c r="U105" s="316">
        <v>4</v>
      </c>
      <c r="V105" s="118">
        <v>45717</v>
      </c>
      <c r="W105" s="316">
        <v>1</v>
      </c>
      <c r="X105" s="316">
        <v>1</v>
      </c>
      <c r="Y105" s="316">
        <v>1</v>
      </c>
      <c r="Z105" s="316">
        <v>1</v>
      </c>
      <c r="AA105" s="205">
        <f t="shared" si="21"/>
        <v>4</v>
      </c>
      <c r="AB105" s="206">
        <f t="shared" si="22"/>
        <v>1</v>
      </c>
      <c r="AC105" s="206">
        <f t="shared" si="23"/>
        <v>4</v>
      </c>
      <c r="AD105" s="206">
        <f t="shared" si="24"/>
        <v>8</v>
      </c>
    </row>
    <row r="106" spans="1:30" ht="14.25" customHeight="1" x14ac:dyDescent="0.25">
      <c r="A106" s="4">
        <f t="shared" si="19"/>
        <v>105</v>
      </c>
      <c r="B106" s="314" t="s">
        <v>488</v>
      </c>
      <c r="C106" s="340">
        <v>19</v>
      </c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343">
        <f t="shared" si="20"/>
        <v>19</v>
      </c>
      <c r="P106" s="343">
        <f t="shared" si="13"/>
        <v>1</v>
      </c>
      <c r="Q106" s="10">
        <v>8</v>
      </c>
      <c r="R106" s="207"/>
      <c r="S106" s="118">
        <v>46296</v>
      </c>
      <c r="T106" s="316">
        <v>0</v>
      </c>
      <c r="U106" s="316"/>
      <c r="V106" s="344">
        <v>45474</v>
      </c>
      <c r="W106" s="309">
        <v>2</v>
      </c>
      <c r="X106" s="309">
        <v>5</v>
      </c>
      <c r="Y106" s="309">
        <v>1</v>
      </c>
      <c r="Z106" s="309">
        <v>2</v>
      </c>
      <c r="AA106" s="205">
        <f t="shared" si="21"/>
        <v>10</v>
      </c>
      <c r="AB106" s="206">
        <f t="shared" si="22"/>
        <v>2.5</v>
      </c>
      <c r="AC106" s="206">
        <f t="shared" si="23"/>
        <v>10</v>
      </c>
      <c r="AD106" s="206">
        <f t="shared" si="24"/>
        <v>20</v>
      </c>
    </row>
    <row r="107" spans="1:30" ht="15" customHeight="1" x14ac:dyDescent="0.25">
      <c r="A107" s="4">
        <f t="shared" si="19"/>
        <v>106</v>
      </c>
      <c r="B107" s="314" t="s">
        <v>931</v>
      </c>
      <c r="C107" s="340">
        <v>123</v>
      </c>
      <c r="D107" s="359"/>
      <c r="E107" s="478">
        <v>4</v>
      </c>
      <c r="F107" s="359"/>
      <c r="G107" s="478"/>
      <c r="H107" s="359"/>
      <c r="I107" s="478"/>
      <c r="J107" s="359"/>
      <c r="K107" s="478"/>
      <c r="L107" s="359"/>
      <c r="M107" s="478">
        <v>8</v>
      </c>
      <c r="N107" s="561"/>
      <c r="O107" s="343">
        <f t="shared" si="20"/>
        <v>111</v>
      </c>
      <c r="P107" s="343">
        <f t="shared" si="13"/>
        <v>25</v>
      </c>
      <c r="Q107" s="7">
        <v>1.25</v>
      </c>
      <c r="R107" s="63"/>
      <c r="S107" s="118">
        <v>46661</v>
      </c>
      <c r="T107" s="316">
        <v>1</v>
      </c>
      <c r="U107" s="316">
        <v>1</v>
      </c>
      <c r="V107" s="344">
        <v>45717</v>
      </c>
      <c r="W107" s="309">
        <v>8</v>
      </c>
      <c r="X107" s="309">
        <v>28</v>
      </c>
      <c r="Y107" s="309">
        <v>20</v>
      </c>
      <c r="Z107" s="309">
        <v>12</v>
      </c>
      <c r="AA107" s="205">
        <f t="shared" si="21"/>
        <v>68</v>
      </c>
      <c r="AB107" s="206">
        <f t="shared" si="22"/>
        <v>17</v>
      </c>
      <c r="AC107" s="206">
        <f t="shared" si="23"/>
        <v>68</v>
      </c>
      <c r="AD107" s="206">
        <f t="shared" si="24"/>
        <v>136</v>
      </c>
    </row>
    <row r="108" spans="1:30" ht="15" customHeight="1" x14ac:dyDescent="0.25">
      <c r="A108" s="4">
        <f t="shared" si="19"/>
        <v>107</v>
      </c>
      <c r="B108" s="314" t="s">
        <v>78</v>
      </c>
      <c r="C108" s="340">
        <v>48</v>
      </c>
      <c r="D108" s="367"/>
      <c r="E108" s="479"/>
      <c r="F108" s="364"/>
      <c r="G108" s="486"/>
      <c r="H108" s="364"/>
      <c r="I108" s="486">
        <v>1</v>
      </c>
      <c r="J108" s="381"/>
      <c r="K108" s="487"/>
      <c r="L108" s="364"/>
      <c r="M108" s="486"/>
      <c r="N108" s="568"/>
      <c r="O108" s="343">
        <f t="shared" si="20"/>
        <v>47</v>
      </c>
      <c r="P108" s="343">
        <f t="shared" si="13"/>
        <v>-25</v>
      </c>
      <c r="Q108" s="7">
        <v>3.5</v>
      </c>
      <c r="R108" s="109" t="s">
        <v>87</v>
      </c>
      <c r="S108" s="118">
        <v>46692</v>
      </c>
      <c r="T108" s="316">
        <v>0</v>
      </c>
      <c r="U108" s="316">
        <v>1</v>
      </c>
      <c r="V108" s="199">
        <v>45717</v>
      </c>
      <c r="W108" s="107">
        <v>4</v>
      </c>
      <c r="X108" s="107">
        <v>2</v>
      </c>
      <c r="Y108" s="309">
        <v>4</v>
      </c>
      <c r="Z108" s="309">
        <v>1</v>
      </c>
      <c r="AA108" s="205">
        <f t="shared" si="21"/>
        <v>11</v>
      </c>
      <c r="AB108" s="206">
        <f t="shared" si="22"/>
        <v>2.75</v>
      </c>
      <c r="AC108" s="206">
        <f t="shared" si="23"/>
        <v>11</v>
      </c>
      <c r="AD108" s="206">
        <f t="shared" si="24"/>
        <v>22</v>
      </c>
    </row>
    <row r="109" spans="1:30" ht="15" customHeight="1" x14ac:dyDescent="0.25">
      <c r="A109" s="4">
        <f t="shared" si="19"/>
        <v>108</v>
      </c>
      <c r="B109" s="314" t="s">
        <v>960</v>
      </c>
      <c r="C109" s="340">
        <v>174</v>
      </c>
      <c r="D109" s="368"/>
      <c r="E109" s="496">
        <v>7</v>
      </c>
      <c r="F109" s="372"/>
      <c r="G109" s="497">
        <v>2</v>
      </c>
      <c r="H109" s="372"/>
      <c r="I109" s="497">
        <v>5</v>
      </c>
      <c r="J109" s="372"/>
      <c r="K109" s="497">
        <v>4</v>
      </c>
      <c r="L109" s="359"/>
      <c r="M109" s="478">
        <v>5</v>
      </c>
      <c r="N109" s="561"/>
      <c r="O109" s="343">
        <f t="shared" si="20"/>
        <v>151</v>
      </c>
      <c r="P109" s="343">
        <f t="shared" si="13"/>
        <v>47</v>
      </c>
      <c r="Q109" s="7">
        <v>1.75</v>
      </c>
      <c r="R109" s="73"/>
      <c r="S109" s="344">
        <v>45992</v>
      </c>
      <c r="T109" s="309">
        <v>1</v>
      </c>
      <c r="U109" s="309">
        <v>3</v>
      </c>
      <c r="V109" s="199">
        <v>45717</v>
      </c>
      <c r="W109" s="309">
        <v>41</v>
      </c>
      <c r="X109" s="309">
        <v>32</v>
      </c>
      <c r="Y109" s="309">
        <v>2</v>
      </c>
      <c r="Z109" s="429">
        <v>24</v>
      </c>
      <c r="AA109" s="205">
        <f t="shared" si="21"/>
        <v>99</v>
      </c>
      <c r="AB109" s="206">
        <f t="shared" si="22"/>
        <v>24.75</v>
      </c>
      <c r="AC109" s="206">
        <f t="shared" si="23"/>
        <v>99</v>
      </c>
      <c r="AD109" s="206">
        <f t="shared" si="24"/>
        <v>198</v>
      </c>
    </row>
    <row r="110" spans="1:30" x14ac:dyDescent="0.25">
      <c r="A110" s="4">
        <f t="shared" si="19"/>
        <v>109</v>
      </c>
      <c r="B110" s="314" t="s">
        <v>40</v>
      </c>
      <c r="C110" s="340">
        <v>15</v>
      </c>
      <c r="D110" s="359"/>
      <c r="E110" s="478"/>
      <c r="F110" s="359"/>
      <c r="G110" s="478"/>
      <c r="H110" s="359"/>
      <c r="I110" s="478">
        <v>1</v>
      </c>
      <c r="J110" s="359"/>
      <c r="K110" s="478"/>
      <c r="L110" s="359"/>
      <c r="M110" s="478"/>
      <c r="N110" s="561"/>
      <c r="O110" s="343">
        <f t="shared" si="20"/>
        <v>14</v>
      </c>
      <c r="P110" s="343">
        <f t="shared" si="13"/>
        <v>10</v>
      </c>
      <c r="Q110" s="7">
        <v>10</v>
      </c>
      <c r="R110" s="66"/>
      <c r="S110" s="118">
        <v>47027</v>
      </c>
      <c r="T110" s="316">
        <v>10</v>
      </c>
      <c r="U110" s="316">
        <v>30</v>
      </c>
      <c r="V110" s="344">
        <v>45717</v>
      </c>
      <c r="W110" s="309">
        <v>6</v>
      </c>
      <c r="X110" s="309">
        <v>4</v>
      </c>
      <c r="Y110" s="309">
        <v>1</v>
      </c>
      <c r="Z110" s="309">
        <v>1</v>
      </c>
      <c r="AA110" s="205">
        <f t="shared" si="21"/>
        <v>12</v>
      </c>
      <c r="AB110" s="206">
        <f t="shared" si="22"/>
        <v>3</v>
      </c>
      <c r="AC110" s="206">
        <f t="shared" si="23"/>
        <v>12</v>
      </c>
      <c r="AD110" s="206">
        <f t="shared" si="24"/>
        <v>24</v>
      </c>
    </row>
    <row r="111" spans="1:30" x14ac:dyDescent="0.25">
      <c r="A111" s="4">
        <f t="shared" si="19"/>
        <v>110</v>
      </c>
      <c r="B111" s="314" t="s">
        <v>725</v>
      </c>
      <c r="C111" s="340">
        <v>1</v>
      </c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343">
        <f t="shared" si="20"/>
        <v>1</v>
      </c>
      <c r="P111" s="343">
        <f t="shared" si="13"/>
        <v>1</v>
      </c>
      <c r="Q111" s="7">
        <v>55</v>
      </c>
      <c r="R111" s="63" t="s">
        <v>1487</v>
      </c>
      <c r="S111" s="77">
        <v>45992</v>
      </c>
      <c r="T111" s="16">
        <v>1</v>
      </c>
      <c r="V111" s="77">
        <v>45231</v>
      </c>
      <c r="Z111" s="315">
        <v>1</v>
      </c>
      <c r="AA111" s="205">
        <f t="shared" si="21"/>
        <v>1</v>
      </c>
      <c r="AB111" s="206">
        <f t="shared" si="22"/>
        <v>0.25</v>
      </c>
      <c r="AC111" s="206">
        <f t="shared" si="23"/>
        <v>1</v>
      </c>
      <c r="AD111" s="206">
        <f t="shared" si="24"/>
        <v>2</v>
      </c>
    </row>
    <row r="112" spans="1:30" ht="15" customHeight="1" x14ac:dyDescent="0.25">
      <c r="A112" s="4">
        <f t="shared" si="19"/>
        <v>111</v>
      </c>
      <c r="B112" s="314" t="s">
        <v>1038</v>
      </c>
      <c r="C112" s="340">
        <v>148</v>
      </c>
      <c r="D112" s="359">
        <v>5</v>
      </c>
      <c r="E112" s="506"/>
      <c r="F112" s="359"/>
      <c r="G112" s="510">
        <v>5</v>
      </c>
      <c r="H112" s="359"/>
      <c r="I112" s="478">
        <v>3</v>
      </c>
      <c r="J112" s="359"/>
      <c r="K112" s="478"/>
      <c r="L112" s="359"/>
      <c r="M112" s="478"/>
      <c r="N112" s="561"/>
      <c r="O112" s="343">
        <f t="shared" si="20"/>
        <v>135</v>
      </c>
      <c r="P112" s="343">
        <f t="shared" si="13"/>
        <v>-39</v>
      </c>
      <c r="Q112" s="7">
        <v>4</v>
      </c>
      <c r="R112" s="63"/>
      <c r="S112" s="77">
        <v>46600</v>
      </c>
      <c r="T112" s="16">
        <v>0</v>
      </c>
      <c r="V112" s="77">
        <v>45658</v>
      </c>
      <c r="W112" s="14">
        <v>18</v>
      </c>
      <c r="X112" s="14">
        <v>7</v>
      </c>
      <c r="Y112" s="315">
        <v>10</v>
      </c>
      <c r="Z112" s="315">
        <v>13</v>
      </c>
      <c r="AA112" s="205">
        <f t="shared" si="21"/>
        <v>48</v>
      </c>
      <c r="AB112" s="206">
        <f t="shared" si="22"/>
        <v>12</v>
      </c>
      <c r="AC112" s="206">
        <f t="shared" si="23"/>
        <v>48</v>
      </c>
      <c r="AD112" s="206">
        <f t="shared" si="24"/>
        <v>96</v>
      </c>
    </row>
    <row r="113" spans="1:30" ht="15" customHeight="1" x14ac:dyDescent="0.25">
      <c r="A113" s="4">
        <f t="shared" si="19"/>
        <v>112</v>
      </c>
      <c r="B113" s="314" t="s">
        <v>564</v>
      </c>
      <c r="C113" s="340">
        <v>1</v>
      </c>
      <c r="D113" s="360"/>
      <c r="E113" s="480"/>
      <c r="F113" s="360"/>
      <c r="G113" s="480"/>
      <c r="H113" s="360"/>
      <c r="I113" s="480"/>
      <c r="J113" s="360"/>
      <c r="K113" s="480"/>
      <c r="L113" s="360"/>
      <c r="M113" s="480"/>
      <c r="N113" s="562"/>
      <c r="O113" s="343">
        <f t="shared" si="20"/>
        <v>1</v>
      </c>
      <c r="P113" s="343">
        <f t="shared" si="13"/>
        <v>9</v>
      </c>
      <c r="Q113" s="7">
        <v>77</v>
      </c>
      <c r="R113" s="63"/>
      <c r="S113" s="118">
        <v>46722</v>
      </c>
      <c r="T113" s="316">
        <v>2</v>
      </c>
      <c r="U113" s="316"/>
      <c r="V113" s="81">
        <v>45505</v>
      </c>
      <c r="W113" s="14">
        <v>1</v>
      </c>
      <c r="X113" s="14">
        <v>1</v>
      </c>
      <c r="Y113" s="28">
        <v>2</v>
      </c>
      <c r="Z113" s="28">
        <v>1</v>
      </c>
      <c r="AA113" s="205">
        <f t="shared" si="21"/>
        <v>5</v>
      </c>
      <c r="AB113" s="206">
        <f t="shared" si="22"/>
        <v>1.25</v>
      </c>
      <c r="AC113" s="206">
        <f t="shared" si="23"/>
        <v>5</v>
      </c>
      <c r="AD113" s="206">
        <f t="shared" si="24"/>
        <v>10</v>
      </c>
    </row>
    <row r="114" spans="1:30" x14ac:dyDescent="0.25">
      <c r="A114" s="4">
        <f t="shared" si="19"/>
        <v>113</v>
      </c>
      <c r="B114" s="314" t="s">
        <v>565</v>
      </c>
      <c r="C114" s="340">
        <v>3</v>
      </c>
      <c r="D114" s="367"/>
      <c r="E114" s="479"/>
      <c r="F114" s="364"/>
      <c r="G114" s="486"/>
      <c r="H114" s="364"/>
      <c r="I114" s="486"/>
      <c r="J114" s="381"/>
      <c r="K114" s="487"/>
      <c r="L114" s="364"/>
      <c r="M114" s="486"/>
      <c r="N114" s="568"/>
      <c r="O114" s="343">
        <f t="shared" si="20"/>
        <v>3</v>
      </c>
      <c r="P114" s="343">
        <f t="shared" si="13"/>
        <v>11</v>
      </c>
      <c r="Q114" s="7">
        <v>34</v>
      </c>
      <c r="R114" s="109"/>
      <c r="S114" s="112">
        <v>46296</v>
      </c>
      <c r="T114" s="322">
        <v>3</v>
      </c>
      <c r="U114" s="322">
        <v>6</v>
      </c>
      <c r="V114" s="197">
        <v>45717</v>
      </c>
      <c r="W114" s="189">
        <v>2</v>
      </c>
      <c r="X114" s="189">
        <v>2</v>
      </c>
      <c r="Y114" s="189">
        <v>2</v>
      </c>
      <c r="Z114" s="189">
        <v>1</v>
      </c>
      <c r="AA114" s="205">
        <f t="shared" si="21"/>
        <v>7</v>
      </c>
      <c r="AB114" s="206">
        <f t="shared" si="22"/>
        <v>1.75</v>
      </c>
      <c r="AC114" s="206">
        <f t="shared" si="23"/>
        <v>7</v>
      </c>
      <c r="AD114" s="206">
        <f t="shared" si="24"/>
        <v>14</v>
      </c>
    </row>
    <row r="115" spans="1:30" ht="15.75" customHeight="1" x14ac:dyDescent="0.25">
      <c r="A115" s="4">
        <f t="shared" si="19"/>
        <v>114</v>
      </c>
      <c r="B115" s="314" t="s">
        <v>435</v>
      </c>
      <c r="C115" s="340">
        <v>76</v>
      </c>
      <c r="D115" s="367"/>
      <c r="E115" s="479"/>
      <c r="F115" s="364"/>
      <c r="G115" s="486">
        <v>10</v>
      </c>
      <c r="H115" s="364"/>
      <c r="I115" s="486">
        <v>2</v>
      </c>
      <c r="J115" s="381"/>
      <c r="K115" s="487"/>
      <c r="L115" s="364"/>
      <c r="M115" s="486"/>
      <c r="N115" s="568"/>
      <c r="O115" s="343">
        <f t="shared" si="20"/>
        <v>64</v>
      </c>
      <c r="P115" s="343">
        <f t="shared" si="13"/>
        <v>4</v>
      </c>
      <c r="Q115" s="7">
        <v>2.2999999999999998</v>
      </c>
      <c r="R115" s="109"/>
      <c r="S115" s="112">
        <v>46722</v>
      </c>
      <c r="T115" s="322">
        <v>3</v>
      </c>
      <c r="U115" s="322"/>
      <c r="V115" s="197">
        <v>45658</v>
      </c>
      <c r="W115" s="189">
        <v>2</v>
      </c>
      <c r="X115" s="189">
        <v>10</v>
      </c>
      <c r="Y115" s="189">
        <v>10</v>
      </c>
      <c r="Z115" s="189">
        <v>12</v>
      </c>
      <c r="AA115" s="205">
        <f t="shared" si="21"/>
        <v>34</v>
      </c>
      <c r="AB115" s="206">
        <f t="shared" si="22"/>
        <v>8.5</v>
      </c>
      <c r="AC115" s="206">
        <f t="shared" si="23"/>
        <v>34</v>
      </c>
      <c r="AD115" s="206">
        <f t="shared" si="24"/>
        <v>68</v>
      </c>
    </row>
    <row r="116" spans="1:30" x14ac:dyDescent="0.25">
      <c r="A116" s="4">
        <f t="shared" si="19"/>
        <v>115</v>
      </c>
      <c r="B116" s="314" t="s">
        <v>932</v>
      </c>
      <c r="C116" s="340">
        <v>76</v>
      </c>
      <c r="D116" s="367"/>
      <c r="E116" s="479">
        <v>10</v>
      </c>
      <c r="F116" s="364"/>
      <c r="G116" s="486"/>
      <c r="H116" s="364"/>
      <c r="I116" s="486"/>
      <c r="J116" s="364"/>
      <c r="K116" s="486"/>
      <c r="L116" s="364">
        <v>10</v>
      </c>
      <c r="M116" s="486"/>
      <c r="N116" s="568"/>
      <c r="O116" s="343">
        <f t="shared" si="20"/>
        <v>56</v>
      </c>
      <c r="P116" s="343">
        <f t="shared" si="13"/>
        <v>58</v>
      </c>
      <c r="Q116" s="7">
        <v>2.7</v>
      </c>
      <c r="R116" s="109"/>
      <c r="S116" s="112">
        <v>47088</v>
      </c>
      <c r="T116" s="322">
        <v>2</v>
      </c>
      <c r="U116" s="322">
        <v>2</v>
      </c>
      <c r="V116" s="197">
        <v>45717</v>
      </c>
      <c r="W116" s="189">
        <v>14</v>
      </c>
      <c r="X116" s="189">
        <v>13</v>
      </c>
      <c r="Y116" s="189">
        <v>10</v>
      </c>
      <c r="Z116" s="189">
        <v>20</v>
      </c>
      <c r="AA116" s="205">
        <f t="shared" si="21"/>
        <v>57</v>
      </c>
      <c r="AB116" s="206">
        <f t="shared" si="22"/>
        <v>14.25</v>
      </c>
      <c r="AC116" s="206">
        <f t="shared" si="23"/>
        <v>57</v>
      </c>
      <c r="AD116" s="206">
        <f t="shared" si="24"/>
        <v>114</v>
      </c>
    </row>
    <row r="117" spans="1:30" ht="15" customHeight="1" x14ac:dyDescent="0.25">
      <c r="A117" s="4">
        <f t="shared" si="19"/>
        <v>116</v>
      </c>
      <c r="B117" s="314" t="s">
        <v>1378</v>
      </c>
      <c r="C117" s="340">
        <v>1</v>
      </c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343">
        <f t="shared" si="20"/>
        <v>1</v>
      </c>
      <c r="P117" s="343">
        <f t="shared" si="13"/>
        <v>-1</v>
      </c>
      <c r="Q117" s="7">
        <v>25</v>
      </c>
      <c r="R117" s="63"/>
      <c r="S117" s="77">
        <v>46388</v>
      </c>
      <c r="T117" s="16">
        <v>3</v>
      </c>
      <c r="V117" s="77">
        <v>45658</v>
      </c>
      <c r="AA117" s="205">
        <f t="shared" si="21"/>
        <v>0</v>
      </c>
      <c r="AB117" s="206">
        <f t="shared" si="22"/>
        <v>0</v>
      </c>
      <c r="AC117" s="206">
        <f t="shared" si="23"/>
        <v>0</v>
      </c>
      <c r="AD117" s="206">
        <f t="shared" si="24"/>
        <v>0</v>
      </c>
    </row>
    <row r="118" spans="1:30" ht="15" customHeight="1" x14ac:dyDescent="0.25">
      <c r="A118" s="4">
        <f t="shared" si="19"/>
        <v>117</v>
      </c>
      <c r="B118" s="314" t="s">
        <v>727</v>
      </c>
      <c r="C118" s="340">
        <v>2</v>
      </c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343">
        <f t="shared" si="20"/>
        <v>2</v>
      </c>
      <c r="P118" s="343">
        <f t="shared" si="13"/>
        <v>4</v>
      </c>
      <c r="Q118" s="7">
        <v>19</v>
      </c>
      <c r="R118" s="63"/>
      <c r="S118" s="77">
        <v>47088</v>
      </c>
      <c r="T118" s="16">
        <v>2</v>
      </c>
      <c r="V118" s="77">
        <v>45261</v>
      </c>
      <c r="W118" s="14">
        <v>1</v>
      </c>
      <c r="X118" s="14">
        <v>1</v>
      </c>
      <c r="Z118" s="315">
        <v>1</v>
      </c>
      <c r="AA118" s="205">
        <f t="shared" si="21"/>
        <v>3</v>
      </c>
      <c r="AB118" s="206">
        <f t="shared" si="22"/>
        <v>0.75</v>
      </c>
      <c r="AC118" s="206">
        <f t="shared" si="23"/>
        <v>3</v>
      </c>
      <c r="AD118" s="206">
        <f t="shared" si="24"/>
        <v>6</v>
      </c>
    </row>
    <row r="119" spans="1:30" ht="15" customHeight="1" x14ac:dyDescent="0.25">
      <c r="A119" s="4">
        <f t="shared" si="19"/>
        <v>118</v>
      </c>
      <c r="B119" s="314" t="s">
        <v>686</v>
      </c>
      <c r="C119" s="413">
        <v>2</v>
      </c>
      <c r="D119" s="359"/>
      <c r="E119" s="478"/>
      <c r="F119" s="359"/>
      <c r="G119" s="478"/>
      <c r="H119" s="359"/>
      <c r="I119" s="478">
        <v>1</v>
      </c>
      <c r="J119" s="359"/>
      <c r="K119" s="478"/>
      <c r="L119" s="359"/>
      <c r="M119" s="478">
        <v>1</v>
      </c>
      <c r="N119" s="561"/>
      <c r="O119" s="343">
        <f t="shared" si="20"/>
        <v>0</v>
      </c>
      <c r="P119" s="343">
        <f t="shared" si="13"/>
        <v>14</v>
      </c>
      <c r="Q119" s="7">
        <v>16</v>
      </c>
      <c r="R119" s="63"/>
      <c r="S119" s="118">
        <v>46447</v>
      </c>
      <c r="T119" s="316">
        <v>4</v>
      </c>
      <c r="U119" s="316"/>
      <c r="V119" s="118">
        <v>45474</v>
      </c>
      <c r="W119" s="309">
        <v>2</v>
      </c>
      <c r="X119" s="309">
        <v>1</v>
      </c>
      <c r="Y119" s="309">
        <v>2</v>
      </c>
      <c r="Z119" s="309">
        <v>2</v>
      </c>
      <c r="AA119" s="205">
        <f t="shared" si="21"/>
        <v>7</v>
      </c>
      <c r="AB119" s="206">
        <f t="shared" si="22"/>
        <v>1.75</v>
      </c>
      <c r="AC119" s="206">
        <f t="shared" si="23"/>
        <v>7</v>
      </c>
      <c r="AD119" s="206">
        <f t="shared" si="24"/>
        <v>14</v>
      </c>
    </row>
    <row r="120" spans="1:30" x14ac:dyDescent="0.25">
      <c r="A120" s="4">
        <f t="shared" si="19"/>
        <v>119</v>
      </c>
      <c r="B120" s="314" t="s">
        <v>946</v>
      </c>
      <c r="C120" s="340">
        <v>1</v>
      </c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343">
        <f t="shared" si="20"/>
        <v>1</v>
      </c>
      <c r="P120" s="343">
        <f t="shared" si="13"/>
        <v>5</v>
      </c>
      <c r="Q120" s="7">
        <v>68</v>
      </c>
      <c r="R120" s="63"/>
      <c r="S120" s="77">
        <v>46508</v>
      </c>
      <c r="T120" s="16">
        <v>3</v>
      </c>
      <c r="V120" s="77">
        <v>45566</v>
      </c>
      <c r="W120" s="14">
        <v>1</v>
      </c>
      <c r="X120" s="14">
        <v>1</v>
      </c>
      <c r="Z120" s="315">
        <v>1</v>
      </c>
      <c r="AA120" s="205">
        <f t="shared" si="21"/>
        <v>3</v>
      </c>
      <c r="AB120" s="206">
        <f t="shared" si="22"/>
        <v>0.75</v>
      </c>
      <c r="AC120" s="206">
        <f t="shared" si="23"/>
        <v>3</v>
      </c>
      <c r="AD120" s="206">
        <f t="shared" si="24"/>
        <v>6</v>
      </c>
    </row>
    <row r="121" spans="1:30" x14ac:dyDescent="0.25">
      <c r="A121" s="4">
        <f t="shared" si="19"/>
        <v>120</v>
      </c>
      <c r="B121" s="314" t="s">
        <v>837</v>
      </c>
      <c r="C121" s="340">
        <v>1</v>
      </c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343">
        <f t="shared" si="20"/>
        <v>1</v>
      </c>
      <c r="P121" s="343">
        <f t="shared" si="13"/>
        <v>3</v>
      </c>
      <c r="Q121" s="7">
        <v>20</v>
      </c>
      <c r="R121" s="63"/>
      <c r="S121" s="77">
        <v>46082</v>
      </c>
      <c r="T121" s="16">
        <v>1</v>
      </c>
      <c r="V121" s="77">
        <v>45658</v>
      </c>
      <c r="W121" s="14">
        <v>1</v>
      </c>
      <c r="Z121" s="315">
        <v>1</v>
      </c>
      <c r="AA121" s="205">
        <f t="shared" si="21"/>
        <v>2</v>
      </c>
      <c r="AB121" s="206">
        <f t="shared" si="22"/>
        <v>0.5</v>
      </c>
      <c r="AC121" s="206">
        <f t="shared" si="23"/>
        <v>2</v>
      </c>
      <c r="AD121" s="206">
        <f t="shared" si="24"/>
        <v>4</v>
      </c>
    </row>
    <row r="122" spans="1:30" x14ac:dyDescent="0.25">
      <c r="A122" s="4">
        <f t="shared" si="19"/>
        <v>121</v>
      </c>
      <c r="B122" s="651" t="s">
        <v>1317</v>
      </c>
      <c r="C122" s="652">
        <v>1</v>
      </c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343">
        <f t="shared" si="20"/>
        <v>1</v>
      </c>
      <c r="P122" s="343">
        <f t="shared" si="13"/>
        <v>1</v>
      </c>
      <c r="Q122" s="7">
        <v>50</v>
      </c>
      <c r="R122" s="63"/>
      <c r="S122" s="659">
        <v>45809</v>
      </c>
      <c r="T122" s="315">
        <v>0</v>
      </c>
      <c r="U122" s="316"/>
      <c r="V122" s="199">
        <v>45658</v>
      </c>
      <c r="W122" s="107">
        <v>1</v>
      </c>
      <c r="X122" s="107"/>
      <c r="Y122" s="309"/>
      <c r="Z122" s="309"/>
      <c r="AA122" s="205">
        <f t="shared" si="21"/>
        <v>1</v>
      </c>
      <c r="AB122" s="206">
        <f t="shared" si="22"/>
        <v>0.25</v>
      </c>
      <c r="AC122" s="206">
        <f t="shared" si="23"/>
        <v>1</v>
      </c>
      <c r="AD122" s="206">
        <f t="shared" si="24"/>
        <v>2</v>
      </c>
    </row>
    <row r="123" spans="1:30" x14ac:dyDescent="0.25">
      <c r="A123" s="4">
        <f t="shared" si="19"/>
        <v>122</v>
      </c>
      <c r="B123" s="314" t="s">
        <v>644</v>
      </c>
      <c r="C123" s="340">
        <v>17</v>
      </c>
      <c r="D123" s="374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343">
        <f t="shared" si="20"/>
        <v>17</v>
      </c>
      <c r="P123" s="343">
        <f t="shared" si="13"/>
        <v>17</v>
      </c>
      <c r="Q123" s="7">
        <v>2</v>
      </c>
      <c r="R123" s="63"/>
      <c r="S123" s="118">
        <v>46357</v>
      </c>
      <c r="T123" s="316">
        <v>1</v>
      </c>
      <c r="U123" s="316"/>
      <c r="V123" s="344">
        <v>45658</v>
      </c>
      <c r="W123" s="309">
        <v>5</v>
      </c>
      <c r="X123" s="309">
        <v>5</v>
      </c>
      <c r="Y123" s="309">
        <v>1</v>
      </c>
      <c r="Z123" s="309">
        <v>6</v>
      </c>
      <c r="AA123" s="205">
        <f t="shared" si="21"/>
        <v>17</v>
      </c>
      <c r="AB123" s="206">
        <f t="shared" si="22"/>
        <v>4.25</v>
      </c>
      <c r="AC123" s="206">
        <f t="shared" si="23"/>
        <v>17</v>
      </c>
      <c r="AD123" s="206">
        <f t="shared" si="24"/>
        <v>34</v>
      </c>
    </row>
    <row r="124" spans="1:30" ht="15" customHeight="1" x14ac:dyDescent="0.25">
      <c r="A124" s="4">
        <f t="shared" si="19"/>
        <v>123</v>
      </c>
      <c r="B124" s="314" t="s">
        <v>648</v>
      </c>
      <c r="C124" s="340">
        <v>32</v>
      </c>
      <c r="D124" s="359"/>
      <c r="E124" s="478">
        <v>2</v>
      </c>
      <c r="F124" s="359"/>
      <c r="G124" s="478"/>
      <c r="H124" s="359"/>
      <c r="I124" s="478"/>
      <c r="J124" s="359"/>
      <c r="K124" s="478"/>
      <c r="L124" s="359"/>
      <c r="M124" s="478"/>
      <c r="N124" s="561"/>
      <c r="O124" s="343">
        <f t="shared" si="20"/>
        <v>30</v>
      </c>
      <c r="P124" s="343">
        <f t="shared" si="13"/>
        <v>16</v>
      </c>
      <c r="Q124" s="7">
        <v>3</v>
      </c>
      <c r="R124" s="125"/>
      <c r="S124" s="118">
        <v>46357</v>
      </c>
      <c r="T124" s="316">
        <v>0</v>
      </c>
      <c r="U124" s="316"/>
      <c r="V124" s="344">
        <v>45689</v>
      </c>
      <c r="W124" s="309">
        <v>4</v>
      </c>
      <c r="X124" s="309">
        <v>5</v>
      </c>
      <c r="Y124" s="309">
        <v>12</v>
      </c>
      <c r="Z124" s="309">
        <v>2</v>
      </c>
      <c r="AA124" s="205">
        <f t="shared" si="21"/>
        <v>23</v>
      </c>
      <c r="AB124" s="206">
        <f t="shared" si="22"/>
        <v>5.75</v>
      </c>
      <c r="AC124" s="206">
        <f t="shared" si="23"/>
        <v>23</v>
      </c>
      <c r="AD124" s="206">
        <f t="shared" si="24"/>
        <v>46</v>
      </c>
    </row>
    <row r="125" spans="1:30" x14ac:dyDescent="0.25">
      <c r="A125" s="4">
        <f t="shared" si="19"/>
        <v>124</v>
      </c>
      <c r="B125" s="314" t="s">
        <v>645</v>
      </c>
      <c r="C125" s="340">
        <v>31</v>
      </c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343">
        <f t="shared" si="20"/>
        <v>31</v>
      </c>
      <c r="P125" s="343">
        <f t="shared" si="13"/>
        <v>-1</v>
      </c>
      <c r="Q125" s="7">
        <v>3</v>
      </c>
      <c r="R125" s="63"/>
      <c r="S125" s="118">
        <v>46357</v>
      </c>
      <c r="T125" s="316">
        <v>0</v>
      </c>
      <c r="U125" s="316">
        <v>1</v>
      </c>
      <c r="V125" s="199">
        <v>45717</v>
      </c>
      <c r="W125" s="107">
        <v>2</v>
      </c>
      <c r="X125" s="107">
        <v>8</v>
      </c>
      <c r="Y125" s="309">
        <v>1</v>
      </c>
      <c r="Z125" s="309">
        <v>4</v>
      </c>
      <c r="AA125" s="205">
        <f t="shared" si="21"/>
        <v>15</v>
      </c>
      <c r="AB125" s="206">
        <f t="shared" si="22"/>
        <v>3.75</v>
      </c>
      <c r="AC125" s="206">
        <f t="shared" si="23"/>
        <v>15</v>
      </c>
      <c r="AD125" s="206">
        <f t="shared" si="24"/>
        <v>30</v>
      </c>
    </row>
    <row r="126" spans="1:30" x14ac:dyDescent="0.25">
      <c r="A126" s="4">
        <f t="shared" si="19"/>
        <v>125</v>
      </c>
      <c r="B126" s="314" t="s">
        <v>643</v>
      </c>
      <c r="C126" s="340">
        <v>25</v>
      </c>
      <c r="D126" s="359"/>
      <c r="E126" s="478"/>
      <c r="F126" s="359"/>
      <c r="G126" s="478"/>
      <c r="H126" s="359"/>
      <c r="I126" s="478">
        <v>1</v>
      </c>
      <c r="J126" s="359"/>
      <c r="K126" s="478">
        <v>1</v>
      </c>
      <c r="L126" s="359"/>
      <c r="M126" s="478"/>
      <c r="N126" s="561"/>
      <c r="O126" s="343">
        <f t="shared" si="20"/>
        <v>23</v>
      </c>
      <c r="P126" s="343">
        <f t="shared" si="13"/>
        <v>25</v>
      </c>
      <c r="Q126" s="7">
        <v>2.5</v>
      </c>
      <c r="R126" s="63" t="s">
        <v>87</v>
      </c>
      <c r="S126" s="118">
        <v>46722</v>
      </c>
      <c r="T126" s="316">
        <v>1</v>
      </c>
      <c r="U126" s="316">
        <v>1</v>
      </c>
      <c r="V126" s="344">
        <v>45717</v>
      </c>
      <c r="W126" s="309">
        <v>2</v>
      </c>
      <c r="X126" s="309">
        <v>2</v>
      </c>
      <c r="Y126" s="309">
        <v>18</v>
      </c>
      <c r="Z126" s="309">
        <v>2</v>
      </c>
      <c r="AA126" s="205">
        <f t="shared" si="21"/>
        <v>24</v>
      </c>
      <c r="AB126" s="206">
        <f t="shared" si="22"/>
        <v>6</v>
      </c>
      <c r="AC126" s="206">
        <f t="shared" si="23"/>
        <v>24</v>
      </c>
      <c r="AD126" s="206">
        <f t="shared" si="24"/>
        <v>48</v>
      </c>
    </row>
    <row r="127" spans="1:30" ht="15" customHeight="1" x14ac:dyDescent="0.25">
      <c r="A127" s="4">
        <f t="shared" si="19"/>
        <v>126</v>
      </c>
      <c r="B127" s="353" t="s">
        <v>1023</v>
      </c>
      <c r="C127" s="413">
        <v>6</v>
      </c>
      <c r="D127" s="670"/>
      <c r="E127" s="478"/>
      <c r="F127" s="359"/>
      <c r="G127" s="478"/>
      <c r="H127" s="359"/>
      <c r="I127" s="478"/>
      <c r="J127" s="359"/>
      <c r="K127" s="480">
        <v>1</v>
      </c>
      <c r="L127" s="359"/>
      <c r="M127" s="478"/>
      <c r="N127" s="561"/>
      <c r="O127" s="343">
        <f t="shared" si="20"/>
        <v>5</v>
      </c>
      <c r="P127" s="343">
        <f t="shared" si="13"/>
        <v>5</v>
      </c>
      <c r="Q127" s="448">
        <v>12</v>
      </c>
      <c r="R127" s="66"/>
      <c r="S127" s="83">
        <v>46631</v>
      </c>
      <c r="T127" s="92">
        <v>1</v>
      </c>
      <c r="U127" s="318"/>
      <c r="V127" s="83">
        <v>45566</v>
      </c>
      <c r="W127" s="315">
        <v>1</v>
      </c>
      <c r="X127" s="315">
        <v>2</v>
      </c>
      <c r="Y127" s="315">
        <v>1</v>
      </c>
      <c r="Z127" s="315">
        <v>1</v>
      </c>
      <c r="AA127" s="205">
        <f t="shared" si="21"/>
        <v>5</v>
      </c>
      <c r="AB127" s="206">
        <f t="shared" si="22"/>
        <v>1.25</v>
      </c>
      <c r="AC127" s="206">
        <f t="shared" si="23"/>
        <v>5</v>
      </c>
      <c r="AD127" s="206">
        <f t="shared" si="24"/>
        <v>10</v>
      </c>
    </row>
    <row r="128" spans="1:30" x14ac:dyDescent="0.25">
      <c r="A128" s="4">
        <f t="shared" si="19"/>
        <v>127</v>
      </c>
      <c r="B128" s="314" t="s">
        <v>138</v>
      </c>
      <c r="C128" s="340">
        <v>6</v>
      </c>
      <c r="D128" s="359"/>
      <c r="E128" s="478"/>
      <c r="F128" s="359"/>
      <c r="G128" s="478"/>
      <c r="H128" s="359"/>
      <c r="I128" s="478"/>
      <c r="J128" s="359"/>
      <c r="K128" s="478"/>
      <c r="L128" s="359"/>
      <c r="M128" s="478">
        <v>2</v>
      </c>
      <c r="N128" s="561"/>
      <c r="O128" s="343">
        <f t="shared" si="20"/>
        <v>4</v>
      </c>
      <c r="P128" s="343">
        <f t="shared" si="13"/>
        <v>10</v>
      </c>
      <c r="Q128" s="7">
        <v>43</v>
      </c>
      <c r="R128" s="63"/>
      <c r="S128" s="118">
        <v>47088</v>
      </c>
      <c r="T128" s="316">
        <v>12</v>
      </c>
      <c r="U128" s="316">
        <v>12</v>
      </c>
      <c r="V128" s="118">
        <v>45717</v>
      </c>
      <c r="W128" s="309">
        <v>2</v>
      </c>
      <c r="X128" s="309">
        <v>1</v>
      </c>
      <c r="Y128" s="309">
        <v>2</v>
      </c>
      <c r="Z128" s="309">
        <v>2</v>
      </c>
      <c r="AA128" s="205">
        <f t="shared" si="21"/>
        <v>7</v>
      </c>
      <c r="AB128" s="206">
        <f t="shared" si="22"/>
        <v>1.75</v>
      </c>
      <c r="AC128" s="206">
        <f t="shared" si="23"/>
        <v>7</v>
      </c>
      <c r="AD128" s="206">
        <f t="shared" si="24"/>
        <v>14</v>
      </c>
    </row>
    <row r="129" spans="1:31" x14ac:dyDescent="0.25">
      <c r="A129" s="4">
        <f t="shared" si="19"/>
        <v>128</v>
      </c>
      <c r="B129" s="314" t="s">
        <v>930</v>
      </c>
      <c r="C129" s="340">
        <v>24</v>
      </c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343">
        <f t="shared" si="20"/>
        <v>24</v>
      </c>
      <c r="P129" s="343">
        <f t="shared" si="13"/>
        <v>70</v>
      </c>
      <c r="Q129" s="7">
        <v>2</v>
      </c>
      <c r="R129" s="125"/>
      <c r="S129" s="118">
        <v>46692</v>
      </c>
      <c r="T129" s="316">
        <v>2</v>
      </c>
      <c r="U129" s="316"/>
      <c r="V129" s="344">
        <v>45689</v>
      </c>
      <c r="W129" s="309">
        <v>32</v>
      </c>
      <c r="X129" s="309">
        <v>2</v>
      </c>
      <c r="Y129" s="309">
        <v>2</v>
      </c>
      <c r="Z129" s="309">
        <v>11</v>
      </c>
      <c r="AA129" s="205">
        <f t="shared" si="21"/>
        <v>47</v>
      </c>
      <c r="AB129" s="206">
        <f t="shared" si="22"/>
        <v>11.75</v>
      </c>
      <c r="AC129" s="206">
        <f t="shared" si="23"/>
        <v>47</v>
      </c>
      <c r="AD129" s="206">
        <f t="shared" si="24"/>
        <v>94</v>
      </c>
    </row>
    <row r="130" spans="1:31" ht="15" customHeight="1" x14ac:dyDescent="0.25">
      <c r="A130" s="4">
        <f t="shared" si="19"/>
        <v>129</v>
      </c>
      <c r="B130" s="651" t="s">
        <v>456</v>
      </c>
      <c r="C130" s="653">
        <v>17</v>
      </c>
      <c r="D130" s="359"/>
      <c r="E130" s="479"/>
      <c r="F130" s="359"/>
      <c r="G130" s="486"/>
      <c r="H130" s="359"/>
      <c r="I130" s="486"/>
      <c r="J130" s="359"/>
      <c r="K130" s="486"/>
      <c r="L130" s="359"/>
      <c r="M130" s="486"/>
      <c r="N130" s="568"/>
      <c r="O130" s="343">
        <f t="shared" si="20"/>
        <v>17</v>
      </c>
      <c r="P130" s="343">
        <f t="shared" ref="P130:P193" si="25">AD130-O130</f>
        <v>111</v>
      </c>
      <c r="Q130" s="7">
        <v>0.65</v>
      </c>
      <c r="R130" s="109"/>
      <c r="S130" s="660">
        <v>45809</v>
      </c>
      <c r="T130" s="322">
        <v>0</v>
      </c>
      <c r="U130" s="322"/>
      <c r="V130" s="197">
        <v>44986</v>
      </c>
      <c r="W130" s="189">
        <v>4</v>
      </c>
      <c r="X130" s="189">
        <v>20</v>
      </c>
      <c r="Y130" s="189">
        <v>20</v>
      </c>
      <c r="Z130" s="189">
        <v>20</v>
      </c>
      <c r="AA130" s="205">
        <f t="shared" si="21"/>
        <v>64</v>
      </c>
      <c r="AB130" s="206">
        <f t="shared" si="22"/>
        <v>16</v>
      </c>
      <c r="AC130" s="206">
        <f t="shared" si="23"/>
        <v>64</v>
      </c>
      <c r="AD130" s="206">
        <f t="shared" si="24"/>
        <v>128</v>
      </c>
    </row>
    <row r="131" spans="1:31" x14ac:dyDescent="0.25">
      <c r="A131" s="4">
        <f t="shared" si="19"/>
        <v>130</v>
      </c>
      <c r="B131" s="314" t="s">
        <v>755</v>
      </c>
      <c r="C131" s="340">
        <v>2</v>
      </c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343">
        <f t="shared" si="20"/>
        <v>2</v>
      </c>
      <c r="P131" s="343">
        <f t="shared" si="25"/>
        <v>2</v>
      </c>
      <c r="Q131" s="7">
        <v>10</v>
      </c>
      <c r="R131" s="63"/>
      <c r="S131" s="77">
        <v>45992</v>
      </c>
      <c r="T131" s="16">
        <v>3</v>
      </c>
      <c r="V131" s="77">
        <v>45352</v>
      </c>
      <c r="X131" s="14">
        <v>1</v>
      </c>
      <c r="Y131" s="315">
        <v>1</v>
      </c>
      <c r="AA131" s="205">
        <f t="shared" si="21"/>
        <v>2</v>
      </c>
      <c r="AB131" s="206">
        <f t="shared" si="22"/>
        <v>0.5</v>
      </c>
      <c r="AC131" s="206">
        <f t="shared" si="23"/>
        <v>2</v>
      </c>
      <c r="AD131" s="206">
        <f t="shared" si="24"/>
        <v>4</v>
      </c>
    </row>
    <row r="132" spans="1:31" x14ac:dyDescent="0.25">
      <c r="A132" s="4">
        <f t="shared" si="19"/>
        <v>131</v>
      </c>
      <c r="B132" s="314" t="s">
        <v>63</v>
      </c>
      <c r="C132" s="340">
        <v>4</v>
      </c>
      <c r="D132" s="359"/>
      <c r="E132" s="478"/>
      <c r="F132" s="360">
        <v>1</v>
      </c>
      <c r="G132" s="480"/>
      <c r="H132" s="360"/>
      <c r="I132" s="480"/>
      <c r="J132" s="360"/>
      <c r="K132" s="480"/>
      <c r="L132" s="360">
        <v>1</v>
      </c>
      <c r="M132" s="480"/>
      <c r="N132" s="562"/>
      <c r="O132" s="343">
        <f t="shared" si="20"/>
        <v>2</v>
      </c>
      <c r="P132" s="343">
        <f t="shared" si="25"/>
        <v>12</v>
      </c>
      <c r="Q132" s="7">
        <v>13</v>
      </c>
      <c r="R132" s="207"/>
      <c r="S132" s="118"/>
      <c r="T132" s="316">
        <v>18</v>
      </c>
      <c r="U132" s="316"/>
      <c r="V132" s="197">
        <v>45658</v>
      </c>
      <c r="W132" s="309">
        <v>2</v>
      </c>
      <c r="X132" s="309">
        <v>2</v>
      </c>
      <c r="Y132" s="309">
        <v>1</v>
      </c>
      <c r="Z132" s="309">
        <v>2</v>
      </c>
      <c r="AA132" s="205">
        <f t="shared" si="21"/>
        <v>7</v>
      </c>
      <c r="AB132" s="206">
        <f t="shared" si="22"/>
        <v>1.75</v>
      </c>
      <c r="AC132" s="206">
        <f t="shared" si="23"/>
        <v>7</v>
      </c>
      <c r="AD132" s="206">
        <f t="shared" si="24"/>
        <v>14</v>
      </c>
    </row>
    <row r="133" spans="1:31" ht="15" customHeight="1" x14ac:dyDescent="0.25">
      <c r="A133" s="4">
        <f t="shared" si="19"/>
        <v>132</v>
      </c>
      <c r="B133" s="314" t="s">
        <v>1442</v>
      </c>
      <c r="C133" s="339">
        <v>2</v>
      </c>
      <c r="D133" s="363"/>
      <c r="E133" s="480"/>
      <c r="F133" s="360"/>
      <c r="G133" s="480"/>
      <c r="H133" s="360"/>
      <c r="I133" s="480"/>
      <c r="J133" s="360"/>
      <c r="K133" s="480"/>
      <c r="L133" s="360"/>
      <c r="M133" s="480"/>
      <c r="N133" s="562"/>
      <c r="O133" s="343">
        <f t="shared" ref="O133:O164" si="26">SUM(C133-D133-E133-F133-G133-H133-I133-J133-K133-L133-M133-N133)</f>
        <v>2</v>
      </c>
      <c r="P133" s="343">
        <f t="shared" si="25"/>
        <v>0</v>
      </c>
      <c r="Q133" s="7">
        <v>22</v>
      </c>
      <c r="R133" s="64" t="s">
        <v>1439</v>
      </c>
      <c r="S133" s="285"/>
      <c r="T133" s="318">
        <v>9</v>
      </c>
      <c r="U133" s="316">
        <v>12</v>
      </c>
      <c r="V133" s="83">
        <v>45717</v>
      </c>
      <c r="W133" s="321">
        <v>1</v>
      </c>
      <c r="X133" s="316"/>
      <c r="Y133" s="316"/>
      <c r="Z133" s="316"/>
      <c r="AA133" s="205">
        <f t="shared" ref="AA133:AA164" si="27">W133+X133+Y133+Z133</f>
        <v>1</v>
      </c>
      <c r="AB133" s="206">
        <f t="shared" ref="AB133:AB164" si="28">AA133/4</f>
        <v>0.25</v>
      </c>
      <c r="AC133" s="206">
        <f t="shared" ref="AC133:AC164" si="29">AB133*4</f>
        <v>1</v>
      </c>
      <c r="AD133" s="206">
        <f t="shared" ref="AD133:AD164" si="30">AC133*2</f>
        <v>2</v>
      </c>
    </row>
    <row r="134" spans="1:31" ht="15.75" customHeight="1" x14ac:dyDescent="0.25">
      <c r="A134" s="4">
        <f t="shared" si="19"/>
        <v>133</v>
      </c>
      <c r="B134" s="314" t="s">
        <v>868</v>
      </c>
      <c r="C134" s="340">
        <v>3</v>
      </c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343">
        <f t="shared" si="26"/>
        <v>3</v>
      </c>
      <c r="P134" s="343">
        <f t="shared" si="25"/>
        <v>9</v>
      </c>
      <c r="Q134" s="7">
        <v>15</v>
      </c>
      <c r="R134" s="207"/>
      <c r="S134" s="118">
        <v>45992</v>
      </c>
      <c r="T134" s="316">
        <v>6</v>
      </c>
      <c r="U134" s="316"/>
      <c r="V134" s="344">
        <v>45658</v>
      </c>
      <c r="W134" s="309">
        <v>2</v>
      </c>
      <c r="X134" s="309">
        <v>2</v>
      </c>
      <c r="Y134" s="309">
        <v>1</v>
      </c>
      <c r="Z134" s="309">
        <v>1</v>
      </c>
      <c r="AA134" s="205">
        <f t="shared" si="27"/>
        <v>6</v>
      </c>
      <c r="AB134" s="206">
        <f t="shared" si="28"/>
        <v>1.5</v>
      </c>
      <c r="AC134" s="206">
        <f t="shared" si="29"/>
        <v>6</v>
      </c>
      <c r="AD134" s="206">
        <f t="shared" si="30"/>
        <v>12</v>
      </c>
    </row>
    <row r="135" spans="1:31" ht="15" customHeight="1" x14ac:dyDescent="0.25">
      <c r="A135" s="4">
        <f t="shared" si="19"/>
        <v>134</v>
      </c>
      <c r="B135" s="314" t="s">
        <v>223</v>
      </c>
      <c r="C135" s="340">
        <v>2</v>
      </c>
      <c r="D135" s="359"/>
      <c r="E135" s="478"/>
      <c r="F135" s="360"/>
      <c r="G135" s="480"/>
      <c r="H135" s="360"/>
      <c r="I135" s="480"/>
      <c r="J135" s="360"/>
      <c r="K135" s="480"/>
      <c r="L135" s="359"/>
      <c r="M135" s="480"/>
      <c r="N135" s="562"/>
      <c r="O135" s="343">
        <f t="shared" si="26"/>
        <v>2</v>
      </c>
      <c r="P135" s="343">
        <f t="shared" si="25"/>
        <v>6</v>
      </c>
      <c r="Q135" s="7">
        <v>25</v>
      </c>
      <c r="R135" s="63"/>
      <c r="S135" s="118">
        <v>46357</v>
      </c>
      <c r="T135" s="316">
        <v>0</v>
      </c>
      <c r="U135" s="316"/>
      <c r="V135" s="118">
        <v>45292</v>
      </c>
      <c r="W135" s="28">
        <v>1</v>
      </c>
      <c r="X135" s="28">
        <v>1</v>
      </c>
      <c r="Y135" s="28">
        <v>1</v>
      </c>
      <c r="Z135" s="28">
        <v>1</v>
      </c>
      <c r="AA135" s="205">
        <f t="shared" si="27"/>
        <v>4</v>
      </c>
      <c r="AB135" s="206">
        <f t="shared" si="28"/>
        <v>1</v>
      </c>
      <c r="AC135" s="206">
        <f t="shared" si="29"/>
        <v>4</v>
      </c>
      <c r="AD135" s="206">
        <f t="shared" si="30"/>
        <v>8</v>
      </c>
    </row>
    <row r="136" spans="1:31" x14ac:dyDescent="0.25">
      <c r="A136" s="4">
        <f t="shared" si="19"/>
        <v>135</v>
      </c>
      <c r="B136" s="314" t="s">
        <v>1459</v>
      </c>
      <c r="C136" s="340">
        <v>3</v>
      </c>
      <c r="D136" s="359"/>
      <c r="E136" s="478">
        <v>1</v>
      </c>
      <c r="F136" s="359"/>
      <c r="G136" s="478"/>
      <c r="H136" s="359"/>
      <c r="I136" s="478"/>
      <c r="J136" s="359"/>
      <c r="K136" s="478"/>
      <c r="L136" s="359"/>
      <c r="M136" s="478"/>
      <c r="N136" s="561"/>
      <c r="O136" s="343">
        <f t="shared" si="26"/>
        <v>2</v>
      </c>
      <c r="P136" s="343">
        <f t="shared" si="25"/>
        <v>0</v>
      </c>
      <c r="Q136" s="7">
        <v>19</v>
      </c>
      <c r="R136" s="679"/>
      <c r="S136" s="77">
        <v>46327</v>
      </c>
      <c r="T136" s="16">
        <v>6</v>
      </c>
      <c r="U136" s="16">
        <v>9</v>
      </c>
      <c r="V136" s="77">
        <v>45717</v>
      </c>
      <c r="Z136" s="315">
        <v>1</v>
      </c>
      <c r="AA136" s="205">
        <f t="shared" si="27"/>
        <v>1</v>
      </c>
      <c r="AB136" s="206">
        <f t="shared" si="28"/>
        <v>0.25</v>
      </c>
      <c r="AC136" s="206">
        <f t="shared" si="29"/>
        <v>1</v>
      </c>
      <c r="AD136" s="206">
        <f t="shared" si="30"/>
        <v>2</v>
      </c>
    </row>
    <row r="137" spans="1:31" x14ac:dyDescent="0.25">
      <c r="A137" s="4">
        <f t="shared" si="19"/>
        <v>136</v>
      </c>
      <c r="B137" s="314" t="s">
        <v>771</v>
      </c>
      <c r="C137" s="340">
        <v>2</v>
      </c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343">
        <f t="shared" si="26"/>
        <v>2</v>
      </c>
      <c r="P137" s="343">
        <f t="shared" si="25"/>
        <v>8</v>
      </c>
      <c r="Q137" s="7">
        <v>35</v>
      </c>
      <c r="R137" s="8"/>
      <c r="S137" s="77">
        <v>46722</v>
      </c>
      <c r="T137" s="16">
        <v>0</v>
      </c>
      <c r="V137" s="77">
        <v>45566</v>
      </c>
      <c r="W137" s="14">
        <v>2</v>
      </c>
      <c r="X137" s="14">
        <v>1</v>
      </c>
      <c r="Y137" s="315">
        <v>1</v>
      </c>
      <c r="Z137" s="315">
        <v>1</v>
      </c>
      <c r="AA137" s="205">
        <f t="shared" si="27"/>
        <v>5</v>
      </c>
      <c r="AB137" s="206">
        <f t="shared" si="28"/>
        <v>1.25</v>
      </c>
      <c r="AC137" s="206">
        <f t="shared" si="29"/>
        <v>5</v>
      </c>
      <c r="AD137" s="206">
        <f t="shared" si="30"/>
        <v>10</v>
      </c>
    </row>
    <row r="138" spans="1:31" x14ac:dyDescent="0.25">
      <c r="A138" s="4">
        <f t="shared" si="19"/>
        <v>137</v>
      </c>
      <c r="B138" s="314" t="s">
        <v>1039</v>
      </c>
      <c r="C138" s="415">
        <v>2</v>
      </c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343">
        <f t="shared" si="26"/>
        <v>2</v>
      </c>
      <c r="P138" s="343">
        <f t="shared" si="25"/>
        <v>8</v>
      </c>
      <c r="Q138" s="7">
        <v>45</v>
      </c>
      <c r="R138" s="63"/>
      <c r="S138" s="77">
        <v>46722</v>
      </c>
      <c r="T138" s="16">
        <v>3</v>
      </c>
      <c r="U138" s="16">
        <v>3</v>
      </c>
      <c r="V138" s="77">
        <v>45717</v>
      </c>
      <c r="W138" s="14">
        <v>2</v>
      </c>
      <c r="X138" s="14">
        <v>1</v>
      </c>
      <c r="Y138" s="315">
        <v>1</v>
      </c>
      <c r="Z138" s="315">
        <v>1</v>
      </c>
      <c r="AA138" s="205">
        <f t="shared" si="27"/>
        <v>5</v>
      </c>
      <c r="AB138" s="206">
        <f t="shared" si="28"/>
        <v>1.25</v>
      </c>
      <c r="AC138" s="206">
        <f t="shared" si="29"/>
        <v>5</v>
      </c>
      <c r="AD138" s="206">
        <f t="shared" si="30"/>
        <v>10</v>
      </c>
    </row>
    <row r="139" spans="1:31" ht="15" customHeight="1" x14ac:dyDescent="0.25">
      <c r="A139" s="4">
        <f t="shared" si="19"/>
        <v>138</v>
      </c>
      <c r="B139" s="314" t="s">
        <v>1186</v>
      </c>
      <c r="C139" s="340">
        <v>1</v>
      </c>
      <c r="D139" s="359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343">
        <f t="shared" si="26"/>
        <v>1</v>
      </c>
      <c r="P139" s="343">
        <f t="shared" si="25"/>
        <v>3</v>
      </c>
      <c r="Q139" s="7">
        <v>18</v>
      </c>
      <c r="R139" s="701"/>
      <c r="S139" s="77">
        <v>46235</v>
      </c>
      <c r="T139" s="16">
        <v>3</v>
      </c>
      <c r="U139" s="16">
        <v>3</v>
      </c>
      <c r="V139" s="77">
        <v>45717</v>
      </c>
      <c r="W139" s="14">
        <v>1</v>
      </c>
      <c r="Y139" s="315">
        <v>1</v>
      </c>
      <c r="AA139" s="205">
        <f t="shared" si="27"/>
        <v>2</v>
      </c>
      <c r="AB139" s="206">
        <f t="shared" si="28"/>
        <v>0.5</v>
      </c>
      <c r="AC139" s="206">
        <f t="shared" si="29"/>
        <v>2</v>
      </c>
      <c r="AD139" s="206">
        <f t="shared" si="30"/>
        <v>4</v>
      </c>
    </row>
    <row r="140" spans="1:31" ht="15" customHeight="1" x14ac:dyDescent="0.25">
      <c r="A140" s="4">
        <f t="shared" si="19"/>
        <v>139</v>
      </c>
      <c r="B140" s="4" t="s">
        <v>882</v>
      </c>
      <c r="C140" s="340">
        <v>4</v>
      </c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343">
        <f t="shared" si="26"/>
        <v>4</v>
      </c>
      <c r="P140" s="343">
        <f t="shared" si="25"/>
        <v>4</v>
      </c>
      <c r="Q140" s="7">
        <v>20</v>
      </c>
      <c r="R140" s="63" t="s">
        <v>807</v>
      </c>
      <c r="S140" s="81">
        <v>46296</v>
      </c>
      <c r="T140" s="14">
        <v>1</v>
      </c>
      <c r="U140" s="14"/>
      <c r="V140" s="81">
        <v>45689</v>
      </c>
      <c r="X140" s="14">
        <v>1</v>
      </c>
      <c r="Y140" s="14">
        <v>2</v>
      </c>
      <c r="Z140" s="28">
        <v>1</v>
      </c>
      <c r="AA140" s="205">
        <f t="shared" si="27"/>
        <v>4</v>
      </c>
      <c r="AB140" s="206">
        <f t="shared" si="28"/>
        <v>1</v>
      </c>
      <c r="AC140" s="206">
        <f t="shared" si="29"/>
        <v>4</v>
      </c>
      <c r="AD140" s="206">
        <f t="shared" si="30"/>
        <v>8</v>
      </c>
    </row>
    <row r="141" spans="1:31" x14ac:dyDescent="0.25">
      <c r="A141" s="4">
        <f t="shared" si="19"/>
        <v>140</v>
      </c>
      <c r="B141" s="314" t="s">
        <v>200</v>
      </c>
      <c r="C141" s="340">
        <v>51</v>
      </c>
      <c r="D141" s="359">
        <v>2</v>
      </c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343">
        <f t="shared" si="26"/>
        <v>49</v>
      </c>
      <c r="P141" s="343">
        <f t="shared" si="25"/>
        <v>-13</v>
      </c>
      <c r="Q141" s="7">
        <v>2</v>
      </c>
      <c r="R141" s="63"/>
      <c r="S141" s="118">
        <v>46539</v>
      </c>
      <c r="T141" s="316">
        <v>2</v>
      </c>
      <c r="U141" s="316">
        <v>2</v>
      </c>
      <c r="V141" s="344">
        <v>45717</v>
      </c>
      <c r="W141" s="309">
        <v>2</v>
      </c>
      <c r="X141" s="309">
        <v>6</v>
      </c>
      <c r="Y141" s="309">
        <v>8</v>
      </c>
      <c r="Z141" s="309">
        <v>2</v>
      </c>
      <c r="AA141" s="205">
        <f t="shared" si="27"/>
        <v>18</v>
      </c>
      <c r="AB141" s="206">
        <f t="shared" si="28"/>
        <v>4.5</v>
      </c>
      <c r="AC141" s="206">
        <f t="shared" si="29"/>
        <v>18</v>
      </c>
      <c r="AD141" s="206">
        <f t="shared" si="30"/>
        <v>36</v>
      </c>
    </row>
    <row r="142" spans="1:31" x14ac:dyDescent="0.25">
      <c r="A142" s="4">
        <f t="shared" ref="A142:A205" si="31">A141+1</f>
        <v>141</v>
      </c>
      <c r="B142" s="651" t="s">
        <v>240</v>
      </c>
      <c r="C142" s="697">
        <v>56</v>
      </c>
      <c r="D142" s="367">
        <v>10</v>
      </c>
      <c r="E142" s="478"/>
      <c r="F142" s="364"/>
      <c r="G142" s="486"/>
      <c r="H142" s="364"/>
      <c r="I142" s="486"/>
      <c r="J142" s="381"/>
      <c r="K142" s="487"/>
      <c r="L142" s="364"/>
      <c r="M142" s="486"/>
      <c r="N142" s="568"/>
      <c r="O142" s="343">
        <f t="shared" si="26"/>
        <v>46</v>
      </c>
      <c r="P142" s="343">
        <f t="shared" si="25"/>
        <v>6</v>
      </c>
      <c r="Q142" s="7">
        <v>2</v>
      </c>
      <c r="R142" s="109"/>
      <c r="S142" s="660">
        <v>45809</v>
      </c>
      <c r="T142" s="322">
        <v>1</v>
      </c>
      <c r="U142" s="322">
        <v>1</v>
      </c>
      <c r="V142" s="112">
        <v>45717</v>
      </c>
      <c r="W142" s="28">
        <v>2</v>
      </c>
      <c r="X142" s="92">
        <v>10</v>
      </c>
      <c r="Y142" s="92">
        <v>4</v>
      </c>
      <c r="Z142" s="92">
        <v>10</v>
      </c>
      <c r="AA142" s="205">
        <f t="shared" si="27"/>
        <v>26</v>
      </c>
      <c r="AB142" s="206">
        <f t="shared" si="28"/>
        <v>6.5</v>
      </c>
      <c r="AC142" s="206">
        <f t="shared" si="29"/>
        <v>26</v>
      </c>
      <c r="AD142" s="206">
        <f t="shared" si="30"/>
        <v>52</v>
      </c>
    </row>
    <row r="143" spans="1:31" ht="15" customHeight="1" x14ac:dyDescent="0.25">
      <c r="A143" s="4">
        <f t="shared" si="19"/>
        <v>142</v>
      </c>
      <c r="B143" s="651" t="s">
        <v>359</v>
      </c>
      <c r="C143" s="697">
        <v>7</v>
      </c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343">
        <f t="shared" si="26"/>
        <v>7</v>
      </c>
      <c r="P143" s="343">
        <f t="shared" si="25"/>
        <v>7</v>
      </c>
      <c r="Q143" s="7">
        <v>25</v>
      </c>
      <c r="R143" s="106"/>
      <c r="S143" s="655">
        <v>45901</v>
      </c>
      <c r="T143" s="318">
        <v>3</v>
      </c>
      <c r="U143" s="318"/>
      <c r="V143" s="344">
        <v>45658</v>
      </c>
      <c r="W143" s="309">
        <v>2</v>
      </c>
      <c r="X143" s="309">
        <v>2</v>
      </c>
      <c r="Y143" s="309">
        <v>2</v>
      </c>
      <c r="Z143" s="429">
        <v>1</v>
      </c>
      <c r="AA143" s="205">
        <f t="shared" si="27"/>
        <v>7</v>
      </c>
      <c r="AB143" s="206">
        <f t="shared" si="28"/>
        <v>1.75</v>
      </c>
      <c r="AC143" s="206">
        <f t="shared" si="29"/>
        <v>7</v>
      </c>
      <c r="AD143" s="206">
        <f t="shared" si="30"/>
        <v>14</v>
      </c>
      <c r="AE143" s="206"/>
    </row>
    <row r="144" spans="1:31" x14ac:dyDescent="0.25">
      <c r="A144" s="4">
        <f t="shared" si="31"/>
        <v>143</v>
      </c>
      <c r="B144" s="314" t="s">
        <v>808</v>
      </c>
      <c r="C144" s="339">
        <v>11</v>
      </c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343">
        <f t="shared" si="26"/>
        <v>11</v>
      </c>
      <c r="P144" s="343">
        <f t="shared" si="25"/>
        <v>1</v>
      </c>
      <c r="Q144" s="7">
        <v>8</v>
      </c>
      <c r="R144" s="63"/>
      <c r="S144" s="77">
        <v>46204</v>
      </c>
      <c r="T144" s="16">
        <v>0</v>
      </c>
      <c r="V144" s="77">
        <v>45505</v>
      </c>
      <c r="W144" s="14">
        <v>3</v>
      </c>
      <c r="X144" s="14">
        <v>1</v>
      </c>
      <c r="Y144" s="315">
        <v>1</v>
      </c>
      <c r="Z144" s="315">
        <v>1</v>
      </c>
      <c r="AA144" s="205">
        <f t="shared" si="27"/>
        <v>6</v>
      </c>
      <c r="AB144" s="206">
        <f t="shared" si="28"/>
        <v>1.5</v>
      </c>
      <c r="AC144" s="206">
        <f t="shared" si="29"/>
        <v>6</v>
      </c>
      <c r="AD144" s="206">
        <f t="shared" si="30"/>
        <v>12</v>
      </c>
    </row>
    <row r="145" spans="1:30" ht="15" customHeight="1" x14ac:dyDescent="0.25">
      <c r="A145" s="4">
        <f t="shared" si="19"/>
        <v>144</v>
      </c>
      <c r="B145" s="4" t="s">
        <v>963</v>
      </c>
      <c r="C145" s="339">
        <v>14</v>
      </c>
      <c r="D145" s="359"/>
      <c r="E145" s="478"/>
      <c r="F145" s="359"/>
      <c r="G145" s="478"/>
      <c r="H145" s="359"/>
      <c r="I145" s="478"/>
      <c r="J145" s="359"/>
      <c r="K145" s="478"/>
      <c r="L145" s="359">
        <v>1</v>
      </c>
      <c r="M145" s="478"/>
      <c r="N145" s="561"/>
      <c r="O145" s="343">
        <f t="shared" si="26"/>
        <v>13</v>
      </c>
      <c r="P145" s="343">
        <f t="shared" si="25"/>
        <v>7</v>
      </c>
      <c r="Q145" s="7">
        <v>8</v>
      </c>
      <c r="R145" s="63"/>
      <c r="S145" s="77">
        <v>47088</v>
      </c>
      <c r="T145" s="16">
        <v>26</v>
      </c>
      <c r="U145" s="16">
        <v>20</v>
      </c>
      <c r="V145" s="77">
        <v>45717</v>
      </c>
      <c r="W145" s="14">
        <v>7</v>
      </c>
      <c r="X145" s="14">
        <v>1</v>
      </c>
      <c r="Y145" s="315">
        <v>1</v>
      </c>
      <c r="Z145" s="315">
        <v>1</v>
      </c>
      <c r="AA145" s="205">
        <f t="shared" si="27"/>
        <v>10</v>
      </c>
      <c r="AB145" s="206">
        <f t="shared" si="28"/>
        <v>2.5</v>
      </c>
      <c r="AC145" s="206">
        <f t="shared" si="29"/>
        <v>10</v>
      </c>
      <c r="AD145" s="206">
        <f t="shared" si="30"/>
        <v>20</v>
      </c>
    </row>
    <row r="146" spans="1:30" x14ac:dyDescent="0.25">
      <c r="A146" s="4">
        <f t="shared" si="31"/>
        <v>145</v>
      </c>
      <c r="B146" s="314" t="s">
        <v>279</v>
      </c>
      <c r="C146" s="339">
        <v>94</v>
      </c>
      <c r="D146" s="359"/>
      <c r="E146" s="478"/>
      <c r="F146" s="359"/>
      <c r="G146" s="478">
        <v>10</v>
      </c>
      <c r="H146" s="359"/>
      <c r="I146" s="478"/>
      <c r="J146" s="359"/>
      <c r="K146" s="478">
        <v>20</v>
      </c>
      <c r="L146" s="359"/>
      <c r="M146" s="478"/>
      <c r="N146" s="561"/>
      <c r="O146" s="343">
        <f t="shared" si="26"/>
        <v>64</v>
      </c>
      <c r="P146" s="343">
        <f t="shared" si="25"/>
        <v>172</v>
      </c>
      <c r="Q146" s="7">
        <v>1</v>
      </c>
      <c r="R146" s="63"/>
      <c r="S146" s="344">
        <v>46327</v>
      </c>
      <c r="T146" s="318">
        <v>1</v>
      </c>
      <c r="U146" s="318">
        <v>1</v>
      </c>
      <c r="V146" s="344">
        <v>45717</v>
      </c>
      <c r="W146" s="309">
        <v>50</v>
      </c>
      <c r="X146" s="309">
        <v>28</v>
      </c>
      <c r="Y146" s="309">
        <v>10</v>
      </c>
      <c r="Z146" s="309">
        <v>30</v>
      </c>
      <c r="AA146" s="205">
        <f t="shared" si="27"/>
        <v>118</v>
      </c>
      <c r="AB146" s="206">
        <f t="shared" si="28"/>
        <v>29.5</v>
      </c>
      <c r="AC146" s="206">
        <f t="shared" si="29"/>
        <v>118</v>
      </c>
      <c r="AD146" s="206">
        <f t="shared" si="30"/>
        <v>236</v>
      </c>
    </row>
    <row r="147" spans="1:30" ht="15" customHeight="1" x14ac:dyDescent="0.25">
      <c r="A147" s="4">
        <f t="shared" si="31"/>
        <v>146</v>
      </c>
      <c r="B147" s="314" t="s">
        <v>453</v>
      </c>
      <c r="C147" s="339">
        <v>712</v>
      </c>
      <c r="D147" s="359"/>
      <c r="E147" s="478">
        <v>40</v>
      </c>
      <c r="F147" s="359"/>
      <c r="G147" s="478"/>
      <c r="H147" s="359"/>
      <c r="I147" s="478"/>
      <c r="J147" s="359"/>
      <c r="K147" s="478"/>
      <c r="L147" s="359"/>
      <c r="M147" s="478"/>
      <c r="N147" s="561"/>
      <c r="O147" s="343">
        <f t="shared" si="26"/>
        <v>672</v>
      </c>
      <c r="P147" s="343">
        <f t="shared" si="25"/>
        <v>-256</v>
      </c>
      <c r="Q147" s="7">
        <v>0.25</v>
      </c>
      <c r="R147" s="106" t="s">
        <v>1331</v>
      </c>
      <c r="S147" s="344">
        <v>46204</v>
      </c>
      <c r="T147" s="318">
        <v>0</v>
      </c>
      <c r="U147" s="318"/>
      <c r="V147" s="344">
        <v>45658</v>
      </c>
      <c r="W147" s="309">
        <v>32</v>
      </c>
      <c r="X147" s="309">
        <v>20</v>
      </c>
      <c r="Y147" s="309">
        <v>116</v>
      </c>
      <c r="Z147" s="429">
        <v>40</v>
      </c>
      <c r="AA147" s="205">
        <f t="shared" si="27"/>
        <v>208</v>
      </c>
      <c r="AB147" s="206">
        <f t="shared" si="28"/>
        <v>52</v>
      </c>
      <c r="AC147" s="206">
        <f t="shared" si="29"/>
        <v>208</v>
      </c>
      <c r="AD147" s="206">
        <f t="shared" si="30"/>
        <v>416</v>
      </c>
    </row>
    <row r="148" spans="1:30" ht="15" customHeight="1" x14ac:dyDescent="0.25">
      <c r="A148" s="4">
        <f t="shared" si="31"/>
        <v>147</v>
      </c>
      <c r="B148" s="314" t="s">
        <v>921</v>
      </c>
      <c r="C148" s="339">
        <v>141</v>
      </c>
      <c r="D148" s="360">
        <v>20</v>
      </c>
      <c r="E148" s="480"/>
      <c r="F148" s="360"/>
      <c r="G148" s="480">
        <v>10</v>
      </c>
      <c r="H148" s="360">
        <v>2</v>
      </c>
      <c r="I148" s="480"/>
      <c r="J148" s="360"/>
      <c r="K148" s="480"/>
      <c r="L148" s="360">
        <v>2</v>
      </c>
      <c r="M148" s="480"/>
      <c r="N148" s="562"/>
      <c r="O148" s="343">
        <f t="shared" si="26"/>
        <v>107</v>
      </c>
      <c r="P148" s="343">
        <f t="shared" si="25"/>
        <v>195</v>
      </c>
      <c r="Q148" s="7">
        <v>3.3</v>
      </c>
      <c r="R148" s="64"/>
      <c r="S148" s="118">
        <v>46327</v>
      </c>
      <c r="T148" s="316">
        <v>0</v>
      </c>
      <c r="U148" s="316"/>
      <c r="V148" s="344">
        <v>45658</v>
      </c>
      <c r="W148" s="318">
        <v>26</v>
      </c>
      <c r="X148" s="318">
        <v>36</v>
      </c>
      <c r="Y148" s="318">
        <v>55</v>
      </c>
      <c r="Z148" s="318">
        <v>34</v>
      </c>
      <c r="AA148" s="205">
        <f t="shared" si="27"/>
        <v>151</v>
      </c>
      <c r="AB148" s="206">
        <f t="shared" si="28"/>
        <v>37.75</v>
      </c>
      <c r="AC148" s="206">
        <f t="shared" si="29"/>
        <v>151</v>
      </c>
      <c r="AD148" s="206">
        <f t="shared" si="30"/>
        <v>302</v>
      </c>
    </row>
    <row r="149" spans="1:30" ht="15" customHeight="1" x14ac:dyDescent="0.25">
      <c r="A149" s="4">
        <f t="shared" si="31"/>
        <v>148</v>
      </c>
      <c r="B149" s="314" t="s">
        <v>74</v>
      </c>
      <c r="C149" s="340">
        <v>2</v>
      </c>
      <c r="D149" s="367"/>
      <c r="E149" s="479"/>
      <c r="F149" s="367"/>
      <c r="G149" s="479"/>
      <c r="H149" s="367"/>
      <c r="I149" s="479"/>
      <c r="J149" s="367"/>
      <c r="K149" s="479"/>
      <c r="L149" s="367"/>
      <c r="M149" s="479"/>
      <c r="N149" s="570"/>
      <c r="O149" s="343">
        <f t="shared" si="26"/>
        <v>2</v>
      </c>
      <c r="P149" s="343">
        <f t="shared" si="25"/>
        <v>12</v>
      </c>
      <c r="Q149" s="7">
        <v>20</v>
      </c>
      <c r="R149" s="109"/>
      <c r="S149" s="112">
        <v>46357</v>
      </c>
      <c r="T149" s="322">
        <v>0</v>
      </c>
      <c r="U149" s="322"/>
      <c r="V149" s="112">
        <v>45536</v>
      </c>
      <c r="W149" s="28">
        <v>1</v>
      </c>
      <c r="X149" s="92">
        <v>2</v>
      </c>
      <c r="Y149" s="92">
        <v>3</v>
      </c>
      <c r="Z149" s="92">
        <v>1</v>
      </c>
      <c r="AA149" s="205">
        <f t="shared" si="27"/>
        <v>7</v>
      </c>
      <c r="AB149" s="206">
        <f t="shared" si="28"/>
        <v>1.75</v>
      </c>
      <c r="AC149" s="206">
        <f t="shared" si="29"/>
        <v>7</v>
      </c>
      <c r="AD149" s="206">
        <f t="shared" si="30"/>
        <v>14</v>
      </c>
    </row>
    <row r="150" spans="1:30" ht="15" customHeight="1" x14ac:dyDescent="0.25">
      <c r="A150" s="4">
        <f t="shared" si="31"/>
        <v>149</v>
      </c>
      <c r="B150" s="164" t="s">
        <v>388</v>
      </c>
      <c r="C150" s="474">
        <v>1</v>
      </c>
      <c r="D150" s="388"/>
      <c r="E150" s="507"/>
      <c r="F150" s="388"/>
      <c r="G150" s="507"/>
      <c r="H150" s="388"/>
      <c r="I150" s="507"/>
      <c r="J150" s="383"/>
      <c r="K150" s="508"/>
      <c r="L150" s="388"/>
      <c r="M150" s="507"/>
      <c r="N150" s="571"/>
      <c r="O150" s="343">
        <f t="shared" si="26"/>
        <v>1</v>
      </c>
      <c r="P150" s="343">
        <f t="shared" si="25"/>
        <v>7</v>
      </c>
      <c r="Q150" s="169">
        <v>70</v>
      </c>
      <c r="R150" s="176"/>
      <c r="S150" s="227">
        <v>46082</v>
      </c>
      <c r="T150" s="320">
        <v>3</v>
      </c>
      <c r="U150" s="320"/>
      <c r="V150" s="227">
        <v>45444</v>
      </c>
      <c r="W150" s="223">
        <v>1</v>
      </c>
      <c r="X150" s="223">
        <v>1</v>
      </c>
      <c r="Y150" s="223">
        <v>1</v>
      </c>
      <c r="Z150" s="223">
        <v>1</v>
      </c>
      <c r="AA150" s="205">
        <f t="shared" si="27"/>
        <v>4</v>
      </c>
      <c r="AB150" s="206">
        <f t="shared" si="28"/>
        <v>1</v>
      </c>
      <c r="AC150" s="206">
        <f t="shared" si="29"/>
        <v>4</v>
      </c>
      <c r="AD150" s="206">
        <f t="shared" si="30"/>
        <v>8</v>
      </c>
    </row>
    <row r="151" spans="1:30" x14ac:dyDescent="0.25">
      <c r="A151" s="4">
        <f t="shared" si="31"/>
        <v>150</v>
      </c>
      <c r="B151" s="314" t="s">
        <v>1067</v>
      </c>
      <c r="C151" s="340">
        <v>10</v>
      </c>
      <c r="D151" s="359"/>
      <c r="E151" s="478"/>
      <c r="F151" s="359"/>
      <c r="G151" s="478"/>
      <c r="H151" s="359"/>
      <c r="I151" s="478"/>
      <c r="J151" s="359"/>
      <c r="K151" s="478">
        <v>2</v>
      </c>
      <c r="L151" s="359"/>
      <c r="M151" s="478"/>
      <c r="N151" s="561"/>
      <c r="O151" s="343">
        <f t="shared" si="26"/>
        <v>8</v>
      </c>
      <c r="P151" s="343">
        <f t="shared" si="25"/>
        <v>16</v>
      </c>
      <c r="Q151" s="7">
        <v>15</v>
      </c>
      <c r="R151" s="63"/>
      <c r="S151" s="77">
        <v>45931</v>
      </c>
      <c r="T151" s="16">
        <v>0</v>
      </c>
      <c r="V151" s="77">
        <v>45566</v>
      </c>
      <c r="W151" s="14">
        <v>2</v>
      </c>
      <c r="X151" s="14">
        <v>6</v>
      </c>
      <c r="Y151" s="315">
        <v>2</v>
      </c>
      <c r="Z151" s="315">
        <v>2</v>
      </c>
      <c r="AA151" s="205">
        <f t="shared" si="27"/>
        <v>12</v>
      </c>
      <c r="AB151" s="206">
        <f t="shared" si="28"/>
        <v>3</v>
      </c>
      <c r="AC151" s="206">
        <f t="shared" si="29"/>
        <v>12</v>
      </c>
      <c r="AD151" s="206">
        <f t="shared" si="30"/>
        <v>24</v>
      </c>
    </row>
    <row r="152" spans="1:30" x14ac:dyDescent="0.25">
      <c r="A152" s="4">
        <f t="shared" si="31"/>
        <v>151</v>
      </c>
      <c r="B152" s="314" t="s">
        <v>1041</v>
      </c>
      <c r="C152" s="340">
        <v>21</v>
      </c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343">
        <f t="shared" si="26"/>
        <v>21</v>
      </c>
      <c r="P152" s="343">
        <f t="shared" si="25"/>
        <v>33</v>
      </c>
      <c r="Q152" s="7">
        <v>5</v>
      </c>
      <c r="R152" s="63"/>
      <c r="S152" s="77">
        <v>47270</v>
      </c>
      <c r="T152" s="16">
        <v>0</v>
      </c>
      <c r="V152" s="77">
        <v>45658</v>
      </c>
      <c r="W152" s="14">
        <v>1</v>
      </c>
      <c r="X152" s="14">
        <v>14</v>
      </c>
      <c r="Y152" s="315">
        <v>4</v>
      </c>
      <c r="Z152" s="315">
        <v>8</v>
      </c>
      <c r="AA152" s="205">
        <f t="shared" si="27"/>
        <v>27</v>
      </c>
      <c r="AB152" s="206">
        <f t="shared" si="28"/>
        <v>6.75</v>
      </c>
      <c r="AC152" s="206">
        <f t="shared" si="29"/>
        <v>27</v>
      </c>
      <c r="AD152" s="206">
        <f t="shared" si="30"/>
        <v>54</v>
      </c>
    </row>
    <row r="153" spans="1:30" x14ac:dyDescent="0.25">
      <c r="A153" s="4">
        <f t="shared" si="31"/>
        <v>152</v>
      </c>
      <c r="B153" s="314" t="s">
        <v>1042</v>
      </c>
      <c r="C153" s="415">
        <v>21</v>
      </c>
      <c r="D153" s="359"/>
      <c r="E153" s="478"/>
      <c r="F153" s="359"/>
      <c r="G153" s="478"/>
      <c r="H153" s="359"/>
      <c r="I153" s="478"/>
      <c r="J153" s="359"/>
      <c r="K153" s="478"/>
      <c r="L153" s="359"/>
      <c r="M153" s="478">
        <v>1</v>
      </c>
      <c r="N153" s="561"/>
      <c r="O153" s="343">
        <f t="shared" si="26"/>
        <v>20</v>
      </c>
      <c r="P153" s="343">
        <f t="shared" si="25"/>
        <v>2</v>
      </c>
      <c r="Q153" s="7">
        <v>5</v>
      </c>
      <c r="R153" s="63" t="s">
        <v>883</v>
      </c>
      <c r="S153" s="118">
        <v>46844</v>
      </c>
      <c r="T153" s="316">
        <v>1</v>
      </c>
      <c r="U153" s="316"/>
      <c r="V153" s="199">
        <v>45689</v>
      </c>
      <c r="W153" s="309">
        <v>4</v>
      </c>
      <c r="X153" s="107">
        <v>5</v>
      </c>
      <c r="Y153" s="309">
        <v>1</v>
      </c>
      <c r="Z153" s="309">
        <v>1</v>
      </c>
      <c r="AA153" s="205">
        <f t="shared" si="27"/>
        <v>11</v>
      </c>
      <c r="AB153" s="206">
        <f t="shared" si="28"/>
        <v>2.75</v>
      </c>
      <c r="AC153" s="206">
        <f t="shared" si="29"/>
        <v>11</v>
      </c>
      <c r="AD153" s="206">
        <f t="shared" si="30"/>
        <v>22</v>
      </c>
    </row>
    <row r="154" spans="1:30" x14ac:dyDescent="0.25">
      <c r="A154" s="4">
        <f t="shared" si="31"/>
        <v>153</v>
      </c>
      <c r="B154" s="314" t="s">
        <v>778</v>
      </c>
      <c r="C154" s="340">
        <v>12</v>
      </c>
      <c r="D154" s="359"/>
      <c r="E154" s="478"/>
      <c r="F154" s="359"/>
      <c r="G154" s="478"/>
      <c r="H154" s="359"/>
      <c r="I154" s="478"/>
      <c r="J154" s="359"/>
      <c r="K154" s="478"/>
      <c r="L154" s="359"/>
      <c r="M154" s="478">
        <v>2</v>
      </c>
      <c r="N154" s="561"/>
      <c r="O154" s="343">
        <f t="shared" si="26"/>
        <v>10</v>
      </c>
      <c r="P154" s="343">
        <f t="shared" si="25"/>
        <v>20</v>
      </c>
      <c r="Q154" s="7">
        <v>5.5</v>
      </c>
      <c r="R154" s="63"/>
      <c r="S154" s="407">
        <v>46235</v>
      </c>
      <c r="T154" s="329">
        <v>1</v>
      </c>
      <c r="U154" s="329"/>
      <c r="V154" s="77">
        <v>45474</v>
      </c>
      <c r="W154" s="14">
        <v>11</v>
      </c>
      <c r="X154" s="14">
        <v>1</v>
      </c>
      <c r="Y154" s="315">
        <v>1</v>
      </c>
      <c r="Z154" s="315">
        <v>2</v>
      </c>
      <c r="AA154" s="205">
        <f t="shared" si="27"/>
        <v>15</v>
      </c>
      <c r="AB154" s="206">
        <f t="shared" si="28"/>
        <v>3.75</v>
      </c>
      <c r="AC154" s="206">
        <f t="shared" si="29"/>
        <v>15</v>
      </c>
      <c r="AD154" s="206">
        <f t="shared" si="30"/>
        <v>30</v>
      </c>
    </row>
    <row r="155" spans="1:30" ht="15.75" customHeight="1" x14ac:dyDescent="0.25">
      <c r="A155" s="4">
        <f t="shared" si="31"/>
        <v>154</v>
      </c>
      <c r="B155" s="4" t="s">
        <v>856</v>
      </c>
      <c r="C155" s="340">
        <v>2</v>
      </c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340">
        <f t="shared" si="26"/>
        <v>2</v>
      </c>
      <c r="P155" s="343">
        <f t="shared" si="25"/>
        <v>4</v>
      </c>
      <c r="Q155" s="10">
        <v>25</v>
      </c>
      <c r="R155" s="63"/>
      <c r="S155" s="81">
        <v>46722</v>
      </c>
      <c r="T155" s="14">
        <v>1</v>
      </c>
      <c r="U155" s="14">
        <v>3</v>
      </c>
      <c r="V155" s="81">
        <v>45717</v>
      </c>
      <c r="W155" s="14">
        <v>1</v>
      </c>
      <c r="Y155" s="14">
        <v>1</v>
      </c>
      <c r="Z155" s="28">
        <v>1</v>
      </c>
      <c r="AA155" s="184">
        <f t="shared" si="27"/>
        <v>3</v>
      </c>
      <c r="AB155" s="185">
        <f t="shared" si="28"/>
        <v>0.75</v>
      </c>
      <c r="AC155" s="185">
        <f t="shared" si="29"/>
        <v>3</v>
      </c>
      <c r="AD155" s="185">
        <f t="shared" si="30"/>
        <v>6</v>
      </c>
    </row>
    <row r="156" spans="1:30" x14ac:dyDescent="0.25">
      <c r="A156" s="4">
        <f t="shared" si="31"/>
        <v>155</v>
      </c>
      <c r="B156" s="314" t="s">
        <v>793</v>
      </c>
      <c r="C156" s="415">
        <v>1</v>
      </c>
      <c r="D156" s="359"/>
      <c r="E156" s="478"/>
      <c r="F156" s="359"/>
      <c r="G156" s="478"/>
      <c r="H156" s="359"/>
      <c r="I156" s="478"/>
      <c r="J156" s="359"/>
      <c r="K156" s="478"/>
      <c r="L156" s="359"/>
      <c r="M156" s="478"/>
      <c r="N156" s="561"/>
      <c r="O156" s="343">
        <f t="shared" si="26"/>
        <v>1</v>
      </c>
      <c r="P156" s="343">
        <f t="shared" si="25"/>
        <v>5</v>
      </c>
      <c r="Q156" s="7">
        <v>80</v>
      </c>
      <c r="R156" s="63"/>
      <c r="S156" s="77">
        <v>45962</v>
      </c>
      <c r="T156" s="16">
        <v>3</v>
      </c>
      <c r="V156" s="77">
        <v>45323</v>
      </c>
      <c r="W156" s="14">
        <v>1</v>
      </c>
      <c r="X156" s="14">
        <v>1</v>
      </c>
      <c r="Y156" s="315">
        <v>1</v>
      </c>
      <c r="AA156" s="205">
        <f t="shared" si="27"/>
        <v>3</v>
      </c>
      <c r="AB156" s="206">
        <f t="shared" si="28"/>
        <v>0.75</v>
      </c>
      <c r="AC156" s="206">
        <f t="shared" si="29"/>
        <v>3</v>
      </c>
      <c r="AD156" s="206">
        <f t="shared" si="30"/>
        <v>6</v>
      </c>
    </row>
    <row r="157" spans="1:30" x14ac:dyDescent="0.25">
      <c r="A157" s="4">
        <f t="shared" si="31"/>
        <v>156</v>
      </c>
      <c r="B157" s="314" t="s">
        <v>587</v>
      </c>
      <c r="C157" s="340">
        <v>22</v>
      </c>
      <c r="D157" s="359"/>
      <c r="E157" s="478"/>
      <c r="F157" s="360"/>
      <c r="G157" s="480"/>
      <c r="H157" s="360"/>
      <c r="I157" s="480"/>
      <c r="J157" s="360"/>
      <c r="K157" s="480"/>
      <c r="L157" s="360"/>
      <c r="M157" s="480"/>
      <c r="N157" s="562"/>
      <c r="O157" s="343">
        <f t="shared" si="26"/>
        <v>22</v>
      </c>
      <c r="P157" s="343">
        <f t="shared" si="25"/>
        <v>14</v>
      </c>
      <c r="Q157" s="10">
        <v>1</v>
      </c>
      <c r="R157" s="63" t="s">
        <v>578</v>
      </c>
      <c r="S157" s="118"/>
      <c r="T157" s="28">
        <v>3</v>
      </c>
      <c r="U157" s="28"/>
      <c r="V157" s="81">
        <v>45200</v>
      </c>
      <c r="W157" s="14">
        <v>11</v>
      </c>
      <c r="X157" s="14">
        <v>1</v>
      </c>
      <c r="Y157" s="28">
        <v>3</v>
      </c>
      <c r="Z157" s="28">
        <v>3</v>
      </c>
      <c r="AA157" s="205">
        <f t="shared" si="27"/>
        <v>18</v>
      </c>
      <c r="AB157" s="206">
        <f t="shared" si="28"/>
        <v>4.5</v>
      </c>
      <c r="AC157" s="206">
        <f t="shared" si="29"/>
        <v>18</v>
      </c>
      <c r="AD157" s="206">
        <f t="shared" si="30"/>
        <v>36</v>
      </c>
    </row>
    <row r="158" spans="1:30" ht="15.75" customHeight="1" x14ac:dyDescent="0.25">
      <c r="A158" s="4">
        <f t="shared" si="31"/>
        <v>157</v>
      </c>
      <c r="B158" s="314" t="s">
        <v>1043</v>
      </c>
      <c r="C158" s="102">
        <v>1</v>
      </c>
      <c r="D158" s="382"/>
      <c r="E158" s="505"/>
      <c r="F158" s="385"/>
      <c r="G158" s="509"/>
      <c r="H158" s="385"/>
      <c r="I158" s="509"/>
      <c r="J158" s="387"/>
      <c r="K158" s="511"/>
      <c r="L158" s="385"/>
      <c r="M158" s="509"/>
      <c r="N158" s="569"/>
      <c r="O158" s="343">
        <f t="shared" si="26"/>
        <v>1</v>
      </c>
      <c r="P158" s="343">
        <f t="shared" si="25"/>
        <v>7</v>
      </c>
      <c r="Q158" s="169">
        <v>57</v>
      </c>
      <c r="R158" s="241"/>
      <c r="S158" s="235">
        <v>47635</v>
      </c>
      <c r="T158" s="240">
        <v>1</v>
      </c>
      <c r="U158" s="240"/>
      <c r="V158" s="235">
        <v>45323</v>
      </c>
      <c r="W158" s="234">
        <v>1</v>
      </c>
      <c r="X158" s="234">
        <v>1</v>
      </c>
      <c r="Y158" s="234">
        <v>1</v>
      </c>
      <c r="Z158" s="234">
        <v>1</v>
      </c>
      <c r="AA158" s="205">
        <f t="shared" si="27"/>
        <v>4</v>
      </c>
      <c r="AB158" s="206">
        <f t="shared" si="28"/>
        <v>1</v>
      </c>
      <c r="AC158" s="206">
        <f t="shared" si="29"/>
        <v>4</v>
      </c>
      <c r="AD158" s="206">
        <f t="shared" si="30"/>
        <v>8</v>
      </c>
    </row>
    <row r="159" spans="1:30" ht="15" customHeight="1" x14ac:dyDescent="0.25">
      <c r="A159" s="4">
        <f t="shared" si="31"/>
        <v>158</v>
      </c>
      <c r="B159" s="164" t="s">
        <v>1044</v>
      </c>
      <c r="C159" s="102">
        <v>1</v>
      </c>
      <c r="D159" s="383"/>
      <c r="E159" s="508"/>
      <c r="F159" s="383"/>
      <c r="G159" s="508"/>
      <c r="H159" s="383"/>
      <c r="I159" s="508"/>
      <c r="J159" s="383"/>
      <c r="K159" s="508"/>
      <c r="L159" s="383"/>
      <c r="M159" s="509"/>
      <c r="N159" s="569"/>
      <c r="O159" s="343">
        <f t="shared" si="26"/>
        <v>1</v>
      </c>
      <c r="P159" s="343">
        <f t="shared" si="25"/>
        <v>7</v>
      </c>
      <c r="Q159" s="169">
        <v>57</v>
      </c>
      <c r="R159" s="241"/>
      <c r="S159" s="227">
        <v>11658</v>
      </c>
      <c r="T159" s="320">
        <v>2</v>
      </c>
      <c r="U159" s="320">
        <v>2</v>
      </c>
      <c r="V159" s="227">
        <v>45689</v>
      </c>
      <c r="W159" s="234">
        <v>1</v>
      </c>
      <c r="X159" s="234">
        <v>1</v>
      </c>
      <c r="Y159" s="234">
        <v>1</v>
      </c>
      <c r="Z159" s="234">
        <v>1</v>
      </c>
      <c r="AA159" s="205">
        <f t="shared" si="27"/>
        <v>4</v>
      </c>
      <c r="AB159" s="206">
        <f t="shared" si="28"/>
        <v>1</v>
      </c>
      <c r="AC159" s="206">
        <f t="shared" si="29"/>
        <v>4</v>
      </c>
      <c r="AD159" s="206">
        <f t="shared" si="30"/>
        <v>8</v>
      </c>
    </row>
    <row r="160" spans="1:30" ht="15" customHeight="1" x14ac:dyDescent="0.25">
      <c r="A160" s="4">
        <f t="shared" si="31"/>
        <v>159</v>
      </c>
      <c r="B160" s="164" t="s">
        <v>59</v>
      </c>
      <c r="C160" s="475">
        <v>1</v>
      </c>
      <c r="D160" s="382"/>
      <c r="E160" s="505"/>
      <c r="F160" s="385"/>
      <c r="G160" s="509"/>
      <c r="H160" s="385"/>
      <c r="I160" s="509"/>
      <c r="J160" s="387"/>
      <c r="K160" s="511"/>
      <c r="L160" s="385"/>
      <c r="M160" s="509"/>
      <c r="N160" s="569"/>
      <c r="O160" s="343">
        <f t="shared" si="26"/>
        <v>1</v>
      </c>
      <c r="P160" s="343">
        <f t="shared" si="25"/>
        <v>9</v>
      </c>
      <c r="Q160" s="169">
        <v>57</v>
      </c>
      <c r="R160" s="241"/>
      <c r="S160" s="233">
        <v>11658</v>
      </c>
      <c r="T160" s="231">
        <v>3</v>
      </c>
      <c r="U160" s="231"/>
      <c r="V160" s="242">
        <v>45658</v>
      </c>
      <c r="W160" s="243">
        <v>1</v>
      </c>
      <c r="X160" s="243">
        <v>1</v>
      </c>
      <c r="Y160" s="234">
        <v>2</v>
      </c>
      <c r="Z160" s="234">
        <v>1</v>
      </c>
      <c r="AA160" s="205">
        <f t="shared" si="27"/>
        <v>5</v>
      </c>
      <c r="AB160" s="206">
        <f t="shared" si="28"/>
        <v>1.25</v>
      </c>
      <c r="AC160" s="206">
        <f t="shared" si="29"/>
        <v>5</v>
      </c>
      <c r="AD160" s="206">
        <f t="shared" si="30"/>
        <v>10</v>
      </c>
    </row>
    <row r="161" spans="1:30" ht="15" customHeight="1" x14ac:dyDescent="0.25">
      <c r="A161" s="4">
        <f t="shared" si="31"/>
        <v>160</v>
      </c>
      <c r="B161" s="164" t="s">
        <v>1059</v>
      </c>
      <c r="C161" s="475">
        <v>1</v>
      </c>
      <c r="D161" s="383"/>
      <c r="E161" s="508"/>
      <c r="F161" s="386"/>
      <c r="G161" s="513"/>
      <c r="H161" s="386"/>
      <c r="I161" s="513"/>
      <c r="J161" s="386"/>
      <c r="K161" s="513"/>
      <c r="L161" s="386"/>
      <c r="M161" s="509"/>
      <c r="N161" s="572"/>
      <c r="O161" s="343">
        <f t="shared" si="26"/>
        <v>1</v>
      </c>
      <c r="P161" s="343">
        <f t="shared" si="25"/>
        <v>7</v>
      </c>
      <c r="Q161" s="169">
        <v>57</v>
      </c>
      <c r="R161" s="241"/>
      <c r="S161" s="233">
        <v>47696</v>
      </c>
      <c r="T161" s="231">
        <v>2</v>
      </c>
      <c r="U161" s="231"/>
      <c r="V161" s="235">
        <v>45536</v>
      </c>
      <c r="W161" s="234">
        <v>1</v>
      </c>
      <c r="X161" s="234">
        <v>1</v>
      </c>
      <c r="Y161" s="234">
        <v>1</v>
      </c>
      <c r="Z161" s="234">
        <v>1</v>
      </c>
      <c r="AA161" s="205">
        <f t="shared" si="27"/>
        <v>4</v>
      </c>
      <c r="AB161" s="206">
        <f t="shared" si="28"/>
        <v>1</v>
      </c>
      <c r="AC161" s="206">
        <f t="shared" si="29"/>
        <v>4</v>
      </c>
      <c r="AD161" s="206">
        <f t="shared" si="30"/>
        <v>8</v>
      </c>
    </row>
    <row r="162" spans="1:30" ht="15.75" x14ac:dyDescent="0.25">
      <c r="A162" s="4">
        <f t="shared" si="31"/>
        <v>161</v>
      </c>
      <c r="B162" s="314" t="s">
        <v>922</v>
      </c>
      <c r="C162" s="340">
        <v>14</v>
      </c>
      <c r="D162" s="359"/>
      <c r="E162" s="478"/>
      <c r="F162" s="359"/>
      <c r="G162" s="478"/>
      <c r="H162" s="359"/>
      <c r="I162" s="478"/>
      <c r="J162" s="359"/>
      <c r="K162" s="478"/>
      <c r="L162" s="359"/>
      <c r="M162" s="509"/>
      <c r="N162" s="561"/>
      <c r="O162" s="343">
        <f t="shared" si="26"/>
        <v>14</v>
      </c>
      <c r="P162" s="343">
        <f t="shared" si="25"/>
        <v>-8</v>
      </c>
      <c r="Q162" s="7">
        <v>1.5</v>
      </c>
      <c r="R162" s="63"/>
      <c r="S162" s="77">
        <v>45962</v>
      </c>
      <c r="T162" s="16">
        <v>0</v>
      </c>
      <c r="V162" s="77">
        <v>45474</v>
      </c>
      <c r="Y162" s="315">
        <v>2</v>
      </c>
      <c r="Z162" s="315">
        <v>1</v>
      </c>
      <c r="AA162" s="205">
        <f t="shared" si="27"/>
        <v>3</v>
      </c>
      <c r="AB162" s="206">
        <f t="shared" si="28"/>
        <v>0.75</v>
      </c>
      <c r="AC162" s="206">
        <f t="shared" si="29"/>
        <v>3</v>
      </c>
      <c r="AD162" s="206">
        <f t="shared" si="30"/>
        <v>6</v>
      </c>
    </row>
    <row r="163" spans="1:30" x14ac:dyDescent="0.25">
      <c r="A163" s="4">
        <f t="shared" si="31"/>
        <v>162</v>
      </c>
      <c r="B163" s="314" t="s">
        <v>923</v>
      </c>
      <c r="C163" s="340">
        <v>11</v>
      </c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343">
        <f t="shared" si="26"/>
        <v>11</v>
      </c>
      <c r="P163" s="343">
        <f t="shared" si="25"/>
        <v>-1</v>
      </c>
      <c r="Q163" s="10">
        <v>1.5</v>
      </c>
      <c r="R163" s="63"/>
      <c r="S163" s="118">
        <v>46174</v>
      </c>
      <c r="T163" s="316">
        <v>0</v>
      </c>
      <c r="U163" s="316"/>
      <c r="V163" s="344">
        <v>45474</v>
      </c>
      <c r="W163" s="309">
        <v>2</v>
      </c>
      <c r="X163" s="309">
        <v>1</v>
      </c>
      <c r="Y163" s="309"/>
      <c r="Z163" s="309">
        <v>2</v>
      </c>
      <c r="AA163" s="205">
        <f t="shared" si="27"/>
        <v>5</v>
      </c>
      <c r="AB163" s="206">
        <f t="shared" si="28"/>
        <v>1.25</v>
      </c>
      <c r="AC163" s="206">
        <f t="shared" si="29"/>
        <v>5</v>
      </c>
      <c r="AD163" s="206">
        <f t="shared" si="30"/>
        <v>10</v>
      </c>
    </row>
    <row r="164" spans="1:30" x14ac:dyDescent="0.25">
      <c r="A164" s="4">
        <f t="shared" si="31"/>
        <v>163</v>
      </c>
      <c r="B164" s="314" t="s">
        <v>924</v>
      </c>
      <c r="C164" s="340">
        <v>16</v>
      </c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343">
        <f t="shared" si="26"/>
        <v>16</v>
      </c>
      <c r="P164" s="343">
        <f t="shared" si="25"/>
        <v>12</v>
      </c>
      <c r="Q164" s="7">
        <v>1.5</v>
      </c>
      <c r="R164" s="8"/>
      <c r="S164" s="129">
        <v>46174</v>
      </c>
      <c r="T164" s="316">
        <v>1</v>
      </c>
      <c r="U164" s="316">
        <v>1</v>
      </c>
      <c r="V164" s="199">
        <v>45717</v>
      </c>
      <c r="W164" s="309">
        <v>2</v>
      </c>
      <c r="X164" s="107">
        <v>2</v>
      </c>
      <c r="Y164" s="309">
        <v>8</v>
      </c>
      <c r="Z164" s="309">
        <v>2</v>
      </c>
      <c r="AA164" s="205">
        <f t="shared" si="27"/>
        <v>14</v>
      </c>
      <c r="AB164" s="206">
        <f t="shared" si="28"/>
        <v>3.5</v>
      </c>
      <c r="AC164" s="206">
        <f t="shared" si="29"/>
        <v>14</v>
      </c>
      <c r="AD164" s="206">
        <f t="shared" si="30"/>
        <v>28</v>
      </c>
    </row>
    <row r="165" spans="1:30" x14ac:dyDescent="0.25">
      <c r="A165" s="4">
        <f t="shared" si="31"/>
        <v>164</v>
      </c>
      <c r="B165" s="314" t="s">
        <v>1040</v>
      </c>
      <c r="C165" s="340">
        <v>14</v>
      </c>
      <c r="D165" s="359"/>
      <c r="E165" s="478"/>
      <c r="F165" s="360"/>
      <c r="G165" s="480"/>
      <c r="H165" s="360"/>
      <c r="I165" s="480"/>
      <c r="J165" s="360"/>
      <c r="K165" s="480"/>
      <c r="L165" s="360"/>
      <c r="M165" s="480"/>
      <c r="N165" s="562"/>
      <c r="O165" s="343">
        <f t="shared" ref="O165:O196" si="32">SUM(C165-D165-E165-F165-G165-H165-I165-J165-K165-L165-M165-N165)</f>
        <v>14</v>
      </c>
      <c r="P165" s="343">
        <f t="shared" si="25"/>
        <v>22</v>
      </c>
      <c r="Q165" s="10">
        <v>1.5</v>
      </c>
      <c r="R165" s="63" t="s">
        <v>578</v>
      </c>
      <c r="S165" s="118">
        <v>46054</v>
      </c>
      <c r="T165" s="28">
        <v>1</v>
      </c>
      <c r="U165" s="28"/>
      <c r="V165" s="81">
        <v>45413</v>
      </c>
      <c r="W165" s="14">
        <v>10</v>
      </c>
      <c r="X165" s="14">
        <v>4</v>
      </c>
      <c r="Y165" s="28">
        <v>2</v>
      </c>
      <c r="Z165" s="28">
        <v>2</v>
      </c>
      <c r="AA165" s="205">
        <f t="shared" ref="AA165:AA196" si="33">W165+X165+Y165+Z165</f>
        <v>18</v>
      </c>
      <c r="AB165" s="206">
        <f t="shared" ref="AB165:AB196" si="34">AA165/4</f>
        <v>4.5</v>
      </c>
      <c r="AC165" s="206">
        <f t="shared" ref="AC165:AC196" si="35">AB165*4</f>
        <v>18</v>
      </c>
      <c r="AD165" s="206">
        <f t="shared" ref="AD165:AD196" si="36">AC165*2</f>
        <v>36</v>
      </c>
    </row>
    <row r="166" spans="1:30" x14ac:dyDescent="0.25">
      <c r="A166" s="4">
        <f t="shared" si="31"/>
        <v>165</v>
      </c>
      <c r="B166" s="314" t="s">
        <v>730</v>
      </c>
      <c r="C166" s="340">
        <v>16</v>
      </c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343">
        <f t="shared" si="32"/>
        <v>16</v>
      </c>
      <c r="P166" s="343">
        <f t="shared" si="25"/>
        <v>16</v>
      </c>
      <c r="Q166" s="7">
        <v>2</v>
      </c>
      <c r="R166" s="63"/>
      <c r="S166" s="77">
        <v>46266</v>
      </c>
      <c r="T166" s="16">
        <v>0</v>
      </c>
      <c r="V166" s="77">
        <v>45566</v>
      </c>
      <c r="W166" s="14">
        <v>5</v>
      </c>
      <c r="X166" s="14">
        <v>5</v>
      </c>
      <c r="Y166" s="315">
        <v>5</v>
      </c>
      <c r="Z166" s="315">
        <v>1</v>
      </c>
      <c r="AA166" s="205">
        <f t="shared" si="33"/>
        <v>16</v>
      </c>
      <c r="AB166" s="206">
        <f t="shared" si="34"/>
        <v>4</v>
      </c>
      <c r="AC166" s="206">
        <f t="shared" si="35"/>
        <v>16</v>
      </c>
      <c r="AD166" s="206">
        <f t="shared" si="36"/>
        <v>32</v>
      </c>
    </row>
    <row r="167" spans="1:30" ht="15" customHeight="1" x14ac:dyDescent="0.25">
      <c r="A167" s="4">
        <f t="shared" si="31"/>
        <v>166</v>
      </c>
      <c r="B167" s="314" t="s">
        <v>585</v>
      </c>
      <c r="C167" s="340">
        <v>13</v>
      </c>
      <c r="D167" s="367"/>
      <c r="E167" s="479"/>
      <c r="F167" s="364"/>
      <c r="G167" s="486"/>
      <c r="H167" s="364"/>
      <c r="I167" s="486"/>
      <c r="J167" s="381"/>
      <c r="K167" s="487"/>
      <c r="L167" s="364"/>
      <c r="M167" s="486"/>
      <c r="N167" s="568"/>
      <c r="O167" s="343">
        <f t="shared" si="32"/>
        <v>13</v>
      </c>
      <c r="P167" s="343">
        <f t="shared" si="25"/>
        <v>61</v>
      </c>
      <c r="Q167" s="7">
        <v>1.5</v>
      </c>
      <c r="R167" s="110" t="s">
        <v>578</v>
      </c>
      <c r="S167" s="110">
        <v>46113</v>
      </c>
      <c r="T167" s="53">
        <v>1</v>
      </c>
      <c r="U167" s="53"/>
      <c r="V167" s="110">
        <v>45566</v>
      </c>
      <c r="W167" s="189">
        <v>10</v>
      </c>
      <c r="X167" s="189">
        <v>5</v>
      </c>
      <c r="Y167" s="189">
        <v>20</v>
      </c>
      <c r="Z167" s="189">
        <v>2</v>
      </c>
      <c r="AA167" s="205">
        <f t="shared" si="33"/>
        <v>37</v>
      </c>
      <c r="AB167" s="206">
        <f t="shared" si="34"/>
        <v>9.25</v>
      </c>
      <c r="AC167" s="206">
        <f t="shared" si="35"/>
        <v>37</v>
      </c>
      <c r="AD167" s="206">
        <f t="shared" si="36"/>
        <v>74</v>
      </c>
    </row>
    <row r="168" spans="1:30" ht="15" customHeight="1" x14ac:dyDescent="0.25">
      <c r="A168" s="4">
        <f t="shared" si="31"/>
        <v>167</v>
      </c>
      <c r="B168" s="314" t="s">
        <v>728</v>
      </c>
      <c r="C168" s="340">
        <v>23</v>
      </c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343">
        <f t="shared" si="32"/>
        <v>23</v>
      </c>
      <c r="P168" s="343">
        <f t="shared" si="25"/>
        <v>97</v>
      </c>
      <c r="Q168" s="7">
        <v>1.1499999999999999</v>
      </c>
      <c r="R168" s="63"/>
      <c r="S168" s="77">
        <v>46235</v>
      </c>
      <c r="T168" s="16">
        <v>2</v>
      </c>
      <c r="U168" s="16">
        <v>2</v>
      </c>
      <c r="V168" s="77">
        <v>45717</v>
      </c>
      <c r="W168" s="14">
        <v>11</v>
      </c>
      <c r="X168" s="14">
        <v>4</v>
      </c>
      <c r="Y168" s="315">
        <v>2</v>
      </c>
      <c r="Z168" s="315">
        <v>43</v>
      </c>
      <c r="AA168" s="205">
        <f t="shared" si="33"/>
        <v>60</v>
      </c>
      <c r="AB168" s="206">
        <f t="shared" si="34"/>
        <v>15</v>
      </c>
      <c r="AC168" s="206">
        <f t="shared" si="35"/>
        <v>60</v>
      </c>
      <c r="AD168" s="206">
        <f t="shared" si="36"/>
        <v>120</v>
      </c>
    </row>
    <row r="169" spans="1:30" ht="15" customHeight="1" x14ac:dyDescent="0.25">
      <c r="A169" s="4">
        <f t="shared" si="31"/>
        <v>168</v>
      </c>
      <c r="B169" s="314" t="s">
        <v>729</v>
      </c>
      <c r="C169" s="340">
        <v>11</v>
      </c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343">
        <f t="shared" si="32"/>
        <v>11</v>
      </c>
      <c r="P169" s="343">
        <f t="shared" si="25"/>
        <v>7</v>
      </c>
      <c r="Q169" s="7">
        <v>1.5</v>
      </c>
      <c r="R169" s="63"/>
      <c r="S169" s="83">
        <v>46054</v>
      </c>
      <c r="T169" s="16">
        <v>2</v>
      </c>
      <c r="V169" s="77">
        <v>45536</v>
      </c>
      <c r="W169" s="14">
        <v>5</v>
      </c>
      <c r="X169" s="14">
        <v>2</v>
      </c>
      <c r="Y169" s="315">
        <v>1</v>
      </c>
      <c r="Z169" s="315">
        <v>1</v>
      </c>
      <c r="AA169" s="205">
        <f t="shared" si="33"/>
        <v>9</v>
      </c>
      <c r="AB169" s="206">
        <f t="shared" si="34"/>
        <v>2.25</v>
      </c>
      <c r="AC169" s="206">
        <f t="shared" si="35"/>
        <v>9</v>
      </c>
      <c r="AD169" s="206">
        <f t="shared" si="36"/>
        <v>18</v>
      </c>
    </row>
    <row r="170" spans="1:30" x14ac:dyDescent="0.25">
      <c r="A170" s="4">
        <f t="shared" si="31"/>
        <v>169</v>
      </c>
      <c r="B170" s="314" t="s">
        <v>1196</v>
      </c>
      <c r="C170" s="340">
        <v>20</v>
      </c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343">
        <f t="shared" si="32"/>
        <v>20</v>
      </c>
      <c r="P170" s="343">
        <f t="shared" si="25"/>
        <v>18</v>
      </c>
      <c r="Q170" s="7">
        <v>1</v>
      </c>
      <c r="R170" s="207"/>
      <c r="S170" s="118">
        <v>46113</v>
      </c>
      <c r="T170" s="316">
        <v>0</v>
      </c>
      <c r="U170" s="316"/>
      <c r="V170" s="344">
        <v>45658</v>
      </c>
      <c r="W170" s="309"/>
      <c r="X170" s="309">
        <v>2</v>
      </c>
      <c r="Y170" s="309"/>
      <c r="Z170" s="309">
        <v>17</v>
      </c>
      <c r="AA170" s="205">
        <f t="shared" si="33"/>
        <v>19</v>
      </c>
      <c r="AB170" s="206">
        <f t="shared" si="34"/>
        <v>4.75</v>
      </c>
      <c r="AC170" s="206">
        <f t="shared" si="35"/>
        <v>19</v>
      </c>
      <c r="AD170" s="206">
        <f t="shared" si="36"/>
        <v>38</v>
      </c>
    </row>
    <row r="171" spans="1:30" ht="15" customHeight="1" x14ac:dyDescent="0.25">
      <c r="A171" s="4">
        <f t="shared" si="31"/>
        <v>170</v>
      </c>
      <c r="B171" s="314" t="s">
        <v>925</v>
      </c>
      <c r="C171" s="340">
        <v>17</v>
      </c>
      <c r="D171" s="367"/>
      <c r="E171" s="479"/>
      <c r="F171" s="364"/>
      <c r="G171" s="486"/>
      <c r="H171" s="364"/>
      <c r="I171" s="486"/>
      <c r="J171" s="359"/>
      <c r="K171" s="486"/>
      <c r="L171" s="359"/>
      <c r="M171" s="486"/>
      <c r="N171" s="568"/>
      <c r="O171" s="343">
        <f t="shared" si="32"/>
        <v>17</v>
      </c>
      <c r="P171" s="343">
        <f t="shared" si="25"/>
        <v>-11</v>
      </c>
      <c r="Q171" s="10">
        <v>1.5</v>
      </c>
      <c r="R171" s="109"/>
      <c r="S171" s="112">
        <v>46082</v>
      </c>
      <c r="T171" s="322">
        <v>0</v>
      </c>
      <c r="U171" s="316"/>
      <c r="V171" s="197">
        <v>45474</v>
      </c>
      <c r="W171" s="189">
        <v>3</v>
      </c>
      <c r="X171" s="189"/>
      <c r="Y171" s="189"/>
      <c r="Z171" s="189"/>
      <c r="AA171" s="205">
        <f t="shared" si="33"/>
        <v>3</v>
      </c>
      <c r="AB171" s="206">
        <f t="shared" si="34"/>
        <v>0.75</v>
      </c>
      <c r="AC171" s="206">
        <f t="shared" si="35"/>
        <v>3</v>
      </c>
      <c r="AD171" s="206">
        <f t="shared" si="36"/>
        <v>6</v>
      </c>
    </row>
    <row r="172" spans="1:30" ht="15" customHeight="1" x14ac:dyDescent="0.25">
      <c r="A172" s="4">
        <f t="shared" si="31"/>
        <v>171</v>
      </c>
      <c r="B172" s="314" t="s">
        <v>1197</v>
      </c>
      <c r="C172" s="339">
        <v>7</v>
      </c>
      <c r="D172" s="359"/>
      <c r="E172" s="478"/>
      <c r="F172" s="360"/>
      <c r="G172" s="480"/>
      <c r="H172" s="360"/>
      <c r="I172" s="480"/>
      <c r="J172" s="360"/>
      <c r="K172" s="480"/>
      <c r="L172" s="360"/>
      <c r="M172" s="480"/>
      <c r="N172" s="562"/>
      <c r="O172" s="343">
        <f t="shared" si="32"/>
        <v>7</v>
      </c>
      <c r="P172" s="343">
        <f t="shared" si="25"/>
        <v>9</v>
      </c>
      <c r="Q172" s="10">
        <v>1.5</v>
      </c>
      <c r="R172" s="63" t="s">
        <v>578</v>
      </c>
      <c r="S172" s="118">
        <v>46266</v>
      </c>
      <c r="T172" s="28">
        <v>1</v>
      </c>
      <c r="U172" s="28"/>
      <c r="V172" s="81">
        <v>45658</v>
      </c>
      <c r="W172" s="14">
        <v>2</v>
      </c>
      <c r="X172" s="14">
        <v>1</v>
      </c>
      <c r="Y172" s="28">
        <v>3</v>
      </c>
      <c r="Z172" s="28">
        <v>2</v>
      </c>
      <c r="AA172" s="205">
        <f t="shared" si="33"/>
        <v>8</v>
      </c>
      <c r="AB172" s="206">
        <f t="shared" si="34"/>
        <v>2</v>
      </c>
      <c r="AC172" s="206">
        <f t="shared" si="35"/>
        <v>8</v>
      </c>
      <c r="AD172" s="206">
        <f t="shared" si="36"/>
        <v>16</v>
      </c>
    </row>
    <row r="173" spans="1:30" x14ac:dyDescent="0.25">
      <c r="A173" s="4">
        <f t="shared" si="31"/>
        <v>172</v>
      </c>
      <c r="B173" s="314" t="s">
        <v>926</v>
      </c>
      <c r="C173" s="340">
        <v>9</v>
      </c>
      <c r="D173" s="359"/>
      <c r="E173" s="478"/>
      <c r="F173" s="359"/>
      <c r="G173" s="478"/>
      <c r="H173" s="359"/>
      <c r="I173" s="478"/>
      <c r="J173" s="359"/>
      <c r="K173" s="478"/>
      <c r="L173" s="359"/>
      <c r="M173" s="478"/>
      <c r="N173" s="561"/>
      <c r="O173" s="343">
        <f t="shared" si="32"/>
        <v>9</v>
      </c>
      <c r="P173" s="343">
        <f t="shared" si="25"/>
        <v>1</v>
      </c>
      <c r="Q173" s="7">
        <v>1.5</v>
      </c>
      <c r="R173" s="63"/>
      <c r="S173" s="77">
        <v>46023</v>
      </c>
      <c r="T173" s="16">
        <v>1</v>
      </c>
      <c r="V173" s="77">
        <v>45627</v>
      </c>
      <c r="X173" s="14">
        <v>1</v>
      </c>
      <c r="Y173" s="315">
        <v>2</v>
      </c>
      <c r="Z173" s="315">
        <v>2</v>
      </c>
      <c r="AA173" s="205">
        <f t="shared" si="33"/>
        <v>5</v>
      </c>
      <c r="AB173" s="206">
        <f t="shared" si="34"/>
        <v>1.25</v>
      </c>
      <c r="AC173" s="206">
        <f t="shared" si="35"/>
        <v>5</v>
      </c>
      <c r="AD173" s="206">
        <f t="shared" si="36"/>
        <v>10</v>
      </c>
    </row>
    <row r="174" spans="1:30" x14ac:dyDescent="0.25">
      <c r="A174" s="4">
        <f t="shared" si="31"/>
        <v>173</v>
      </c>
      <c r="B174" s="651" t="s">
        <v>1045</v>
      </c>
      <c r="C174" s="653">
        <v>1</v>
      </c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343">
        <f t="shared" si="32"/>
        <v>1</v>
      </c>
      <c r="P174" s="343">
        <f t="shared" si="25"/>
        <v>1</v>
      </c>
      <c r="Q174" s="7">
        <v>50</v>
      </c>
      <c r="R174" s="63"/>
      <c r="S174" s="654">
        <v>45839</v>
      </c>
      <c r="T174" s="16">
        <v>0</v>
      </c>
      <c r="V174" s="77">
        <v>45017</v>
      </c>
      <c r="X174" s="14">
        <v>1</v>
      </c>
      <c r="AA174" s="205">
        <f t="shared" si="33"/>
        <v>1</v>
      </c>
      <c r="AB174" s="206">
        <f t="shared" si="34"/>
        <v>0.25</v>
      </c>
      <c r="AC174" s="206">
        <f t="shared" si="35"/>
        <v>1</v>
      </c>
      <c r="AD174" s="206">
        <f t="shared" si="36"/>
        <v>2</v>
      </c>
    </row>
    <row r="175" spans="1:30" ht="15" customHeight="1" x14ac:dyDescent="0.25">
      <c r="A175" s="4">
        <f t="shared" si="31"/>
        <v>174</v>
      </c>
      <c r="B175" s="314" t="s">
        <v>762</v>
      </c>
      <c r="C175" s="340">
        <v>2</v>
      </c>
      <c r="D175" s="359"/>
      <c r="E175" s="478"/>
      <c r="F175" s="359"/>
      <c r="G175" s="478"/>
      <c r="H175" s="359"/>
      <c r="I175" s="478"/>
      <c r="J175" s="359"/>
      <c r="K175" s="478"/>
      <c r="L175" s="359"/>
      <c r="M175" s="478">
        <v>1</v>
      </c>
      <c r="N175" s="561"/>
      <c r="O175" s="343">
        <f t="shared" si="32"/>
        <v>1</v>
      </c>
      <c r="P175" s="343">
        <f t="shared" si="25"/>
        <v>9</v>
      </c>
      <c r="Q175" s="7">
        <v>33</v>
      </c>
      <c r="R175" s="63" t="s">
        <v>807</v>
      </c>
      <c r="S175" s="81">
        <v>46447</v>
      </c>
      <c r="T175" s="14">
        <v>2</v>
      </c>
      <c r="U175" s="14">
        <v>3</v>
      </c>
      <c r="V175" s="81">
        <v>45717</v>
      </c>
      <c r="W175" s="107">
        <v>1</v>
      </c>
      <c r="X175" s="107">
        <v>2</v>
      </c>
      <c r="Y175" s="107">
        <v>1</v>
      </c>
      <c r="Z175" s="309">
        <v>1</v>
      </c>
      <c r="AA175" s="205">
        <f t="shared" si="33"/>
        <v>5</v>
      </c>
      <c r="AB175" s="206">
        <f t="shared" si="34"/>
        <v>1.25</v>
      </c>
      <c r="AC175" s="206">
        <f t="shared" si="35"/>
        <v>5</v>
      </c>
      <c r="AD175" s="206">
        <f t="shared" si="36"/>
        <v>10</v>
      </c>
    </row>
    <row r="176" spans="1:30" x14ac:dyDescent="0.25">
      <c r="A176" s="4">
        <f t="shared" si="31"/>
        <v>175</v>
      </c>
      <c r="B176" s="314" t="s">
        <v>927</v>
      </c>
      <c r="C176" s="280">
        <v>54</v>
      </c>
      <c r="D176" s="359"/>
      <c r="E176" s="478"/>
      <c r="F176" s="359">
        <v>10</v>
      </c>
      <c r="G176" s="478"/>
      <c r="H176" s="359"/>
      <c r="I176" s="478"/>
      <c r="J176" s="359"/>
      <c r="K176" s="478"/>
      <c r="L176" s="359"/>
      <c r="M176" s="478"/>
      <c r="N176" s="561"/>
      <c r="O176" s="343">
        <f t="shared" si="32"/>
        <v>44</v>
      </c>
      <c r="P176" s="343">
        <f t="shared" si="25"/>
        <v>8</v>
      </c>
      <c r="Q176" s="7">
        <v>1</v>
      </c>
      <c r="R176" s="63"/>
      <c r="S176" s="118">
        <v>46143</v>
      </c>
      <c r="T176" s="316">
        <v>0</v>
      </c>
      <c r="U176" s="316"/>
      <c r="V176" s="199">
        <v>45505</v>
      </c>
      <c r="W176" s="309">
        <v>1</v>
      </c>
      <c r="X176" s="107">
        <v>10</v>
      </c>
      <c r="Y176" s="309">
        <v>5</v>
      </c>
      <c r="Z176" s="309">
        <v>10</v>
      </c>
      <c r="AA176" s="205">
        <f t="shared" si="33"/>
        <v>26</v>
      </c>
      <c r="AB176" s="206">
        <f t="shared" si="34"/>
        <v>6.5</v>
      </c>
      <c r="AC176" s="206">
        <f t="shared" si="35"/>
        <v>26</v>
      </c>
      <c r="AD176" s="206">
        <f t="shared" si="36"/>
        <v>52</v>
      </c>
    </row>
    <row r="177" spans="1:30" ht="15" customHeight="1" x14ac:dyDescent="0.25">
      <c r="A177" s="4">
        <f t="shared" si="31"/>
        <v>176</v>
      </c>
      <c r="B177" s="314" t="s">
        <v>928</v>
      </c>
      <c r="C177" s="340">
        <v>18</v>
      </c>
      <c r="D177" s="359">
        <v>1</v>
      </c>
      <c r="E177" s="478"/>
      <c r="F177" s="359"/>
      <c r="G177" s="480"/>
      <c r="H177" s="360"/>
      <c r="I177" s="480"/>
      <c r="J177" s="360"/>
      <c r="K177" s="480"/>
      <c r="L177" s="360"/>
      <c r="M177" s="480"/>
      <c r="N177" s="562"/>
      <c r="O177" s="343">
        <f t="shared" si="32"/>
        <v>17</v>
      </c>
      <c r="P177" s="343">
        <f t="shared" si="25"/>
        <v>-1</v>
      </c>
      <c r="Q177" s="7">
        <v>10</v>
      </c>
      <c r="R177" s="63"/>
      <c r="S177" s="83">
        <v>46296</v>
      </c>
      <c r="T177" s="313">
        <v>1</v>
      </c>
      <c r="U177" s="313"/>
      <c r="V177" s="81">
        <v>45717</v>
      </c>
      <c r="W177" s="14">
        <v>2</v>
      </c>
      <c r="X177" s="28">
        <v>3</v>
      </c>
      <c r="Y177" s="28">
        <v>2</v>
      </c>
      <c r="Z177" s="28">
        <v>1</v>
      </c>
      <c r="AA177" s="205">
        <f t="shared" si="33"/>
        <v>8</v>
      </c>
      <c r="AB177" s="206">
        <f t="shared" si="34"/>
        <v>2</v>
      </c>
      <c r="AC177" s="206">
        <f t="shared" si="35"/>
        <v>8</v>
      </c>
      <c r="AD177" s="206">
        <f t="shared" si="36"/>
        <v>16</v>
      </c>
    </row>
    <row r="178" spans="1:30" x14ac:dyDescent="0.25">
      <c r="A178" s="4">
        <f t="shared" si="31"/>
        <v>177</v>
      </c>
      <c r="B178" s="314" t="s">
        <v>1046</v>
      </c>
      <c r="C178" s="340">
        <v>1</v>
      </c>
      <c r="D178" s="359"/>
      <c r="E178" s="478"/>
      <c r="F178" s="359"/>
      <c r="G178" s="478"/>
      <c r="H178" s="359"/>
      <c r="I178" s="478"/>
      <c r="J178" s="359"/>
      <c r="K178" s="478"/>
      <c r="L178" s="359"/>
      <c r="M178" s="478"/>
      <c r="N178" s="561"/>
      <c r="O178" s="343">
        <f t="shared" si="32"/>
        <v>1</v>
      </c>
      <c r="P178" s="343">
        <f t="shared" si="25"/>
        <v>1</v>
      </c>
      <c r="Q178" s="7">
        <v>40</v>
      </c>
      <c r="R178" s="8"/>
      <c r="S178" s="77">
        <v>46722</v>
      </c>
      <c r="T178" s="16">
        <v>0</v>
      </c>
      <c r="V178" s="77">
        <v>45536</v>
      </c>
      <c r="Y178" s="315">
        <v>1</v>
      </c>
      <c r="AA178" s="205">
        <f t="shared" si="33"/>
        <v>1</v>
      </c>
      <c r="AB178" s="206">
        <f t="shared" si="34"/>
        <v>0.25</v>
      </c>
      <c r="AC178" s="206">
        <f t="shared" si="35"/>
        <v>1</v>
      </c>
      <c r="AD178" s="206">
        <f t="shared" si="36"/>
        <v>2</v>
      </c>
    </row>
    <row r="179" spans="1:30" x14ac:dyDescent="0.25">
      <c r="A179" s="4">
        <f t="shared" si="31"/>
        <v>178</v>
      </c>
      <c r="B179" s="314" t="s">
        <v>733</v>
      </c>
      <c r="C179" s="340">
        <v>0</v>
      </c>
      <c r="D179" s="359"/>
      <c r="E179" s="478"/>
      <c r="F179" s="359"/>
      <c r="G179" s="478"/>
      <c r="H179" s="359"/>
      <c r="I179" s="478"/>
      <c r="J179" s="359"/>
      <c r="K179" s="478"/>
      <c r="L179" s="359"/>
      <c r="M179" s="478"/>
      <c r="N179" s="561"/>
      <c r="O179" s="343">
        <f t="shared" si="32"/>
        <v>0</v>
      </c>
      <c r="P179" s="343">
        <f t="shared" si="25"/>
        <v>6</v>
      </c>
      <c r="Q179" s="7">
        <v>70</v>
      </c>
      <c r="R179" s="63"/>
      <c r="S179" s="83"/>
      <c r="T179" s="16">
        <v>0</v>
      </c>
      <c r="V179" s="77">
        <v>45444</v>
      </c>
      <c r="W179" s="14">
        <v>1</v>
      </c>
      <c r="X179" s="14">
        <v>1</v>
      </c>
      <c r="Y179" s="315">
        <v>1</v>
      </c>
      <c r="AA179" s="205">
        <f t="shared" si="33"/>
        <v>3</v>
      </c>
      <c r="AB179" s="206">
        <f t="shared" si="34"/>
        <v>0.75</v>
      </c>
      <c r="AC179" s="206">
        <f t="shared" si="35"/>
        <v>3</v>
      </c>
      <c r="AD179" s="206">
        <f t="shared" si="36"/>
        <v>6</v>
      </c>
    </row>
    <row r="180" spans="1:30" x14ac:dyDescent="0.25">
      <c r="A180" s="4">
        <f t="shared" si="31"/>
        <v>179</v>
      </c>
      <c r="B180" s="314" t="s">
        <v>618</v>
      </c>
      <c r="C180" s="340">
        <v>1</v>
      </c>
      <c r="D180" s="359"/>
      <c r="E180" s="478"/>
      <c r="F180" s="360"/>
      <c r="G180" s="480"/>
      <c r="H180" s="360"/>
      <c r="I180" s="480"/>
      <c r="J180" s="360"/>
      <c r="K180" s="480"/>
      <c r="L180" s="360"/>
      <c r="M180" s="480"/>
      <c r="N180" s="562"/>
      <c r="O180" s="343">
        <f t="shared" si="32"/>
        <v>1</v>
      </c>
      <c r="P180" s="343">
        <f t="shared" si="25"/>
        <v>13</v>
      </c>
      <c r="Q180" s="10">
        <v>30</v>
      </c>
      <c r="R180" s="63"/>
      <c r="S180" s="118">
        <v>45992</v>
      </c>
      <c r="T180" s="316">
        <v>0</v>
      </c>
      <c r="U180" s="316"/>
      <c r="V180" s="344">
        <v>45352</v>
      </c>
      <c r="W180" s="309">
        <v>3</v>
      </c>
      <c r="X180" s="309">
        <v>1</v>
      </c>
      <c r="Y180" s="309">
        <v>2</v>
      </c>
      <c r="Z180" s="309">
        <v>1</v>
      </c>
      <c r="AA180" s="205">
        <f t="shared" si="33"/>
        <v>7</v>
      </c>
      <c r="AB180" s="206">
        <f t="shared" si="34"/>
        <v>1.75</v>
      </c>
      <c r="AC180" s="206">
        <f t="shared" si="35"/>
        <v>7</v>
      </c>
      <c r="AD180" s="206">
        <f t="shared" si="36"/>
        <v>14</v>
      </c>
    </row>
    <row r="181" spans="1:30" x14ac:dyDescent="0.25">
      <c r="A181" s="4">
        <f t="shared" si="31"/>
        <v>180</v>
      </c>
      <c r="B181" s="314" t="s">
        <v>1047</v>
      </c>
      <c r="C181" s="340">
        <v>2</v>
      </c>
      <c r="D181" s="359"/>
      <c r="E181" s="478"/>
      <c r="F181" s="359"/>
      <c r="G181" s="478"/>
      <c r="H181" s="359"/>
      <c r="I181" s="478"/>
      <c r="J181" s="359"/>
      <c r="K181" s="478"/>
      <c r="L181" s="359"/>
      <c r="M181" s="478"/>
      <c r="N181" s="561"/>
      <c r="O181" s="343">
        <f t="shared" si="32"/>
        <v>2</v>
      </c>
      <c r="P181" s="343">
        <f t="shared" si="25"/>
        <v>6</v>
      </c>
      <c r="Q181" s="7">
        <v>50</v>
      </c>
      <c r="R181" s="63"/>
      <c r="S181" s="77">
        <v>46722</v>
      </c>
      <c r="T181" s="16">
        <v>0</v>
      </c>
      <c r="V181" s="77">
        <v>45658</v>
      </c>
      <c r="W181" s="107">
        <v>1</v>
      </c>
      <c r="X181" s="107">
        <v>1</v>
      </c>
      <c r="Y181" s="309">
        <v>1</v>
      </c>
      <c r="Z181" s="309">
        <v>1</v>
      </c>
      <c r="AA181" s="205">
        <f t="shared" si="33"/>
        <v>4</v>
      </c>
      <c r="AB181" s="206">
        <f t="shared" si="34"/>
        <v>1</v>
      </c>
      <c r="AC181" s="206">
        <f t="shared" si="35"/>
        <v>4</v>
      </c>
      <c r="AD181" s="206">
        <f t="shared" si="36"/>
        <v>8</v>
      </c>
    </row>
    <row r="182" spans="1:30" ht="15" customHeight="1" x14ac:dyDescent="0.25">
      <c r="A182" s="4">
        <f t="shared" si="31"/>
        <v>181</v>
      </c>
      <c r="B182" s="314" t="s">
        <v>732</v>
      </c>
      <c r="C182" s="340">
        <v>2</v>
      </c>
      <c r="D182" s="359"/>
      <c r="E182" s="478"/>
      <c r="F182" s="359"/>
      <c r="G182" s="478"/>
      <c r="H182" s="359"/>
      <c r="I182" s="478"/>
      <c r="J182" s="359"/>
      <c r="K182" s="478"/>
      <c r="L182" s="359"/>
      <c r="M182" s="478"/>
      <c r="N182" s="561"/>
      <c r="O182" s="343">
        <f t="shared" si="32"/>
        <v>2</v>
      </c>
      <c r="P182" s="343">
        <f t="shared" si="25"/>
        <v>6</v>
      </c>
      <c r="Q182" s="7">
        <v>58</v>
      </c>
      <c r="R182" s="63"/>
      <c r="S182" s="83">
        <v>46113</v>
      </c>
      <c r="T182" s="329">
        <v>6</v>
      </c>
      <c r="U182" s="329"/>
      <c r="V182" s="77">
        <v>45231</v>
      </c>
      <c r="W182" s="234">
        <v>1</v>
      </c>
      <c r="X182" s="234">
        <v>1</v>
      </c>
      <c r="Y182" s="234">
        <v>1</v>
      </c>
      <c r="Z182" s="234">
        <v>1</v>
      </c>
      <c r="AA182" s="205">
        <f t="shared" si="33"/>
        <v>4</v>
      </c>
      <c r="AB182" s="206">
        <f t="shared" si="34"/>
        <v>1</v>
      </c>
      <c r="AC182" s="206">
        <f t="shared" si="35"/>
        <v>4</v>
      </c>
      <c r="AD182" s="206">
        <f t="shared" si="36"/>
        <v>8</v>
      </c>
    </row>
    <row r="183" spans="1:30" x14ac:dyDescent="0.25">
      <c r="A183" s="4">
        <f t="shared" si="31"/>
        <v>182</v>
      </c>
      <c r="B183" s="314" t="s">
        <v>580</v>
      </c>
      <c r="C183" s="340">
        <v>4</v>
      </c>
      <c r="D183" s="367"/>
      <c r="E183" s="479"/>
      <c r="F183" s="364"/>
      <c r="G183" s="486"/>
      <c r="H183" s="364"/>
      <c r="I183" s="486"/>
      <c r="J183" s="364"/>
      <c r="K183" s="486"/>
      <c r="L183" s="364"/>
      <c r="M183" s="486"/>
      <c r="N183" s="568"/>
      <c r="O183" s="343">
        <f t="shared" si="32"/>
        <v>4</v>
      </c>
      <c r="P183" s="343">
        <f t="shared" si="25"/>
        <v>6</v>
      </c>
      <c r="Q183" s="10">
        <v>16</v>
      </c>
      <c r="R183" s="187"/>
      <c r="S183" s="110">
        <v>47027</v>
      </c>
      <c r="T183" s="702">
        <v>6</v>
      </c>
      <c r="U183" s="702"/>
      <c r="V183" s="197">
        <v>45566</v>
      </c>
      <c r="W183" s="189">
        <v>1</v>
      </c>
      <c r="X183" s="189">
        <v>1</v>
      </c>
      <c r="Y183" s="189">
        <v>2</v>
      </c>
      <c r="Z183" s="189">
        <v>1</v>
      </c>
      <c r="AA183" s="205">
        <f t="shared" si="33"/>
        <v>5</v>
      </c>
      <c r="AB183" s="206">
        <f t="shared" si="34"/>
        <v>1.25</v>
      </c>
      <c r="AC183" s="206">
        <f t="shared" si="35"/>
        <v>5</v>
      </c>
      <c r="AD183" s="206">
        <f t="shared" si="36"/>
        <v>10</v>
      </c>
    </row>
    <row r="184" spans="1:30" x14ac:dyDescent="0.25">
      <c r="A184" s="4">
        <f t="shared" si="31"/>
        <v>183</v>
      </c>
      <c r="B184" s="314" t="s">
        <v>579</v>
      </c>
      <c r="C184" s="340">
        <v>1</v>
      </c>
      <c r="D184" s="359"/>
      <c r="E184" s="478"/>
      <c r="F184" s="359"/>
      <c r="G184" s="478"/>
      <c r="H184" s="359"/>
      <c r="I184" s="478"/>
      <c r="J184" s="359"/>
      <c r="K184" s="478"/>
      <c r="L184" s="359"/>
      <c r="M184" s="478"/>
      <c r="N184" s="561"/>
      <c r="O184" s="343">
        <f t="shared" si="32"/>
        <v>1</v>
      </c>
      <c r="P184" s="343">
        <f t="shared" si="25"/>
        <v>21</v>
      </c>
      <c r="Q184" s="7">
        <v>16</v>
      </c>
      <c r="R184" s="63"/>
      <c r="S184" s="118">
        <v>45931</v>
      </c>
      <c r="T184" s="316">
        <v>1</v>
      </c>
      <c r="U184" s="316"/>
      <c r="V184" s="118">
        <v>45566</v>
      </c>
      <c r="W184" s="309">
        <v>3</v>
      </c>
      <c r="X184" s="309">
        <v>1</v>
      </c>
      <c r="Y184" s="309">
        <v>2</v>
      </c>
      <c r="Z184" s="309">
        <v>5</v>
      </c>
      <c r="AA184" s="205">
        <f t="shared" si="33"/>
        <v>11</v>
      </c>
      <c r="AB184" s="206">
        <f t="shared" si="34"/>
        <v>2.75</v>
      </c>
      <c r="AC184" s="206">
        <f t="shared" si="35"/>
        <v>11</v>
      </c>
      <c r="AD184" s="206">
        <f t="shared" si="36"/>
        <v>22</v>
      </c>
    </row>
    <row r="185" spans="1:30" x14ac:dyDescent="0.25">
      <c r="A185" s="4">
        <f t="shared" si="31"/>
        <v>184</v>
      </c>
      <c r="B185" s="651" t="s">
        <v>184</v>
      </c>
      <c r="C185" s="658">
        <v>94</v>
      </c>
      <c r="D185" s="359"/>
      <c r="E185" s="478"/>
      <c r="F185" s="359">
        <v>2</v>
      </c>
      <c r="G185" s="478">
        <v>3</v>
      </c>
      <c r="H185" s="359"/>
      <c r="I185" s="478"/>
      <c r="J185" s="359"/>
      <c r="K185" s="478"/>
      <c r="L185" s="359"/>
      <c r="M185" s="478"/>
      <c r="N185" s="561"/>
      <c r="O185" s="343">
        <f t="shared" si="32"/>
        <v>89</v>
      </c>
      <c r="P185" s="343">
        <f t="shared" si="25"/>
        <v>-19</v>
      </c>
      <c r="Q185" s="7">
        <v>3</v>
      </c>
      <c r="R185" s="63"/>
      <c r="S185" s="659">
        <v>45901</v>
      </c>
      <c r="T185" s="316">
        <v>0</v>
      </c>
      <c r="U185" s="316"/>
      <c r="V185" s="199">
        <v>45566</v>
      </c>
      <c r="W185" s="309">
        <v>9</v>
      </c>
      <c r="X185" s="107">
        <v>17</v>
      </c>
      <c r="Y185" s="309">
        <v>6</v>
      </c>
      <c r="Z185" s="309">
        <v>3</v>
      </c>
      <c r="AA185" s="205">
        <f t="shared" si="33"/>
        <v>35</v>
      </c>
      <c r="AB185" s="206">
        <f t="shared" si="34"/>
        <v>8.75</v>
      </c>
      <c r="AC185" s="206">
        <f t="shared" si="35"/>
        <v>35</v>
      </c>
      <c r="AD185" s="206">
        <f t="shared" si="36"/>
        <v>70</v>
      </c>
    </row>
    <row r="186" spans="1:30" ht="15" customHeight="1" x14ac:dyDescent="0.25">
      <c r="A186" s="4">
        <f t="shared" si="31"/>
        <v>185</v>
      </c>
      <c r="B186" s="314" t="s">
        <v>638</v>
      </c>
      <c r="C186" s="340">
        <v>1</v>
      </c>
      <c r="D186" s="359"/>
      <c r="E186" s="478"/>
      <c r="F186" s="359"/>
      <c r="G186" s="478"/>
      <c r="H186" s="360"/>
      <c r="I186" s="478"/>
      <c r="J186" s="360"/>
      <c r="K186" s="478"/>
      <c r="L186" s="360"/>
      <c r="M186" s="478"/>
      <c r="N186" s="561"/>
      <c r="O186" s="343">
        <f t="shared" si="32"/>
        <v>1</v>
      </c>
      <c r="P186" s="343">
        <f t="shared" si="25"/>
        <v>5</v>
      </c>
      <c r="Q186" s="7">
        <v>40</v>
      </c>
      <c r="R186" s="63"/>
      <c r="S186" s="77">
        <v>46722</v>
      </c>
      <c r="T186" s="16">
        <v>0</v>
      </c>
      <c r="V186" s="77">
        <v>45505</v>
      </c>
      <c r="W186" s="14">
        <v>1</v>
      </c>
      <c r="X186" s="14">
        <v>1</v>
      </c>
      <c r="Z186" s="315">
        <v>1</v>
      </c>
      <c r="AA186" s="205">
        <f t="shared" si="33"/>
        <v>3</v>
      </c>
      <c r="AB186" s="206">
        <f t="shared" si="34"/>
        <v>0.75</v>
      </c>
      <c r="AC186" s="206">
        <f t="shared" si="35"/>
        <v>3</v>
      </c>
      <c r="AD186" s="206">
        <f t="shared" si="36"/>
        <v>6</v>
      </c>
    </row>
    <row r="187" spans="1:30" x14ac:dyDescent="0.25">
      <c r="A187" s="4">
        <f t="shared" si="31"/>
        <v>186</v>
      </c>
      <c r="B187" s="314" t="s">
        <v>471</v>
      </c>
      <c r="C187" s="340">
        <v>16</v>
      </c>
      <c r="D187" s="359"/>
      <c r="E187" s="478"/>
      <c r="F187" s="359"/>
      <c r="G187" s="478">
        <v>1</v>
      </c>
      <c r="H187" s="359"/>
      <c r="I187" s="478">
        <v>1</v>
      </c>
      <c r="J187" s="359"/>
      <c r="K187" s="478">
        <v>1</v>
      </c>
      <c r="L187" s="359"/>
      <c r="M187" s="478"/>
      <c r="N187" s="561"/>
      <c r="O187" s="343">
        <f t="shared" si="32"/>
        <v>13</v>
      </c>
      <c r="P187" s="343">
        <f t="shared" si="25"/>
        <v>11</v>
      </c>
      <c r="Q187" s="7">
        <v>4</v>
      </c>
      <c r="R187" s="63"/>
      <c r="S187" s="118"/>
      <c r="T187" s="316">
        <v>0</v>
      </c>
      <c r="U187" s="316"/>
      <c r="V187" s="199">
        <v>45627</v>
      </c>
      <c r="W187" s="309">
        <v>5</v>
      </c>
      <c r="X187" s="309">
        <v>2</v>
      </c>
      <c r="Y187" s="309">
        <v>2</v>
      </c>
      <c r="Z187" s="309">
        <v>3</v>
      </c>
      <c r="AA187" s="205">
        <f t="shared" si="33"/>
        <v>12</v>
      </c>
      <c r="AB187" s="206">
        <f t="shared" si="34"/>
        <v>3</v>
      </c>
      <c r="AC187" s="206">
        <f t="shared" si="35"/>
        <v>12</v>
      </c>
      <c r="AD187" s="206">
        <f t="shared" si="36"/>
        <v>24</v>
      </c>
    </row>
    <row r="188" spans="1:30" x14ac:dyDescent="0.25">
      <c r="A188" s="4">
        <f t="shared" si="31"/>
        <v>187</v>
      </c>
      <c r="B188" s="314" t="s">
        <v>961</v>
      </c>
      <c r="C188" s="340">
        <v>31</v>
      </c>
      <c r="D188" s="359"/>
      <c r="E188" s="478"/>
      <c r="F188" s="360"/>
      <c r="G188" s="480"/>
      <c r="H188" s="360"/>
      <c r="I188" s="480">
        <v>1</v>
      </c>
      <c r="J188" s="360"/>
      <c r="K188" s="480">
        <v>1</v>
      </c>
      <c r="L188" s="360"/>
      <c r="M188" s="480"/>
      <c r="N188" s="562"/>
      <c r="O188" s="343">
        <f t="shared" si="32"/>
        <v>29</v>
      </c>
      <c r="P188" s="343">
        <f t="shared" si="25"/>
        <v>13</v>
      </c>
      <c r="Q188" s="7">
        <v>10</v>
      </c>
      <c r="R188" s="63"/>
      <c r="S188" s="118">
        <v>46082</v>
      </c>
      <c r="T188" s="316">
        <v>3</v>
      </c>
      <c r="U188" s="316">
        <v>5</v>
      </c>
      <c r="V188" s="344">
        <v>45717</v>
      </c>
      <c r="W188" s="309">
        <v>4</v>
      </c>
      <c r="X188" s="309">
        <v>9</v>
      </c>
      <c r="Y188" s="309">
        <v>6</v>
      </c>
      <c r="Z188" s="309">
        <v>2</v>
      </c>
      <c r="AA188" s="205">
        <f t="shared" si="33"/>
        <v>21</v>
      </c>
      <c r="AB188" s="206">
        <f t="shared" si="34"/>
        <v>5.25</v>
      </c>
      <c r="AC188" s="206">
        <f t="shared" si="35"/>
        <v>21</v>
      </c>
      <c r="AD188" s="206">
        <f t="shared" si="36"/>
        <v>42</v>
      </c>
    </row>
    <row r="189" spans="1:30" x14ac:dyDescent="0.25">
      <c r="A189" s="4">
        <f t="shared" si="31"/>
        <v>188</v>
      </c>
      <c r="B189" s="314" t="s">
        <v>36</v>
      </c>
      <c r="C189" s="415">
        <v>16</v>
      </c>
      <c r="D189" s="359"/>
      <c r="E189" s="478"/>
      <c r="F189" s="359"/>
      <c r="G189" s="478"/>
      <c r="H189" s="359"/>
      <c r="I189" s="478"/>
      <c r="J189" s="359"/>
      <c r="K189" s="478"/>
      <c r="L189" s="359"/>
      <c r="M189" s="478">
        <v>12</v>
      </c>
      <c r="N189" s="561"/>
      <c r="O189" s="343">
        <f t="shared" si="32"/>
        <v>4</v>
      </c>
      <c r="P189" s="343">
        <f t="shared" si="25"/>
        <v>48</v>
      </c>
      <c r="Q189" s="7">
        <v>5.8</v>
      </c>
      <c r="R189" s="125"/>
      <c r="S189" s="118">
        <v>46204</v>
      </c>
      <c r="T189" s="316">
        <v>1</v>
      </c>
      <c r="U189" s="316"/>
      <c r="V189" s="118">
        <v>45658</v>
      </c>
      <c r="W189" s="309">
        <v>7</v>
      </c>
      <c r="X189" s="309">
        <v>2</v>
      </c>
      <c r="Y189" s="309">
        <v>5</v>
      </c>
      <c r="Z189" s="309">
        <v>12</v>
      </c>
      <c r="AA189" s="205">
        <f t="shared" si="33"/>
        <v>26</v>
      </c>
      <c r="AB189" s="206">
        <f t="shared" si="34"/>
        <v>6.5</v>
      </c>
      <c r="AC189" s="206">
        <f t="shared" si="35"/>
        <v>26</v>
      </c>
      <c r="AD189" s="206">
        <f t="shared" si="36"/>
        <v>52</v>
      </c>
    </row>
    <row r="190" spans="1:30" x14ac:dyDescent="0.25">
      <c r="A190" s="4">
        <f t="shared" si="31"/>
        <v>189</v>
      </c>
      <c r="B190" s="314" t="s">
        <v>642</v>
      </c>
      <c r="C190" s="340">
        <v>1</v>
      </c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343">
        <f t="shared" si="32"/>
        <v>1</v>
      </c>
      <c r="P190" s="343">
        <f t="shared" si="25"/>
        <v>11</v>
      </c>
      <c r="Q190" s="7">
        <v>80</v>
      </c>
      <c r="R190" s="63"/>
      <c r="S190" s="77">
        <v>45962</v>
      </c>
      <c r="T190" s="16">
        <v>2</v>
      </c>
      <c r="V190" s="77">
        <v>45413</v>
      </c>
      <c r="W190" s="14">
        <v>1</v>
      </c>
      <c r="X190" s="14">
        <v>3</v>
      </c>
      <c r="Z190" s="315">
        <v>2</v>
      </c>
      <c r="AA190" s="205">
        <f t="shared" si="33"/>
        <v>6</v>
      </c>
      <c r="AB190" s="206">
        <f t="shared" si="34"/>
        <v>1.5</v>
      </c>
      <c r="AC190" s="206">
        <f t="shared" si="35"/>
        <v>6</v>
      </c>
      <c r="AD190" s="206">
        <f t="shared" si="36"/>
        <v>12</v>
      </c>
    </row>
    <row r="191" spans="1:30" ht="15" customHeight="1" x14ac:dyDescent="0.25">
      <c r="A191" s="4">
        <f t="shared" si="31"/>
        <v>190</v>
      </c>
      <c r="B191" s="314" t="s">
        <v>1014</v>
      </c>
      <c r="C191" s="340">
        <v>198</v>
      </c>
      <c r="D191" s="367"/>
      <c r="E191" s="479"/>
      <c r="F191" s="364"/>
      <c r="G191" s="486"/>
      <c r="H191" s="364"/>
      <c r="I191" s="486"/>
      <c r="J191" s="364"/>
      <c r="K191" s="486"/>
      <c r="L191" s="364"/>
      <c r="M191" s="486">
        <v>3</v>
      </c>
      <c r="N191" s="568"/>
      <c r="O191" s="343">
        <f t="shared" si="32"/>
        <v>195</v>
      </c>
      <c r="P191" s="343">
        <f t="shared" si="25"/>
        <v>-175</v>
      </c>
      <c r="Q191" s="7">
        <v>1</v>
      </c>
      <c r="R191" s="187"/>
      <c r="S191" s="94">
        <v>46631</v>
      </c>
      <c r="T191" s="338">
        <v>1</v>
      </c>
      <c r="U191" s="338"/>
      <c r="V191" s="344">
        <v>45658</v>
      </c>
      <c r="W191" s="309">
        <v>2</v>
      </c>
      <c r="X191" s="309">
        <v>2</v>
      </c>
      <c r="Y191" s="309">
        <v>3</v>
      </c>
      <c r="Z191" s="309">
        <v>3</v>
      </c>
      <c r="AA191" s="205">
        <f t="shared" si="33"/>
        <v>10</v>
      </c>
      <c r="AB191" s="206">
        <f t="shared" si="34"/>
        <v>2.5</v>
      </c>
      <c r="AC191" s="206">
        <f t="shared" si="35"/>
        <v>10</v>
      </c>
      <c r="AD191" s="206">
        <f t="shared" si="36"/>
        <v>20</v>
      </c>
    </row>
    <row r="192" spans="1:30" ht="15.75" x14ac:dyDescent="0.25">
      <c r="A192" s="4">
        <f t="shared" si="31"/>
        <v>191</v>
      </c>
      <c r="B192" s="164" t="s">
        <v>43</v>
      </c>
      <c r="C192" s="340">
        <v>5</v>
      </c>
      <c r="D192" s="383"/>
      <c r="E192" s="508"/>
      <c r="F192" s="383"/>
      <c r="G192" s="508"/>
      <c r="H192" s="383"/>
      <c r="I192" s="508"/>
      <c r="J192" s="383"/>
      <c r="K192" s="508"/>
      <c r="L192" s="383"/>
      <c r="M192" s="508"/>
      <c r="N192" s="573"/>
      <c r="O192" s="343">
        <f t="shared" si="32"/>
        <v>5</v>
      </c>
      <c r="P192" s="343">
        <f t="shared" si="25"/>
        <v>11</v>
      </c>
      <c r="Q192" s="169">
        <v>8</v>
      </c>
      <c r="R192" s="237"/>
      <c r="S192" s="227">
        <v>46997</v>
      </c>
      <c r="T192" s="320">
        <v>16</v>
      </c>
      <c r="U192" s="320"/>
      <c r="V192" s="227">
        <v>45627</v>
      </c>
      <c r="W192" s="309">
        <v>2</v>
      </c>
      <c r="X192" s="309">
        <v>2</v>
      </c>
      <c r="Y192" s="309">
        <v>2</v>
      </c>
      <c r="Z192" s="309">
        <v>2</v>
      </c>
      <c r="AA192" s="205">
        <f t="shared" si="33"/>
        <v>8</v>
      </c>
      <c r="AB192" s="206">
        <f t="shared" si="34"/>
        <v>2</v>
      </c>
      <c r="AC192" s="206">
        <f t="shared" si="35"/>
        <v>8</v>
      </c>
      <c r="AD192" s="206">
        <f t="shared" si="36"/>
        <v>16</v>
      </c>
    </row>
    <row r="193" spans="1:30" ht="15" customHeight="1" x14ac:dyDescent="0.25">
      <c r="A193" s="4">
        <f t="shared" si="31"/>
        <v>192</v>
      </c>
      <c r="B193" s="164" t="s">
        <v>42</v>
      </c>
      <c r="C193" s="340">
        <v>4</v>
      </c>
      <c r="D193" s="383"/>
      <c r="E193" s="508">
        <v>1</v>
      </c>
      <c r="F193" s="383"/>
      <c r="G193" s="508">
        <v>1</v>
      </c>
      <c r="H193" s="383"/>
      <c r="I193" s="508"/>
      <c r="J193" s="383"/>
      <c r="K193" s="508"/>
      <c r="L193" s="383"/>
      <c r="M193" s="508"/>
      <c r="N193" s="573"/>
      <c r="O193" s="343">
        <f t="shared" si="32"/>
        <v>2</v>
      </c>
      <c r="P193" s="343">
        <f t="shared" si="25"/>
        <v>10</v>
      </c>
      <c r="Q193" s="169">
        <v>8</v>
      </c>
      <c r="R193" s="229"/>
      <c r="S193" s="227">
        <v>46357</v>
      </c>
      <c r="T193" s="320">
        <v>7</v>
      </c>
      <c r="U193" s="320"/>
      <c r="V193" s="227">
        <v>45566</v>
      </c>
      <c r="W193" s="309">
        <v>1</v>
      </c>
      <c r="X193" s="309">
        <v>2</v>
      </c>
      <c r="Y193" s="309">
        <v>1</v>
      </c>
      <c r="Z193" s="309">
        <v>2</v>
      </c>
      <c r="AA193" s="205">
        <f t="shared" si="33"/>
        <v>6</v>
      </c>
      <c r="AB193" s="206">
        <f t="shared" si="34"/>
        <v>1.5</v>
      </c>
      <c r="AC193" s="206">
        <f t="shared" si="35"/>
        <v>6</v>
      </c>
      <c r="AD193" s="206">
        <f t="shared" si="36"/>
        <v>12</v>
      </c>
    </row>
    <row r="194" spans="1:30" ht="15" customHeight="1" x14ac:dyDescent="0.25">
      <c r="A194" s="4">
        <f t="shared" si="31"/>
        <v>193</v>
      </c>
      <c r="B194" s="314" t="s">
        <v>747</v>
      </c>
      <c r="C194" s="340">
        <v>1</v>
      </c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343">
        <f t="shared" si="32"/>
        <v>1</v>
      </c>
      <c r="P194" s="343">
        <f t="shared" ref="P194:P203" si="37">AD194-O194</f>
        <v>5</v>
      </c>
      <c r="Q194" s="7">
        <v>27</v>
      </c>
      <c r="R194" s="63"/>
      <c r="S194" s="77">
        <v>47088</v>
      </c>
      <c r="T194" s="16">
        <v>0</v>
      </c>
      <c r="V194" s="77">
        <v>45261</v>
      </c>
      <c r="W194" s="14">
        <v>1</v>
      </c>
      <c r="X194" s="14">
        <v>1</v>
      </c>
      <c r="Y194" s="315">
        <v>1</v>
      </c>
      <c r="AA194" s="205">
        <f t="shared" si="33"/>
        <v>3</v>
      </c>
      <c r="AB194" s="206">
        <f t="shared" si="34"/>
        <v>0.75</v>
      </c>
      <c r="AC194" s="206">
        <f t="shared" si="35"/>
        <v>3</v>
      </c>
      <c r="AD194" s="206">
        <f t="shared" si="36"/>
        <v>6</v>
      </c>
    </row>
    <row r="195" spans="1:30" x14ac:dyDescent="0.25">
      <c r="A195" s="4">
        <f t="shared" si="31"/>
        <v>194</v>
      </c>
      <c r="B195" s="314" t="s">
        <v>723</v>
      </c>
      <c r="C195" s="340">
        <v>1</v>
      </c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343">
        <f t="shared" si="32"/>
        <v>1</v>
      </c>
      <c r="P195" s="343">
        <f t="shared" si="37"/>
        <v>7</v>
      </c>
      <c r="Q195" s="7">
        <v>32</v>
      </c>
      <c r="R195" s="63"/>
      <c r="S195" s="77">
        <v>47088</v>
      </c>
      <c r="T195" s="16">
        <v>3</v>
      </c>
      <c r="U195" s="16">
        <v>4</v>
      </c>
      <c r="V195" s="77">
        <v>45717</v>
      </c>
      <c r="W195" s="14">
        <v>1</v>
      </c>
      <c r="X195" s="14">
        <v>1</v>
      </c>
      <c r="Y195" s="315">
        <v>1</v>
      </c>
      <c r="Z195" s="315">
        <v>1</v>
      </c>
      <c r="AA195" s="205">
        <f t="shared" si="33"/>
        <v>4</v>
      </c>
      <c r="AB195" s="206">
        <f t="shared" si="34"/>
        <v>1</v>
      </c>
      <c r="AC195" s="206">
        <f t="shared" si="35"/>
        <v>4</v>
      </c>
      <c r="AD195" s="206">
        <f t="shared" si="36"/>
        <v>8</v>
      </c>
    </row>
    <row r="196" spans="1:30" ht="15" customHeight="1" x14ac:dyDescent="0.25">
      <c r="A196" s="4">
        <f t="shared" si="31"/>
        <v>195</v>
      </c>
      <c r="B196" s="314" t="s">
        <v>169</v>
      </c>
      <c r="C196" s="415">
        <v>124</v>
      </c>
      <c r="D196" s="359">
        <v>2</v>
      </c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343">
        <f t="shared" si="32"/>
        <v>122</v>
      </c>
      <c r="P196" s="343">
        <f t="shared" si="37"/>
        <v>-44</v>
      </c>
      <c r="Q196" s="7">
        <v>0.9</v>
      </c>
      <c r="R196" s="125"/>
      <c r="S196" s="118">
        <v>46327</v>
      </c>
      <c r="T196" s="316">
        <v>0</v>
      </c>
      <c r="U196" s="316">
        <v>1</v>
      </c>
      <c r="V196" s="344">
        <v>45717</v>
      </c>
      <c r="W196" s="309">
        <v>5</v>
      </c>
      <c r="X196" s="309">
        <v>10</v>
      </c>
      <c r="Y196" s="309">
        <v>22</v>
      </c>
      <c r="Z196" s="309">
        <v>2</v>
      </c>
      <c r="AA196" s="205">
        <f t="shared" si="33"/>
        <v>39</v>
      </c>
      <c r="AB196" s="206">
        <f t="shared" si="34"/>
        <v>9.75</v>
      </c>
      <c r="AC196" s="206">
        <f t="shared" si="35"/>
        <v>39</v>
      </c>
      <c r="AD196" s="206">
        <f t="shared" si="36"/>
        <v>78</v>
      </c>
    </row>
    <row r="197" spans="1:30" ht="15" customHeight="1" x14ac:dyDescent="0.25">
      <c r="A197" s="4">
        <f t="shared" si="31"/>
        <v>196</v>
      </c>
      <c r="B197" s="314" t="s">
        <v>726</v>
      </c>
      <c r="C197" s="340">
        <v>2</v>
      </c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343">
        <f t="shared" ref="O197:O203" si="38">SUM(C197-D197-E197-F197-G197-H197-I197-J197-K197-L197-M197-N197)</f>
        <v>2</v>
      </c>
      <c r="P197" s="343">
        <f t="shared" si="37"/>
        <v>6</v>
      </c>
      <c r="Q197" s="7">
        <v>19</v>
      </c>
      <c r="R197" s="63"/>
      <c r="S197" s="77">
        <v>47088</v>
      </c>
      <c r="T197" s="16">
        <v>0</v>
      </c>
      <c r="V197" s="77">
        <v>45231</v>
      </c>
      <c r="W197" s="14">
        <v>1</v>
      </c>
      <c r="X197" s="14">
        <v>1</v>
      </c>
      <c r="Y197" s="315">
        <v>1</v>
      </c>
      <c r="Z197" s="315">
        <v>1</v>
      </c>
      <c r="AA197" s="205">
        <f t="shared" ref="AA197:AA203" si="39">W197+X197+Y197+Z197</f>
        <v>4</v>
      </c>
      <c r="AB197" s="206">
        <f t="shared" ref="AB197:AB203" si="40">AA197/4</f>
        <v>1</v>
      </c>
      <c r="AC197" s="206">
        <f t="shared" ref="AC197:AC203" si="41">AB197*4</f>
        <v>4</v>
      </c>
      <c r="AD197" s="206">
        <f t="shared" ref="AD197:AD203" si="42">AC197*2</f>
        <v>8</v>
      </c>
    </row>
    <row r="198" spans="1:30" ht="15" customHeight="1" x14ac:dyDescent="0.25">
      <c r="A198" s="4">
        <f t="shared" si="31"/>
        <v>197</v>
      </c>
      <c r="B198" s="314" t="s">
        <v>773</v>
      </c>
      <c r="C198" s="340">
        <v>1</v>
      </c>
      <c r="D198" s="359"/>
      <c r="E198" s="478"/>
      <c r="F198" s="359"/>
      <c r="G198" s="478"/>
      <c r="H198" s="359"/>
      <c r="I198" s="478"/>
      <c r="J198" s="359"/>
      <c r="K198" s="478"/>
      <c r="L198" s="359"/>
      <c r="M198" s="478"/>
      <c r="N198" s="561"/>
      <c r="O198" s="343">
        <f t="shared" si="38"/>
        <v>1</v>
      </c>
      <c r="P198" s="343">
        <f t="shared" si="37"/>
        <v>5</v>
      </c>
      <c r="Q198" s="7">
        <v>20</v>
      </c>
      <c r="R198" s="63"/>
      <c r="S198" s="77">
        <v>46113</v>
      </c>
      <c r="T198" s="16">
        <v>2</v>
      </c>
      <c r="U198" s="16">
        <v>3</v>
      </c>
      <c r="V198" s="77">
        <v>45717</v>
      </c>
      <c r="X198" s="14">
        <v>1</v>
      </c>
      <c r="Y198" s="315">
        <v>1</v>
      </c>
      <c r="Z198" s="315">
        <v>1</v>
      </c>
      <c r="AA198" s="205">
        <f t="shared" si="39"/>
        <v>3</v>
      </c>
      <c r="AB198" s="206">
        <f t="shared" si="40"/>
        <v>0.75</v>
      </c>
      <c r="AC198" s="206">
        <f t="shared" si="41"/>
        <v>3</v>
      </c>
      <c r="AD198" s="206">
        <f t="shared" si="42"/>
        <v>6</v>
      </c>
    </row>
    <row r="199" spans="1:30" x14ac:dyDescent="0.25">
      <c r="A199" s="4">
        <f t="shared" si="31"/>
        <v>198</v>
      </c>
      <c r="B199" s="314" t="s">
        <v>544</v>
      </c>
      <c r="C199" s="340">
        <v>1</v>
      </c>
      <c r="D199" s="359"/>
      <c r="E199" s="479"/>
      <c r="F199" s="359"/>
      <c r="G199" s="486"/>
      <c r="H199" s="359"/>
      <c r="I199" s="486"/>
      <c r="J199" s="359"/>
      <c r="K199" s="487"/>
      <c r="L199" s="359"/>
      <c r="M199" s="486"/>
      <c r="N199" s="568"/>
      <c r="O199" s="343">
        <f t="shared" si="38"/>
        <v>1</v>
      </c>
      <c r="P199" s="343">
        <f t="shared" si="37"/>
        <v>7</v>
      </c>
      <c r="Q199" s="7">
        <v>18</v>
      </c>
      <c r="R199" s="187"/>
      <c r="S199" s="118">
        <v>46296</v>
      </c>
      <c r="T199" s="53">
        <v>0</v>
      </c>
      <c r="U199" s="53"/>
      <c r="V199" s="197">
        <v>45658</v>
      </c>
      <c r="W199" s="189">
        <v>1</v>
      </c>
      <c r="X199" s="189">
        <v>1</v>
      </c>
      <c r="Y199" s="189">
        <v>1</v>
      </c>
      <c r="Z199" s="189">
        <v>1</v>
      </c>
      <c r="AA199" s="205">
        <f t="shared" si="39"/>
        <v>4</v>
      </c>
      <c r="AB199" s="206">
        <f t="shared" si="40"/>
        <v>1</v>
      </c>
      <c r="AC199" s="206">
        <f t="shared" si="41"/>
        <v>4</v>
      </c>
      <c r="AD199" s="206">
        <f t="shared" si="42"/>
        <v>8</v>
      </c>
    </row>
    <row r="200" spans="1:30" ht="15" customHeight="1" x14ac:dyDescent="0.25">
      <c r="A200" s="4">
        <f t="shared" si="31"/>
        <v>199</v>
      </c>
      <c r="B200" s="314" t="s">
        <v>472</v>
      </c>
      <c r="C200" s="280">
        <v>18</v>
      </c>
      <c r="D200" s="359"/>
      <c r="E200" s="478"/>
      <c r="F200" s="359"/>
      <c r="G200" s="478"/>
      <c r="H200" s="359"/>
      <c r="I200" s="478"/>
      <c r="J200" s="359"/>
      <c r="K200" s="478"/>
      <c r="L200" s="359"/>
      <c r="M200" s="478">
        <v>1</v>
      </c>
      <c r="N200" s="561"/>
      <c r="O200" s="343">
        <f t="shared" si="38"/>
        <v>17</v>
      </c>
      <c r="P200" s="343">
        <f t="shared" si="37"/>
        <v>3</v>
      </c>
      <c r="Q200" s="7">
        <v>4.5</v>
      </c>
      <c r="R200" s="8"/>
      <c r="S200" s="118">
        <v>46388</v>
      </c>
      <c r="T200" s="316">
        <v>0</v>
      </c>
      <c r="U200" s="316"/>
      <c r="V200" s="199">
        <v>45658</v>
      </c>
      <c r="W200" s="309">
        <v>6</v>
      </c>
      <c r="X200" s="107">
        <v>1</v>
      </c>
      <c r="Y200" s="309">
        <v>2</v>
      </c>
      <c r="Z200" s="309">
        <v>1</v>
      </c>
      <c r="AA200" s="205">
        <f t="shared" si="39"/>
        <v>10</v>
      </c>
      <c r="AB200" s="206">
        <f t="shared" si="40"/>
        <v>2.5</v>
      </c>
      <c r="AC200" s="206">
        <f t="shared" si="41"/>
        <v>10</v>
      </c>
      <c r="AD200" s="206">
        <f t="shared" si="42"/>
        <v>20</v>
      </c>
    </row>
    <row r="201" spans="1:30" ht="15" customHeight="1" x14ac:dyDescent="0.25">
      <c r="A201" s="4">
        <f t="shared" si="31"/>
        <v>200</v>
      </c>
      <c r="B201" s="314" t="s">
        <v>473</v>
      </c>
      <c r="C201" s="415">
        <v>17</v>
      </c>
      <c r="D201" s="359"/>
      <c r="E201" s="478">
        <v>1</v>
      </c>
      <c r="F201" s="359"/>
      <c r="G201" s="478"/>
      <c r="H201" s="359"/>
      <c r="I201" s="478"/>
      <c r="J201" s="359"/>
      <c r="K201" s="478"/>
      <c r="L201" s="359"/>
      <c r="M201" s="478"/>
      <c r="N201" s="561"/>
      <c r="O201" s="343">
        <f t="shared" si="38"/>
        <v>16</v>
      </c>
      <c r="P201" s="343">
        <f t="shared" si="37"/>
        <v>20</v>
      </c>
      <c r="Q201" s="7">
        <v>4.5</v>
      </c>
      <c r="R201" s="63"/>
      <c r="S201" s="118">
        <v>46419</v>
      </c>
      <c r="T201" s="316">
        <v>1</v>
      </c>
      <c r="U201" s="316">
        <v>1</v>
      </c>
      <c r="V201" s="199">
        <v>45717</v>
      </c>
      <c r="W201" s="309">
        <v>1</v>
      </c>
      <c r="X201" s="309">
        <v>12</v>
      </c>
      <c r="Y201" s="309">
        <v>4</v>
      </c>
      <c r="Z201" s="309">
        <v>1</v>
      </c>
      <c r="AA201" s="205">
        <f t="shared" si="39"/>
        <v>18</v>
      </c>
      <c r="AB201" s="206">
        <f t="shared" si="40"/>
        <v>4.5</v>
      </c>
      <c r="AC201" s="206">
        <f t="shared" si="41"/>
        <v>18</v>
      </c>
      <c r="AD201" s="206">
        <f t="shared" si="42"/>
        <v>36</v>
      </c>
    </row>
    <row r="202" spans="1:30" ht="15" customHeight="1" x14ac:dyDescent="0.25">
      <c r="A202" s="4">
        <f t="shared" si="31"/>
        <v>201</v>
      </c>
      <c r="B202" s="4" t="s">
        <v>474</v>
      </c>
      <c r="C202" s="340">
        <v>27</v>
      </c>
      <c r="D202" s="359"/>
      <c r="E202" s="478">
        <v>2</v>
      </c>
      <c r="F202" s="359"/>
      <c r="G202" s="478"/>
      <c r="H202" s="359"/>
      <c r="I202" s="478"/>
      <c r="J202" s="359"/>
      <c r="K202" s="478"/>
      <c r="L202" s="359"/>
      <c r="M202" s="478"/>
      <c r="N202" s="561"/>
      <c r="O202" s="343">
        <f t="shared" si="38"/>
        <v>25</v>
      </c>
      <c r="P202" s="343">
        <f t="shared" si="37"/>
        <v>-13</v>
      </c>
      <c r="Q202" s="7">
        <v>4.5</v>
      </c>
      <c r="R202" s="63"/>
      <c r="S202" s="199">
        <v>46023</v>
      </c>
      <c r="T202" s="107">
        <v>1</v>
      </c>
      <c r="U202" s="127">
        <v>1</v>
      </c>
      <c r="V202" s="199">
        <v>45717</v>
      </c>
      <c r="W202" s="107">
        <v>2</v>
      </c>
      <c r="X202" s="107">
        <v>1</v>
      </c>
      <c r="Y202" s="309">
        <v>1</v>
      </c>
      <c r="Z202" s="309">
        <v>2</v>
      </c>
      <c r="AA202" s="205">
        <f t="shared" si="39"/>
        <v>6</v>
      </c>
      <c r="AB202" s="206">
        <f t="shared" si="40"/>
        <v>1.5</v>
      </c>
      <c r="AC202" s="206">
        <f t="shared" si="41"/>
        <v>6</v>
      </c>
      <c r="AD202" s="206">
        <f t="shared" si="42"/>
        <v>12</v>
      </c>
    </row>
    <row r="203" spans="1:30" ht="15" customHeight="1" x14ac:dyDescent="0.25">
      <c r="A203" s="4">
        <f t="shared" si="31"/>
        <v>202</v>
      </c>
      <c r="B203" s="314" t="s">
        <v>126</v>
      </c>
      <c r="C203" s="340">
        <v>298</v>
      </c>
      <c r="D203" s="359"/>
      <c r="E203" s="478">
        <v>12</v>
      </c>
      <c r="F203" s="361">
        <v>8</v>
      </c>
      <c r="G203" s="482"/>
      <c r="H203" s="359"/>
      <c r="I203" s="478">
        <v>16</v>
      </c>
      <c r="J203" s="359"/>
      <c r="K203" s="478">
        <v>10</v>
      </c>
      <c r="L203" s="359"/>
      <c r="M203" s="478"/>
      <c r="N203" s="561"/>
      <c r="O203" s="343">
        <f t="shared" si="38"/>
        <v>252</v>
      </c>
      <c r="P203" s="343">
        <f t="shared" si="37"/>
        <v>232</v>
      </c>
      <c r="Q203" s="7">
        <v>0.5</v>
      </c>
      <c r="R203" s="63"/>
      <c r="S203" s="118">
        <v>46174</v>
      </c>
      <c r="T203" s="316">
        <v>1</v>
      </c>
      <c r="U203" s="316">
        <v>1</v>
      </c>
      <c r="V203" s="344">
        <v>45717</v>
      </c>
      <c r="W203" s="309">
        <v>49</v>
      </c>
      <c r="X203" s="309">
        <v>87</v>
      </c>
      <c r="Y203" s="309">
        <v>60</v>
      </c>
      <c r="Z203" s="309">
        <v>46</v>
      </c>
      <c r="AA203" s="205">
        <f t="shared" si="39"/>
        <v>242</v>
      </c>
      <c r="AB203" s="206">
        <f t="shared" si="40"/>
        <v>60.5</v>
      </c>
      <c r="AC203" s="206">
        <f t="shared" si="41"/>
        <v>242</v>
      </c>
      <c r="AD203" s="206">
        <f t="shared" si="42"/>
        <v>484</v>
      </c>
    </row>
    <row r="204" spans="1:30" ht="15" customHeight="1" x14ac:dyDescent="0.25">
      <c r="A204" s="4">
        <f t="shared" si="31"/>
        <v>203</v>
      </c>
      <c r="B204" s="3"/>
      <c r="C204" s="8"/>
      <c r="D204" s="359"/>
      <c r="E204" s="478"/>
      <c r="F204" s="359"/>
      <c r="G204" s="478"/>
      <c r="H204" s="359"/>
      <c r="I204" s="478"/>
      <c r="J204" s="359"/>
      <c r="K204" s="478"/>
      <c r="L204" s="359"/>
      <c r="M204" s="478"/>
      <c r="N204" s="561"/>
      <c r="O204" s="340"/>
      <c r="P204" s="343"/>
      <c r="Q204" s="7"/>
      <c r="R204" s="63"/>
    </row>
    <row r="205" spans="1:30" ht="15" customHeight="1" x14ac:dyDescent="0.25">
      <c r="A205" s="4">
        <f t="shared" si="31"/>
        <v>204</v>
      </c>
      <c r="B205" s="4"/>
      <c r="C205" s="9"/>
      <c r="D205" s="359"/>
      <c r="E205" s="478"/>
      <c r="F205" s="359"/>
      <c r="G205" s="478"/>
      <c r="H205" s="359"/>
      <c r="I205" s="478"/>
      <c r="J205" s="359"/>
      <c r="K205" s="478"/>
      <c r="L205" s="359"/>
      <c r="M205" s="478"/>
      <c r="N205" s="561"/>
      <c r="O205" s="340"/>
      <c r="P205" s="343"/>
      <c r="Q205" s="7"/>
      <c r="R205" s="63"/>
    </row>
    <row r="206" spans="1:30" ht="15" customHeight="1" x14ac:dyDescent="0.25">
      <c r="A206" s="4">
        <f t="shared" ref="A206:A231" si="43">A205+1</f>
        <v>205</v>
      </c>
      <c r="B206" s="4"/>
      <c r="C206" s="9"/>
      <c r="D206" s="359"/>
      <c r="E206" s="478"/>
      <c r="F206" s="359"/>
      <c r="G206" s="478"/>
      <c r="H206" s="359"/>
      <c r="I206" s="478"/>
      <c r="J206" s="359"/>
      <c r="K206" s="478"/>
      <c r="L206" s="359"/>
      <c r="M206" s="478"/>
      <c r="N206" s="561"/>
      <c r="O206" s="340"/>
      <c r="P206" s="343"/>
      <c r="Q206" s="7"/>
      <c r="R206" s="63"/>
    </row>
    <row r="207" spans="1:30" ht="15" customHeight="1" x14ac:dyDescent="0.25">
      <c r="A207" s="4">
        <f t="shared" si="43"/>
        <v>206</v>
      </c>
      <c r="B207" s="4"/>
      <c r="C207" s="9"/>
      <c r="D207" s="359"/>
      <c r="E207" s="478"/>
      <c r="F207" s="359"/>
      <c r="G207" s="478"/>
      <c r="H207" s="359"/>
      <c r="I207" s="478"/>
      <c r="J207" s="359"/>
      <c r="K207" s="478"/>
      <c r="L207" s="359"/>
      <c r="M207" s="478"/>
      <c r="N207" s="561"/>
      <c r="O207" s="340"/>
      <c r="P207" s="343"/>
      <c r="Q207" s="7"/>
      <c r="R207" s="63"/>
    </row>
    <row r="208" spans="1:30" ht="15" customHeight="1" x14ac:dyDescent="0.25">
      <c r="A208" s="4">
        <f t="shared" si="43"/>
        <v>207</v>
      </c>
      <c r="B208" s="4"/>
      <c r="C208" s="9"/>
      <c r="D208" s="359"/>
      <c r="E208" s="478"/>
      <c r="F208" s="359"/>
      <c r="G208" s="478"/>
      <c r="H208" s="359"/>
      <c r="I208" s="478"/>
      <c r="J208" s="359"/>
      <c r="K208" s="478"/>
      <c r="L208" s="359"/>
      <c r="M208" s="478"/>
      <c r="N208" s="561"/>
      <c r="O208" s="340"/>
      <c r="P208" s="343"/>
      <c r="Q208" s="7"/>
      <c r="R208" s="63"/>
    </row>
    <row r="209" spans="1:18" ht="15" customHeight="1" x14ac:dyDescent="0.25">
      <c r="A209" s="4">
        <f t="shared" si="43"/>
        <v>208</v>
      </c>
      <c r="B209" s="4"/>
      <c r="C209" s="9"/>
      <c r="D209" s="359"/>
      <c r="E209" s="478"/>
      <c r="F209" s="359"/>
      <c r="G209" s="478"/>
      <c r="H209" s="359"/>
      <c r="I209" s="478"/>
      <c r="J209" s="359"/>
      <c r="K209" s="478"/>
      <c r="L209" s="359"/>
      <c r="M209" s="478"/>
      <c r="N209" s="561"/>
      <c r="O209" s="340"/>
      <c r="P209" s="343"/>
      <c r="Q209" s="7"/>
      <c r="R209" s="63"/>
    </row>
    <row r="210" spans="1:18" ht="15" customHeight="1" x14ac:dyDescent="0.25">
      <c r="A210" s="4">
        <f t="shared" si="43"/>
        <v>209</v>
      </c>
      <c r="B210" s="4"/>
      <c r="C210" s="9"/>
      <c r="D210" s="359"/>
      <c r="E210" s="478"/>
      <c r="F210" s="359"/>
      <c r="G210" s="478"/>
      <c r="H210" s="359"/>
      <c r="I210" s="478"/>
      <c r="J210" s="359"/>
      <c r="K210" s="478"/>
      <c r="L210" s="359"/>
      <c r="M210" s="478"/>
      <c r="N210" s="561"/>
      <c r="O210" s="340"/>
      <c r="P210" s="343"/>
      <c r="Q210" s="7"/>
      <c r="R210" s="63"/>
    </row>
    <row r="211" spans="1:18" ht="15" customHeight="1" x14ac:dyDescent="0.25">
      <c r="A211" s="4">
        <f t="shared" si="43"/>
        <v>210</v>
      </c>
      <c r="B211" s="4"/>
      <c r="C211" s="9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340"/>
      <c r="P211" s="343"/>
      <c r="Q211" s="7"/>
      <c r="R211" s="63"/>
    </row>
    <row r="212" spans="1:18" ht="15" customHeight="1" x14ac:dyDescent="0.25">
      <c r="A212" s="4">
        <f t="shared" si="43"/>
        <v>211</v>
      </c>
      <c r="B212" s="4"/>
      <c r="C212" s="8"/>
      <c r="D212" s="359"/>
      <c r="E212" s="478"/>
      <c r="F212" s="359"/>
      <c r="G212" s="478"/>
      <c r="H212" s="359"/>
      <c r="I212" s="478"/>
      <c r="J212" s="359"/>
      <c r="K212" s="478"/>
      <c r="L212" s="359"/>
      <c r="M212" s="478"/>
      <c r="N212" s="561"/>
      <c r="O212" s="340"/>
      <c r="P212" s="343"/>
      <c r="Q212" s="7"/>
      <c r="R212" s="63"/>
    </row>
    <row r="213" spans="1:18" ht="15" customHeight="1" x14ac:dyDescent="0.25">
      <c r="A213" s="4">
        <f t="shared" si="43"/>
        <v>212</v>
      </c>
      <c r="B213" s="4"/>
      <c r="C213" s="9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340"/>
      <c r="P213" s="343"/>
      <c r="Q213" s="7"/>
      <c r="R213" s="63"/>
    </row>
    <row r="214" spans="1:18" ht="15" customHeight="1" x14ac:dyDescent="0.25">
      <c r="A214" s="4">
        <f t="shared" si="43"/>
        <v>213</v>
      </c>
      <c r="B214" s="4"/>
      <c r="C214" s="9"/>
      <c r="D214" s="359"/>
      <c r="E214" s="478"/>
      <c r="F214" s="359"/>
      <c r="G214" s="478"/>
      <c r="H214" s="359"/>
      <c r="I214" s="478"/>
      <c r="J214" s="359"/>
      <c r="K214" s="478"/>
      <c r="L214" s="359"/>
      <c r="M214" s="478"/>
      <c r="N214" s="561"/>
      <c r="O214" s="340"/>
      <c r="P214" s="343"/>
      <c r="Q214" s="7"/>
      <c r="R214" s="64"/>
    </row>
    <row r="215" spans="1:18" ht="15" customHeight="1" x14ac:dyDescent="0.25">
      <c r="A215" s="4">
        <f t="shared" si="43"/>
        <v>214</v>
      </c>
      <c r="B215" s="4"/>
      <c r="C215" s="9"/>
      <c r="D215" s="359"/>
      <c r="E215" s="478"/>
      <c r="F215" s="359"/>
      <c r="G215" s="478"/>
      <c r="H215" s="359"/>
      <c r="I215" s="478"/>
      <c r="J215" s="359"/>
      <c r="K215" s="478"/>
      <c r="L215" s="359"/>
      <c r="M215" s="478"/>
      <c r="N215" s="561"/>
      <c r="O215" s="340"/>
      <c r="P215" s="343"/>
      <c r="Q215" s="7"/>
      <c r="R215" s="63"/>
    </row>
    <row r="216" spans="1:18" ht="15" customHeight="1" x14ac:dyDescent="0.25">
      <c r="A216" s="4">
        <f t="shared" si="43"/>
        <v>215</v>
      </c>
      <c r="B216" s="4"/>
      <c r="C216" s="9"/>
      <c r="D216" s="359"/>
      <c r="E216" s="478"/>
      <c r="F216" s="359"/>
      <c r="G216" s="478"/>
      <c r="H216" s="359"/>
      <c r="I216" s="478"/>
      <c r="J216" s="359"/>
      <c r="K216" s="478"/>
      <c r="L216" s="359"/>
      <c r="M216" s="478"/>
      <c r="N216" s="561"/>
      <c r="O216" s="340"/>
      <c r="P216" s="343"/>
      <c r="Q216" s="7"/>
      <c r="R216" s="63"/>
    </row>
    <row r="217" spans="1:18" ht="15" customHeight="1" x14ac:dyDescent="0.25">
      <c r="A217" s="4">
        <f t="shared" si="43"/>
        <v>216</v>
      </c>
      <c r="B217" s="4"/>
      <c r="C217" s="8"/>
      <c r="D217" s="359"/>
      <c r="E217" s="478"/>
      <c r="F217" s="359"/>
      <c r="G217" s="478"/>
      <c r="H217" s="359"/>
      <c r="I217" s="478"/>
      <c r="J217" s="359"/>
      <c r="K217" s="478"/>
      <c r="L217" s="359"/>
      <c r="M217" s="478"/>
      <c r="N217" s="561"/>
      <c r="O217" s="340"/>
      <c r="P217" s="343"/>
      <c r="Q217" s="7"/>
      <c r="R217" s="63"/>
    </row>
    <row r="218" spans="1:18" ht="15" customHeight="1" x14ac:dyDescent="0.25">
      <c r="A218" s="4">
        <f t="shared" si="43"/>
        <v>217</v>
      </c>
      <c r="B218" s="4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340"/>
      <c r="P218" s="343"/>
      <c r="Q218" s="7"/>
      <c r="R218" s="63"/>
    </row>
    <row r="219" spans="1:18" ht="15" customHeight="1" x14ac:dyDescent="0.25">
      <c r="A219" s="4">
        <f t="shared" si="43"/>
        <v>218</v>
      </c>
      <c r="B219" s="4"/>
      <c r="C219" s="9"/>
      <c r="D219" s="359"/>
      <c r="E219" s="478"/>
      <c r="F219" s="359"/>
      <c r="G219" s="478"/>
      <c r="H219" s="359"/>
      <c r="I219" s="478"/>
      <c r="J219" s="359"/>
      <c r="K219" s="478"/>
      <c r="L219" s="359"/>
      <c r="M219" s="478"/>
      <c r="N219" s="561"/>
      <c r="O219" s="340"/>
      <c r="P219" s="343"/>
      <c r="Q219" s="7"/>
      <c r="R219" s="63"/>
    </row>
    <row r="220" spans="1:18" ht="15" customHeight="1" x14ac:dyDescent="0.25">
      <c r="A220" s="4">
        <f t="shared" si="43"/>
        <v>219</v>
      </c>
      <c r="B220" s="4"/>
      <c r="C220" s="9"/>
      <c r="D220" s="359"/>
      <c r="E220" s="478"/>
      <c r="F220" s="359"/>
      <c r="G220" s="478"/>
      <c r="H220" s="359"/>
      <c r="I220" s="478"/>
      <c r="J220" s="359"/>
      <c r="K220" s="478"/>
      <c r="L220" s="359"/>
      <c r="M220" s="478"/>
      <c r="N220" s="561"/>
      <c r="O220" s="340"/>
      <c r="P220" s="343"/>
      <c r="Q220" s="7"/>
      <c r="R220" s="63"/>
    </row>
    <row r="221" spans="1:18" ht="15" customHeight="1" x14ac:dyDescent="0.25">
      <c r="A221" s="4">
        <f t="shared" si="43"/>
        <v>220</v>
      </c>
      <c r="B221" s="4"/>
      <c r="C221" s="9"/>
      <c r="D221" s="359"/>
      <c r="E221" s="478"/>
      <c r="F221" s="359"/>
      <c r="G221" s="478"/>
      <c r="H221" s="359"/>
      <c r="I221" s="478"/>
      <c r="J221" s="359"/>
      <c r="K221" s="478"/>
      <c r="L221" s="359"/>
      <c r="M221" s="478"/>
      <c r="N221" s="561"/>
      <c r="O221" s="340"/>
      <c r="P221" s="343"/>
      <c r="Q221" s="7"/>
      <c r="R221" s="63"/>
    </row>
    <row r="222" spans="1:18" ht="15" customHeight="1" x14ac:dyDescent="0.25">
      <c r="A222" s="4">
        <f t="shared" si="43"/>
        <v>221</v>
      </c>
      <c r="B222" s="4"/>
      <c r="C222" s="9"/>
      <c r="D222" s="359"/>
      <c r="E222" s="478"/>
      <c r="F222" s="359"/>
      <c r="G222" s="478"/>
      <c r="H222" s="359"/>
      <c r="I222" s="478"/>
      <c r="J222" s="359"/>
      <c r="K222" s="478"/>
      <c r="L222" s="359"/>
      <c r="M222" s="478"/>
      <c r="N222" s="561"/>
      <c r="O222" s="340"/>
      <c r="P222" s="343"/>
      <c r="Q222" s="7"/>
      <c r="R222" s="63"/>
    </row>
    <row r="223" spans="1:18" ht="15" customHeight="1" x14ac:dyDescent="0.25">
      <c r="A223" s="4">
        <f t="shared" si="43"/>
        <v>222</v>
      </c>
      <c r="B223" s="4"/>
      <c r="C223" s="9"/>
      <c r="D223" s="359"/>
      <c r="E223" s="478"/>
      <c r="F223" s="359"/>
      <c r="G223" s="478"/>
      <c r="H223" s="359"/>
      <c r="I223" s="478"/>
      <c r="J223" s="359"/>
      <c r="K223" s="478"/>
      <c r="L223" s="359"/>
      <c r="M223" s="478"/>
      <c r="N223" s="561"/>
      <c r="O223" s="340"/>
      <c r="P223" s="343"/>
      <c r="Q223" s="7"/>
      <c r="R223" s="63"/>
    </row>
    <row r="224" spans="1:18" ht="15" customHeight="1" x14ac:dyDescent="0.25">
      <c r="A224" s="4">
        <f t="shared" si="43"/>
        <v>223</v>
      </c>
      <c r="B224" s="4"/>
      <c r="C224" s="8"/>
      <c r="D224" s="359"/>
      <c r="E224" s="478"/>
      <c r="F224" s="359"/>
      <c r="G224" s="478"/>
      <c r="H224" s="359"/>
      <c r="I224" s="478"/>
      <c r="J224" s="359"/>
      <c r="K224" s="478"/>
      <c r="L224" s="359"/>
      <c r="M224" s="478"/>
      <c r="N224" s="561"/>
      <c r="O224" s="340"/>
      <c r="P224" s="343"/>
      <c r="Q224" s="7"/>
      <c r="R224" s="63"/>
    </row>
    <row r="225" spans="1:18" ht="15" customHeight="1" x14ac:dyDescent="0.25">
      <c r="A225" s="4">
        <f t="shared" si="43"/>
        <v>224</v>
      </c>
      <c r="B225" s="4"/>
      <c r="C225" s="9"/>
      <c r="D225" s="359"/>
      <c r="E225" s="478"/>
      <c r="F225" s="359"/>
      <c r="G225" s="478"/>
      <c r="H225" s="359"/>
      <c r="I225" s="478"/>
      <c r="J225" s="359"/>
      <c r="K225" s="478"/>
      <c r="L225" s="359"/>
      <c r="M225" s="478"/>
      <c r="N225" s="561"/>
      <c r="O225" s="340"/>
      <c r="P225" s="343"/>
      <c r="Q225" s="7"/>
      <c r="R225" s="63"/>
    </row>
    <row r="226" spans="1:18" ht="15" customHeight="1" x14ac:dyDescent="0.25">
      <c r="A226" s="4">
        <f t="shared" si="43"/>
        <v>225</v>
      </c>
      <c r="B226" s="4"/>
      <c r="C226" s="9"/>
      <c r="D226" s="359"/>
      <c r="E226" s="478"/>
      <c r="F226" s="359"/>
      <c r="G226" s="478"/>
      <c r="H226" s="359"/>
      <c r="I226" s="478"/>
      <c r="J226" s="359"/>
      <c r="K226" s="478"/>
      <c r="L226" s="359"/>
      <c r="M226" s="478"/>
      <c r="N226" s="561"/>
      <c r="O226" s="340"/>
      <c r="P226" s="343"/>
      <c r="Q226" s="7"/>
      <c r="R226" s="63"/>
    </row>
    <row r="227" spans="1:18" ht="15" customHeight="1" x14ac:dyDescent="0.25">
      <c r="A227" s="4">
        <f t="shared" si="43"/>
        <v>226</v>
      </c>
      <c r="B227" s="4"/>
      <c r="C227" s="9"/>
      <c r="D227" s="359"/>
      <c r="E227" s="478"/>
      <c r="F227" s="359"/>
      <c r="G227" s="478"/>
      <c r="H227" s="359"/>
      <c r="I227" s="478"/>
      <c r="J227" s="359"/>
      <c r="K227" s="478"/>
      <c r="L227" s="359"/>
      <c r="M227" s="478"/>
      <c r="N227" s="561"/>
      <c r="O227" s="340"/>
      <c r="P227" s="343"/>
      <c r="Q227" s="7"/>
      <c r="R227" s="63"/>
    </row>
    <row r="228" spans="1:18" ht="15" customHeight="1" x14ac:dyDescent="0.25">
      <c r="A228" s="4">
        <f t="shared" si="43"/>
        <v>227</v>
      </c>
      <c r="B228" s="4"/>
      <c r="C228" s="9"/>
      <c r="D228" s="359"/>
      <c r="E228" s="478"/>
      <c r="F228" s="359"/>
      <c r="G228" s="478"/>
      <c r="H228" s="359"/>
      <c r="I228" s="478"/>
      <c r="J228" s="359"/>
      <c r="K228" s="478"/>
      <c r="L228" s="359"/>
      <c r="M228" s="478"/>
      <c r="N228" s="561"/>
      <c r="O228" s="340"/>
      <c r="P228" s="343"/>
      <c r="Q228" s="7"/>
      <c r="R228" s="63"/>
    </row>
    <row r="229" spans="1:18" ht="15" customHeight="1" x14ac:dyDescent="0.25">
      <c r="A229" s="4">
        <f t="shared" si="43"/>
        <v>228</v>
      </c>
      <c r="B229" s="4"/>
      <c r="C229" s="9"/>
      <c r="D229" s="359"/>
      <c r="E229" s="478"/>
      <c r="F229" s="359"/>
      <c r="G229" s="478"/>
      <c r="H229" s="359"/>
      <c r="I229" s="478"/>
      <c r="J229" s="359"/>
      <c r="K229" s="478"/>
      <c r="L229" s="359"/>
      <c r="M229" s="478"/>
      <c r="N229" s="561"/>
      <c r="O229" s="340"/>
      <c r="P229" s="343"/>
      <c r="Q229" s="7"/>
      <c r="R229" s="63"/>
    </row>
    <row r="230" spans="1:18" ht="15" customHeight="1" x14ac:dyDescent="0.25">
      <c r="A230" s="4">
        <f t="shared" si="43"/>
        <v>229</v>
      </c>
      <c r="B230" s="4"/>
      <c r="C230" s="9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340"/>
      <c r="P230" s="343"/>
      <c r="Q230" s="7"/>
      <c r="R230" s="63"/>
    </row>
    <row r="231" spans="1:18" ht="15" customHeight="1" x14ac:dyDescent="0.25">
      <c r="A231" s="4">
        <f t="shared" si="43"/>
        <v>230</v>
      </c>
      <c r="B231" s="4"/>
      <c r="C231" s="9"/>
      <c r="D231" s="359"/>
      <c r="E231" s="478"/>
      <c r="F231" s="359"/>
      <c r="G231" s="478"/>
      <c r="H231" s="359"/>
      <c r="I231" s="478"/>
      <c r="J231" s="359"/>
      <c r="K231" s="478"/>
      <c r="L231" s="359"/>
      <c r="M231" s="478"/>
      <c r="N231" s="561"/>
      <c r="O231" s="340"/>
      <c r="P231" s="343"/>
      <c r="Q231" s="7"/>
      <c r="R231" s="63"/>
    </row>
    <row r="232" spans="1:18" ht="15" customHeight="1" x14ac:dyDescent="0.25">
      <c r="A232" s="4">
        <f t="shared" ref="A232:A252" si="44">A231+1</f>
        <v>231</v>
      </c>
      <c r="B232" s="4"/>
      <c r="C232" s="9"/>
      <c r="D232" s="359"/>
      <c r="E232" s="478"/>
      <c r="F232" s="359"/>
      <c r="G232" s="478"/>
      <c r="H232" s="359"/>
      <c r="I232" s="478"/>
      <c r="J232" s="359"/>
      <c r="K232" s="478"/>
      <c r="L232" s="359"/>
      <c r="M232" s="478"/>
      <c r="N232" s="561"/>
      <c r="O232" s="340"/>
      <c r="P232" s="343"/>
      <c r="Q232" s="7"/>
      <c r="R232" s="63"/>
    </row>
    <row r="233" spans="1:18" ht="15" customHeight="1" x14ac:dyDescent="0.25">
      <c r="A233" s="4">
        <f t="shared" si="44"/>
        <v>232</v>
      </c>
      <c r="B233" s="4"/>
      <c r="C233" s="3"/>
      <c r="D233" s="359"/>
      <c r="E233" s="478"/>
      <c r="F233" s="359"/>
      <c r="G233" s="478"/>
      <c r="H233" s="359"/>
      <c r="I233" s="478"/>
      <c r="J233" s="359"/>
      <c r="K233" s="478"/>
      <c r="L233" s="359"/>
      <c r="M233" s="478"/>
      <c r="N233" s="561"/>
      <c r="O233" s="340"/>
      <c r="P233" s="12"/>
      <c r="Q233" s="7"/>
      <c r="R233" s="63"/>
    </row>
    <row r="234" spans="1:18" ht="15" customHeight="1" x14ac:dyDescent="0.25">
      <c r="A234" s="4">
        <f t="shared" si="44"/>
        <v>233</v>
      </c>
      <c r="B234" s="4"/>
      <c r="C234" s="9"/>
      <c r="D234" s="359"/>
      <c r="E234" s="478"/>
      <c r="F234" s="359"/>
      <c r="G234" s="478"/>
      <c r="H234" s="359"/>
      <c r="I234" s="478"/>
      <c r="J234" s="359"/>
      <c r="K234" s="478"/>
      <c r="L234" s="359"/>
      <c r="M234" s="478"/>
      <c r="N234" s="561"/>
      <c r="O234" s="340"/>
      <c r="P234" s="12"/>
      <c r="R234" s="63"/>
    </row>
    <row r="235" spans="1:18" ht="15" customHeight="1" x14ac:dyDescent="0.25">
      <c r="A235" s="4">
        <f t="shared" si="44"/>
        <v>234</v>
      </c>
      <c r="B235" s="4"/>
      <c r="C235" s="11"/>
      <c r="D235" s="359"/>
      <c r="E235" s="478"/>
      <c r="F235" s="359"/>
      <c r="G235" s="478"/>
      <c r="H235" s="359"/>
      <c r="I235" s="478"/>
      <c r="J235" s="359"/>
      <c r="K235" s="478"/>
      <c r="L235" s="359"/>
      <c r="M235" s="478"/>
      <c r="N235" s="561"/>
      <c r="O235" s="314"/>
      <c r="P235" s="12"/>
      <c r="R235" s="65"/>
    </row>
    <row r="236" spans="1:18" ht="15" customHeight="1" x14ac:dyDescent="0.25">
      <c r="A236" s="4">
        <f t="shared" si="44"/>
        <v>235</v>
      </c>
      <c r="B236" s="4"/>
      <c r="C236" s="9"/>
      <c r="D236" s="369"/>
      <c r="E236" s="481"/>
      <c r="F236" s="369"/>
      <c r="G236" s="481"/>
      <c r="H236" s="369"/>
      <c r="I236" s="481"/>
      <c r="J236" s="369"/>
      <c r="K236" s="481"/>
      <c r="L236" s="369"/>
      <c r="M236" s="481"/>
      <c r="N236" s="565"/>
      <c r="O236" s="314"/>
      <c r="P236" s="12"/>
      <c r="R236" s="63"/>
    </row>
    <row r="237" spans="1:18" ht="15" customHeight="1" x14ac:dyDescent="0.25">
      <c r="A237" s="4">
        <f t="shared" si="44"/>
        <v>236</v>
      </c>
      <c r="B237" s="4"/>
      <c r="C237" s="9"/>
      <c r="D237" s="359"/>
      <c r="E237" s="478"/>
      <c r="F237" s="359"/>
      <c r="G237" s="478"/>
      <c r="H237" s="359"/>
      <c r="I237" s="478"/>
      <c r="J237" s="359"/>
      <c r="K237" s="478"/>
      <c r="L237" s="359"/>
      <c r="M237" s="478"/>
      <c r="N237" s="561"/>
      <c r="O237" s="314"/>
      <c r="P237" s="12"/>
      <c r="R237" s="63"/>
    </row>
    <row r="238" spans="1:18" ht="15" customHeight="1" x14ac:dyDescent="0.25">
      <c r="A238" s="4">
        <f t="shared" si="44"/>
        <v>237</v>
      </c>
      <c r="B238" s="4"/>
      <c r="C238" s="8"/>
      <c r="D238" s="369"/>
      <c r="E238" s="481"/>
      <c r="F238" s="369"/>
      <c r="G238" s="481"/>
      <c r="H238" s="369"/>
      <c r="I238" s="481"/>
      <c r="J238" s="369"/>
      <c r="K238" s="481"/>
      <c r="L238" s="369"/>
      <c r="M238" s="481"/>
      <c r="N238" s="565"/>
      <c r="O238" s="314"/>
      <c r="P238" s="12"/>
      <c r="Q238" s="7"/>
      <c r="R238" s="63"/>
    </row>
    <row r="239" spans="1:18" ht="15" customHeight="1" x14ac:dyDescent="0.25">
      <c r="A239" s="4">
        <f t="shared" si="44"/>
        <v>238</v>
      </c>
      <c r="B239" s="4"/>
      <c r="C239" s="8"/>
      <c r="D239" s="359"/>
      <c r="E239" s="478"/>
      <c r="F239" s="359"/>
      <c r="G239" s="478"/>
      <c r="H239" s="359"/>
      <c r="I239" s="478"/>
      <c r="J239" s="359"/>
      <c r="K239" s="478"/>
      <c r="L239" s="359"/>
      <c r="M239" s="478"/>
      <c r="N239" s="561"/>
      <c r="O239" s="314"/>
      <c r="P239" s="12"/>
      <c r="Q239" s="7"/>
      <c r="R239" s="63"/>
    </row>
    <row r="240" spans="1:18" ht="15" customHeight="1" x14ac:dyDescent="0.25">
      <c r="A240" s="4">
        <f t="shared" si="44"/>
        <v>239</v>
      </c>
      <c r="B240" s="4"/>
      <c r="C240" s="8"/>
      <c r="D240" s="359"/>
      <c r="E240" s="478"/>
      <c r="F240" s="359"/>
      <c r="G240" s="478"/>
      <c r="H240" s="359"/>
      <c r="I240" s="478"/>
      <c r="J240" s="359"/>
      <c r="K240" s="478"/>
      <c r="L240" s="359"/>
      <c r="M240" s="478"/>
      <c r="N240" s="561"/>
      <c r="O240" s="314"/>
      <c r="P240" s="12"/>
      <c r="Q240" s="7"/>
      <c r="R240" s="63"/>
    </row>
    <row r="241" spans="1:18" ht="15" customHeight="1" x14ac:dyDescent="0.25">
      <c r="A241" s="4">
        <f t="shared" si="44"/>
        <v>240</v>
      </c>
      <c r="B241" s="4"/>
      <c r="C241" s="8"/>
      <c r="D241" s="359"/>
      <c r="E241" s="478"/>
      <c r="F241" s="359"/>
      <c r="G241" s="478"/>
      <c r="H241" s="359"/>
      <c r="I241" s="478"/>
      <c r="J241" s="359"/>
      <c r="K241" s="478"/>
      <c r="L241" s="359"/>
      <c r="M241" s="478"/>
      <c r="N241" s="561"/>
      <c r="O241" s="314"/>
      <c r="P241" s="12"/>
      <c r="Q241" s="7"/>
      <c r="R241" s="63"/>
    </row>
    <row r="242" spans="1:18" ht="15" customHeight="1" x14ac:dyDescent="0.25">
      <c r="A242" s="4">
        <f t="shared" si="44"/>
        <v>241</v>
      </c>
      <c r="B242" s="4"/>
      <c r="C242" s="9"/>
      <c r="D242" s="369"/>
      <c r="E242" s="481"/>
      <c r="F242" s="369"/>
      <c r="G242" s="481"/>
      <c r="H242" s="369"/>
      <c r="I242" s="481"/>
      <c r="J242" s="369"/>
      <c r="K242" s="481"/>
      <c r="L242" s="369"/>
      <c r="M242" s="481"/>
      <c r="N242" s="565"/>
      <c r="O242" s="314"/>
      <c r="P242" s="12"/>
      <c r="Q242" s="7"/>
      <c r="R242" s="63"/>
    </row>
    <row r="243" spans="1:18" ht="15" customHeight="1" x14ac:dyDescent="0.25">
      <c r="A243" s="4">
        <f t="shared" si="44"/>
        <v>242</v>
      </c>
      <c r="B243" s="4"/>
      <c r="C243" s="9"/>
      <c r="D243" s="369"/>
      <c r="E243" s="481"/>
      <c r="F243" s="369"/>
      <c r="G243" s="481"/>
      <c r="H243" s="369"/>
      <c r="I243" s="481"/>
      <c r="J243" s="369"/>
      <c r="K243" s="481"/>
      <c r="L243" s="369"/>
      <c r="M243" s="481"/>
      <c r="N243" s="565"/>
      <c r="O243" s="314"/>
      <c r="P243" s="12"/>
      <c r="Q243" s="7"/>
      <c r="R243" s="63"/>
    </row>
    <row r="244" spans="1:18" ht="15" customHeight="1" x14ac:dyDescent="0.25">
      <c r="A244" s="4">
        <f t="shared" si="44"/>
        <v>243</v>
      </c>
      <c r="B244" s="4"/>
      <c r="C244" s="8"/>
      <c r="D244" s="369"/>
      <c r="E244" s="481"/>
      <c r="F244" s="369"/>
      <c r="G244" s="481"/>
      <c r="H244" s="369"/>
      <c r="I244" s="481"/>
      <c r="J244" s="369"/>
      <c r="K244" s="481"/>
      <c r="L244" s="369"/>
      <c r="M244" s="481"/>
      <c r="N244" s="565"/>
      <c r="O244" s="314"/>
      <c r="P244" s="12"/>
      <c r="Q244" s="7"/>
      <c r="R244" s="63"/>
    </row>
    <row r="245" spans="1:18" ht="15" customHeight="1" x14ac:dyDescent="0.25">
      <c r="A245" s="4">
        <f t="shared" si="44"/>
        <v>244</v>
      </c>
      <c r="B245" s="4"/>
      <c r="C245" s="8"/>
      <c r="D245" s="359"/>
      <c r="E245" s="478"/>
      <c r="F245" s="359"/>
      <c r="G245" s="478"/>
      <c r="H245" s="359"/>
      <c r="I245" s="478"/>
      <c r="J245" s="359"/>
      <c r="K245" s="478"/>
      <c r="L245" s="359"/>
      <c r="M245" s="478"/>
      <c r="N245" s="561"/>
      <c r="O245" s="314"/>
      <c r="P245" s="12"/>
      <c r="Q245" s="7"/>
      <c r="R245" s="63"/>
    </row>
    <row r="246" spans="1:18" ht="15" customHeight="1" x14ac:dyDescent="0.25">
      <c r="A246" s="4">
        <f t="shared" si="44"/>
        <v>245</v>
      </c>
      <c r="B246" s="4"/>
      <c r="C246" s="9"/>
      <c r="D246" s="369"/>
      <c r="E246" s="481"/>
      <c r="F246" s="369"/>
      <c r="G246" s="481"/>
      <c r="H246" s="369"/>
      <c r="I246" s="481"/>
      <c r="J246" s="369"/>
      <c r="K246" s="481"/>
      <c r="L246" s="369"/>
      <c r="M246" s="481"/>
      <c r="N246" s="565"/>
      <c r="O246" s="314"/>
      <c r="P246" s="12"/>
      <c r="Q246" s="7"/>
      <c r="R246" s="63"/>
    </row>
    <row r="247" spans="1:18" ht="15" customHeight="1" x14ac:dyDescent="0.25">
      <c r="A247" s="4">
        <f t="shared" si="44"/>
        <v>246</v>
      </c>
      <c r="B247" s="4"/>
      <c r="C247" s="9"/>
      <c r="D247" s="369"/>
      <c r="E247" s="481"/>
      <c r="F247" s="369"/>
      <c r="G247" s="481"/>
      <c r="H247" s="369"/>
      <c r="I247" s="481"/>
      <c r="J247" s="369"/>
      <c r="K247" s="481"/>
      <c r="L247" s="369"/>
      <c r="M247" s="481"/>
      <c r="N247" s="565"/>
      <c r="O247" s="314"/>
      <c r="P247" s="12"/>
      <c r="Q247" s="7"/>
      <c r="R247" s="64"/>
    </row>
    <row r="248" spans="1:18" ht="15" customHeight="1" x14ac:dyDescent="0.25">
      <c r="A248" s="4">
        <f t="shared" si="44"/>
        <v>247</v>
      </c>
      <c r="B248" s="4"/>
      <c r="C248" s="9"/>
      <c r="D248" s="369"/>
      <c r="E248" s="481"/>
      <c r="F248" s="369"/>
      <c r="G248" s="481"/>
      <c r="H248" s="369"/>
      <c r="I248" s="481"/>
      <c r="J248" s="369"/>
      <c r="K248" s="481"/>
      <c r="L248" s="369"/>
      <c r="M248" s="481"/>
      <c r="N248" s="565"/>
      <c r="O248" s="314"/>
      <c r="P248" s="12"/>
      <c r="Q248" s="7"/>
      <c r="R248" s="63"/>
    </row>
    <row r="249" spans="1:18" ht="15" customHeight="1" x14ac:dyDescent="0.25">
      <c r="A249" s="4">
        <f t="shared" si="44"/>
        <v>248</v>
      </c>
      <c r="B249" s="4"/>
      <c r="C249" s="9"/>
      <c r="D249" s="369"/>
      <c r="E249" s="481"/>
      <c r="F249" s="369"/>
      <c r="G249" s="481"/>
      <c r="H249" s="369"/>
      <c r="I249" s="481"/>
      <c r="J249" s="369"/>
      <c r="K249" s="481"/>
      <c r="L249" s="369"/>
      <c r="M249" s="481"/>
      <c r="N249" s="565"/>
      <c r="O249" s="3"/>
      <c r="P249" s="12"/>
      <c r="Q249" s="7"/>
      <c r="R249" s="63"/>
    </row>
    <row r="250" spans="1:18" ht="15" customHeight="1" x14ac:dyDescent="0.25">
      <c r="A250" s="4">
        <f t="shared" si="44"/>
        <v>249</v>
      </c>
      <c r="B250" s="4"/>
      <c r="C250" s="9"/>
      <c r="D250" s="359"/>
      <c r="E250" s="478"/>
      <c r="F250" s="359"/>
      <c r="G250" s="478"/>
      <c r="H250" s="359"/>
      <c r="I250" s="478"/>
      <c r="J250" s="359"/>
      <c r="K250" s="478"/>
      <c r="L250" s="359"/>
      <c r="M250" s="478"/>
      <c r="N250" s="561"/>
      <c r="O250" s="3"/>
      <c r="P250" s="12"/>
      <c r="Q250" s="7"/>
      <c r="R250" s="63"/>
    </row>
    <row r="251" spans="1:18" ht="15" customHeight="1" x14ac:dyDescent="0.25">
      <c r="A251" s="4">
        <f t="shared" si="44"/>
        <v>250</v>
      </c>
      <c r="B251" s="4"/>
      <c r="C251" s="8"/>
      <c r="D251" s="369"/>
      <c r="E251" s="481"/>
      <c r="F251" s="369"/>
      <c r="G251" s="481"/>
      <c r="H251" s="369"/>
      <c r="I251" s="481"/>
      <c r="J251" s="369"/>
      <c r="K251" s="481"/>
      <c r="L251" s="369"/>
      <c r="M251" s="481"/>
      <c r="N251" s="565"/>
      <c r="O251" s="3"/>
      <c r="P251" s="12"/>
      <c r="Q251" s="7"/>
      <c r="R251" s="63"/>
    </row>
    <row r="252" spans="1:18" ht="15" customHeight="1" x14ac:dyDescent="0.25">
      <c r="A252" s="4">
        <f t="shared" si="44"/>
        <v>251</v>
      </c>
      <c r="B252" s="4"/>
      <c r="C252" s="9"/>
      <c r="D252" s="359"/>
      <c r="E252" s="478"/>
      <c r="F252" s="359"/>
      <c r="G252" s="478"/>
      <c r="H252" s="359"/>
      <c r="I252" s="478"/>
      <c r="J252" s="359"/>
      <c r="K252" s="478"/>
      <c r="L252" s="359"/>
      <c r="M252" s="478"/>
      <c r="N252" s="561"/>
      <c r="O252" s="3"/>
      <c r="P252" s="12"/>
      <c r="Q252" s="7"/>
      <c r="R252" s="63"/>
    </row>
    <row r="253" spans="1:18" x14ac:dyDescent="0.25">
      <c r="A253" s="4"/>
      <c r="B253" s="4"/>
      <c r="C253" s="9"/>
      <c r="D253" s="369"/>
      <c r="E253" s="481"/>
      <c r="F253" s="369"/>
      <c r="G253" s="481"/>
      <c r="H253" s="369"/>
      <c r="I253" s="481"/>
      <c r="J253" s="369"/>
      <c r="K253" s="481"/>
      <c r="L253" s="369"/>
      <c r="M253" s="481"/>
      <c r="N253" s="565"/>
      <c r="O253" s="3"/>
      <c r="P253" s="12"/>
      <c r="Q253" s="7"/>
      <c r="R253" s="63"/>
    </row>
    <row r="254" spans="1:18" x14ac:dyDescent="0.25">
      <c r="A254" s="4"/>
      <c r="B254" s="4"/>
      <c r="C254" s="9"/>
      <c r="D254" s="369"/>
      <c r="E254" s="481"/>
      <c r="F254" s="369"/>
      <c r="G254" s="481"/>
      <c r="H254" s="369"/>
      <c r="I254" s="481"/>
      <c r="J254" s="369"/>
      <c r="K254" s="481"/>
      <c r="L254" s="369"/>
      <c r="M254" s="481"/>
      <c r="N254" s="565"/>
      <c r="O254" s="3"/>
      <c r="P254" s="12"/>
      <c r="Q254" s="7"/>
      <c r="R254" s="63"/>
    </row>
    <row r="255" spans="1:18" x14ac:dyDescent="0.25">
      <c r="A255" s="13">
        <v>1</v>
      </c>
      <c r="B255" s="4"/>
      <c r="C255" s="9"/>
      <c r="D255" s="369"/>
      <c r="E255" s="481"/>
      <c r="F255" s="369"/>
      <c r="G255" s="481"/>
      <c r="H255" s="369"/>
      <c r="I255" s="481"/>
      <c r="J255" s="369"/>
      <c r="K255" s="481"/>
      <c r="L255" s="369"/>
      <c r="M255" s="481"/>
      <c r="N255" s="565"/>
      <c r="O255" s="3"/>
      <c r="P255" s="12"/>
      <c r="Q255" s="7"/>
      <c r="R255" s="63"/>
    </row>
    <row r="256" spans="1:18" x14ac:dyDescent="0.25">
      <c r="A256" s="13">
        <f t="shared" ref="A256:A319" si="45">A255+1</f>
        <v>2</v>
      </c>
      <c r="B256" s="4"/>
      <c r="C256" s="9"/>
      <c r="D256" s="369"/>
      <c r="E256" s="481"/>
      <c r="F256" s="369"/>
      <c r="G256" s="481"/>
      <c r="H256" s="369"/>
      <c r="I256" s="481"/>
      <c r="J256" s="369"/>
      <c r="K256" s="481"/>
      <c r="L256" s="369"/>
      <c r="M256" s="481"/>
      <c r="N256" s="565"/>
      <c r="O256" s="3"/>
      <c r="P256" s="12"/>
      <c r="Q256" s="7"/>
      <c r="R256" s="63"/>
    </row>
    <row r="257" spans="1:18" x14ac:dyDescent="0.25">
      <c r="A257" s="13">
        <f t="shared" si="45"/>
        <v>3</v>
      </c>
      <c r="B257" s="4"/>
      <c r="C257" s="9"/>
      <c r="D257" s="369"/>
      <c r="E257" s="481"/>
      <c r="F257" s="369"/>
      <c r="G257" s="481"/>
      <c r="H257" s="369"/>
      <c r="I257" s="481"/>
      <c r="J257" s="369"/>
      <c r="K257" s="481"/>
      <c r="L257" s="369"/>
      <c r="M257" s="481"/>
      <c r="N257" s="565"/>
      <c r="O257" s="3"/>
      <c r="P257" s="12"/>
      <c r="Q257" s="7"/>
      <c r="R257" s="63"/>
    </row>
    <row r="258" spans="1:18" x14ac:dyDescent="0.25">
      <c r="A258" s="13">
        <f t="shared" si="45"/>
        <v>4</v>
      </c>
      <c r="B258" s="4"/>
      <c r="C258" s="9"/>
      <c r="D258" s="359"/>
      <c r="E258" s="478"/>
      <c r="F258" s="359"/>
      <c r="G258" s="478"/>
      <c r="H258" s="359"/>
      <c r="I258" s="478"/>
      <c r="J258" s="359"/>
      <c r="K258" s="478"/>
      <c r="L258" s="359"/>
      <c r="M258" s="478"/>
      <c r="N258" s="561"/>
      <c r="O258" s="3"/>
      <c r="P258" s="12"/>
      <c r="Q258" s="7"/>
      <c r="R258" s="63"/>
    </row>
    <row r="259" spans="1:18" x14ac:dyDescent="0.25">
      <c r="A259" s="13">
        <f t="shared" si="45"/>
        <v>5</v>
      </c>
      <c r="B259" s="4"/>
      <c r="C259" s="9"/>
      <c r="D259" s="369"/>
      <c r="E259" s="481"/>
      <c r="F259" s="369"/>
      <c r="G259" s="481"/>
      <c r="H259" s="369"/>
      <c r="I259" s="481"/>
      <c r="J259" s="369"/>
      <c r="K259" s="481"/>
      <c r="L259" s="369"/>
      <c r="M259" s="481"/>
      <c r="N259" s="565"/>
      <c r="O259" s="3"/>
      <c r="P259" s="12"/>
      <c r="Q259" s="7"/>
      <c r="R259" s="63"/>
    </row>
    <row r="260" spans="1:18" x14ac:dyDescent="0.25">
      <c r="A260" s="13">
        <f t="shared" si="45"/>
        <v>6</v>
      </c>
      <c r="B260" s="4"/>
      <c r="C260" s="9"/>
      <c r="D260" s="369"/>
      <c r="E260" s="481"/>
      <c r="F260" s="369"/>
      <c r="G260" s="481"/>
      <c r="H260" s="369"/>
      <c r="I260" s="481"/>
      <c r="J260" s="369"/>
      <c r="K260" s="481"/>
      <c r="L260" s="369"/>
      <c r="M260" s="481"/>
      <c r="N260" s="565"/>
      <c r="O260" s="3"/>
      <c r="P260" s="12"/>
      <c r="Q260" s="7"/>
      <c r="R260" s="63"/>
    </row>
    <row r="261" spans="1:18" x14ac:dyDescent="0.25">
      <c r="A261" s="13">
        <f t="shared" si="45"/>
        <v>7</v>
      </c>
      <c r="B261" s="4"/>
      <c r="C261" s="9"/>
      <c r="D261" s="369"/>
      <c r="E261" s="481"/>
      <c r="F261" s="369"/>
      <c r="G261" s="481"/>
      <c r="H261" s="369"/>
      <c r="I261" s="481"/>
      <c r="J261" s="369"/>
      <c r="K261" s="481"/>
      <c r="L261" s="369"/>
      <c r="M261" s="481"/>
      <c r="N261" s="565"/>
      <c r="O261" s="3"/>
      <c r="P261" s="12"/>
      <c r="Q261" s="7"/>
      <c r="R261" s="63"/>
    </row>
    <row r="262" spans="1:18" x14ac:dyDescent="0.25">
      <c r="A262" s="13">
        <f t="shared" si="45"/>
        <v>8</v>
      </c>
      <c r="B262" s="4"/>
      <c r="C262" s="8"/>
      <c r="D262" s="369"/>
      <c r="E262" s="481"/>
      <c r="F262" s="369"/>
      <c r="G262" s="481"/>
      <c r="H262" s="369"/>
      <c r="I262" s="481"/>
      <c r="J262" s="369"/>
      <c r="K262" s="481"/>
      <c r="L262" s="369"/>
      <c r="M262" s="481"/>
      <c r="N262" s="565"/>
      <c r="O262" s="3"/>
      <c r="P262" s="12"/>
      <c r="Q262" s="7"/>
      <c r="R262" s="63"/>
    </row>
    <row r="263" spans="1:18" x14ac:dyDescent="0.25">
      <c r="A263" s="13">
        <f t="shared" si="45"/>
        <v>9</v>
      </c>
      <c r="B263" s="4"/>
      <c r="C263" s="8"/>
      <c r="D263" s="359"/>
      <c r="E263" s="478"/>
      <c r="F263" s="359"/>
      <c r="G263" s="478"/>
      <c r="H263" s="359"/>
      <c r="I263" s="478"/>
      <c r="J263" s="359"/>
      <c r="K263" s="478"/>
      <c r="L263" s="359"/>
      <c r="M263" s="478"/>
      <c r="N263" s="561"/>
      <c r="O263" s="3"/>
      <c r="P263" s="12"/>
      <c r="Q263" s="7"/>
      <c r="R263" s="63"/>
    </row>
    <row r="264" spans="1:18" x14ac:dyDescent="0.25">
      <c r="A264" s="13">
        <f t="shared" si="45"/>
        <v>10</v>
      </c>
      <c r="B264" s="4"/>
      <c r="C264" s="8"/>
      <c r="D264" s="369"/>
      <c r="E264" s="481"/>
      <c r="F264" s="369"/>
      <c r="G264" s="481"/>
      <c r="H264" s="369"/>
      <c r="I264" s="481"/>
      <c r="J264" s="369"/>
      <c r="K264" s="481"/>
      <c r="L264" s="369"/>
      <c r="M264" s="481"/>
      <c r="N264" s="565"/>
      <c r="O264" s="3"/>
      <c r="P264" s="12"/>
      <c r="Q264" s="7"/>
      <c r="R264" s="63"/>
    </row>
    <row r="265" spans="1:18" x14ac:dyDescent="0.25">
      <c r="A265" s="13">
        <f t="shared" si="45"/>
        <v>11</v>
      </c>
      <c r="B265" s="4"/>
      <c r="C265" s="9"/>
      <c r="D265" s="369"/>
      <c r="E265" s="481"/>
      <c r="F265" s="369"/>
      <c r="G265" s="481"/>
      <c r="H265" s="369"/>
      <c r="I265" s="481"/>
      <c r="J265" s="369"/>
      <c r="K265" s="481"/>
      <c r="L265" s="369"/>
      <c r="M265" s="481"/>
      <c r="N265" s="565"/>
      <c r="O265" s="3"/>
      <c r="P265" s="12"/>
      <c r="Q265" s="7"/>
      <c r="R265" s="63"/>
    </row>
    <row r="266" spans="1:18" x14ac:dyDescent="0.25">
      <c r="A266" s="13">
        <f t="shared" si="45"/>
        <v>12</v>
      </c>
      <c r="B266" s="4"/>
      <c r="C266" s="9"/>
      <c r="D266" s="359"/>
      <c r="E266" s="478"/>
      <c r="F266" s="359"/>
      <c r="G266" s="478"/>
      <c r="H266" s="359"/>
      <c r="I266" s="478"/>
      <c r="J266" s="359"/>
      <c r="K266" s="478"/>
      <c r="L266" s="359"/>
      <c r="M266" s="478"/>
      <c r="N266" s="561"/>
      <c r="O266" s="3"/>
      <c r="P266" s="12"/>
      <c r="Q266" s="7"/>
      <c r="R266" s="63"/>
    </row>
    <row r="267" spans="1:18" x14ac:dyDescent="0.25">
      <c r="A267" s="13">
        <f t="shared" si="45"/>
        <v>13</v>
      </c>
      <c r="B267" s="4"/>
      <c r="C267" s="8"/>
      <c r="D267" s="369"/>
      <c r="E267" s="481"/>
      <c r="F267" s="369"/>
      <c r="G267" s="481"/>
      <c r="H267" s="369"/>
      <c r="I267" s="481"/>
      <c r="J267" s="369"/>
      <c r="K267" s="481"/>
      <c r="L267" s="369"/>
      <c r="M267" s="481"/>
      <c r="N267" s="565"/>
      <c r="O267" s="3"/>
      <c r="P267" s="12"/>
      <c r="Q267" s="7"/>
      <c r="R267" s="63"/>
    </row>
    <row r="268" spans="1:18" x14ac:dyDescent="0.25">
      <c r="A268" s="13">
        <f t="shared" si="45"/>
        <v>14</v>
      </c>
      <c r="B268" s="4"/>
      <c r="C268" s="9"/>
      <c r="D268" s="369"/>
      <c r="E268" s="481"/>
      <c r="F268" s="369"/>
      <c r="G268" s="481"/>
      <c r="H268" s="369"/>
      <c r="I268" s="481"/>
      <c r="J268" s="369"/>
      <c r="K268" s="481"/>
      <c r="L268" s="369"/>
      <c r="M268" s="481"/>
      <c r="N268" s="565"/>
      <c r="O268" s="3"/>
      <c r="P268" s="12"/>
      <c r="Q268" s="7"/>
      <c r="R268" s="63"/>
    </row>
    <row r="269" spans="1:18" x14ac:dyDescent="0.25">
      <c r="A269" s="13">
        <f t="shared" si="45"/>
        <v>15</v>
      </c>
      <c r="B269" s="4"/>
      <c r="C269" s="9"/>
      <c r="D269" s="359"/>
      <c r="E269" s="478"/>
      <c r="F269" s="359"/>
      <c r="G269" s="478"/>
      <c r="H269" s="359"/>
      <c r="I269" s="478"/>
      <c r="J269" s="359"/>
      <c r="K269" s="478"/>
      <c r="L269" s="359"/>
      <c r="M269" s="478"/>
      <c r="N269" s="561"/>
      <c r="O269" s="3"/>
      <c r="P269" s="12"/>
      <c r="Q269" s="7"/>
      <c r="R269" s="63"/>
    </row>
    <row r="270" spans="1:18" x14ac:dyDescent="0.25">
      <c r="A270" s="13">
        <f t="shared" si="45"/>
        <v>16</v>
      </c>
      <c r="B270" s="4"/>
      <c r="C270" s="9"/>
      <c r="D270" s="369"/>
      <c r="E270" s="481"/>
      <c r="F270" s="369"/>
      <c r="G270" s="481"/>
      <c r="H270" s="369"/>
      <c r="I270" s="481"/>
      <c r="J270" s="369"/>
      <c r="K270" s="481"/>
      <c r="L270" s="369"/>
      <c r="M270" s="481"/>
      <c r="N270" s="565"/>
      <c r="O270" s="3"/>
      <c r="P270" s="12"/>
      <c r="Q270" s="7"/>
      <c r="R270" s="63"/>
    </row>
    <row r="271" spans="1:18" x14ac:dyDescent="0.25">
      <c r="A271" s="13">
        <f t="shared" si="45"/>
        <v>17</v>
      </c>
      <c r="B271" s="4"/>
      <c r="C271" s="9"/>
      <c r="D271" s="369"/>
      <c r="E271" s="481"/>
      <c r="F271" s="369"/>
      <c r="G271" s="481"/>
      <c r="H271" s="369"/>
      <c r="I271" s="481"/>
      <c r="J271" s="369"/>
      <c r="K271" s="481"/>
      <c r="L271" s="369"/>
      <c r="M271" s="481"/>
      <c r="N271" s="565"/>
      <c r="O271" s="3"/>
      <c r="P271" s="12"/>
      <c r="Q271" s="7"/>
      <c r="R271" s="63"/>
    </row>
    <row r="272" spans="1:18" x14ac:dyDescent="0.25">
      <c r="A272" s="13">
        <f t="shared" si="45"/>
        <v>18</v>
      </c>
      <c r="B272" s="4"/>
      <c r="C272" s="9"/>
      <c r="D272" s="369"/>
      <c r="E272" s="481"/>
      <c r="F272" s="369"/>
      <c r="G272" s="481"/>
      <c r="H272" s="369"/>
      <c r="I272" s="481"/>
      <c r="J272" s="369"/>
      <c r="K272" s="481"/>
      <c r="L272" s="369"/>
      <c r="M272" s="481"/>
      <c r="N272" s="565"/>
      <c r="O272" s="3"/>
      <c r="P272" s="12"/>
      <c r="Q272" s="7"/>
      <c r="R272" s="63"/>
    </row>
    <row r="273" spans="1:18" x14ac:dyDescent="0.25">
      <c r="A273" s="13">
        <f t="shared" si="45"/>
        <v>19</v>
      </c>
      <c r="B273" s="4"/>
      <c r="C273" s="8"/>
      <c r="D273" s="369"/>
      <c r="E273" s="481"/>
      <c r="F273" s="369"/>
      <c r="G273" s="481"/>
      <c r="H273" s="369"/>
      <c r="I273" s="481"/>
      <c r="J273" s="369"/>
      <c r="K273" s="481"/>
      <c r="L273" s="369"/>
      <c r="M273" s="481"/>
      <c r="N273" s="565"/>
      <c r="O273" s="3"/>
      <c r="P273" s="12"/>
      <c r="Q273" s="7"/>
      <c r="R273" s="63"/>
    </row>
    <row r="274" spans="1:18" x14ac:dyDescent="0.25">
      <c r="A274" s="13">
        <f t="shared" si="45"/>
        <v>20</v>
      </c>
      <c r="B274" s="4"/>
      <c r="C274" s="9"/>
      <c r="D274" s="359"/>
      <c r="E274" s="478"/>
      <c r="F274" s="359"/>
      <c r="G274" s="478"/>
      <c r="H274" s="359"/>
      <c r="I274" s="478"/>
      <c r="J274" s="359"/>
      <c r="K274" s="478"/>
      <c r="L274" s="359"/>
      <c r="M274" s="478"/>
      <c r="N274" s="561"/>
      <c r="O274" s="3"/>
      <c r="P274" s="12"/>
      <c r="Q274" s="7"/>
      <c r="R274" s="63"/>
    </row>
    <row r="275" spans="1:18" x14ac:dyDescent="0.25">
      <c r="A275" s="13">
        <f t="shared" si="45"/>
        <v>21</v>
      </c>
      <c r="B275" s="4"/>
      <c r="C275" s="9"/>
      <c r="D275" s="369"/>
      <c r="E275" s="481"/>
      <c r="F275" s="369"/>
      <c r="G275" s="481"/>
      <c r="H275" s="369"/>
      <c r="I275" s="481"/>
      <c r="J275" s="369"/>
      <c r="K275" s="481"/>
      <c r="L275" s="369"/>
      <c r="M275" s="481"/>
      <c r="N275" s="565"/>
      <c r="O275" s="3"/>
      <c r="P275" s="12"/>
      <c r="Q275" s="7"/>
      <c r="R275" s="63"/>
    </row>
    <row r="276" spans="1:18" x14ac:dyDescent="0.25">
      <c r="A276" s="13">
        <f t="shared" si="45"/>
        <v>22</v>
      </c>
      <c r="B276" s="4"/>
      <c r="C276" s="9"/>
      <c r="D276" s="369"/>
      <c r="E276" s="481"/>
      <c r="F276" s="369"/>
      <c r="G276" s="481"/>
      <c r="H276" s="369"/>
      <c r="I276" s="481"/>
      <c r="J276" s="369"/>
      <c r="K276" s="481"/>
      <c r="L276" s="369"/>
      <c r="M276" s="481"/>
      <c r="N276" s="565"/>
      <c r="O276" s="3"/>
      <c r="P276" s="12"/>
      <c r="Q276" s="7"/>
      <c r="R276" s="63"/>
    </row>
    <row r="277" spans="1:18" x14ac:dyDescent="0.25">
      <c r="A277" s="13">
        <f t="shared" si="45"/>
        <v>23</v>
      </c>
      <c r="B277" s="4"/>
      <c r="C277" s="9"/>
      <c r="D277" s="369"/>
      <c r="E277" s="481"/>
      <c r="F277" s="369"/>
      <c r="G277" s="481"/>
      <c r="H277" s="369"/>
      <c r="I277" s="481"/>
      <c r="J277" s="369"/>
      <c r="K277" s="481"/>
      <c r="L277" s="369"/>
      <c r="M277" s="481"/>
      <c r="N277" s="565"/>
      <c r="O277" s="3"/>
      <c r="P277" s="12"/>
      <c r="Q277" s="7"/>
      <c r="R277" s="63"/>
    </row>
    <row r="278" spans="1:18" x14ac:dyDescent="0.25">
      <c r="A278" s="13">
        <f t="shared" si="45"/>
        <v>24</v>
      </c>
      <c r="B278" s="4"/>
      <c r="C278" s="9"/>
      <c r="D278" s="369"/>
      <c r="E278" s="481"/>
      <c r="F278" s="369"/>
      <c r="G278" s="481"/>
      <c r="H278" s="369"/>
      <c r="I278" s="481"/>
      <c r="J278" s="369"/>
      <c r="K278" s="481"/>
      <c r="L278" s="369"/>
      <c r="M278" s="481"/>
      <c r="N278" s="565"/>
      <c r="O278" s="3"/>
      <c r="P278" s="12"/>
      <c r="Q278" s="7"/>
      <c r="R278" s="63"/>
    </row>
    <row r="279" spans="1:18" x14ac:dyDescent="0.25">
      <c r="A279" s="13">
        <f t="shared" si="45"/>
        <v>25</v>
      </c>
      <c r="B279" s="4"/>
      <c r="C279" s="9"/>
      <c r="D279" s="359"/>
      <c r="E279" s="478"/>
      <c r="F279" s="359"/>
      <c r="G279" s="478"/>
      <c r="H279" s="359"/>
      <c r="I279" s="478"/>
      <c r="J279" s="359"/>
      <c r="K279" s="478"/>
      <c r="L279" s="359"/>
      <c r="M279" s="478"/>
      <c r="N279" s="561"/>
      <c r="O279" s="3"/>
      <c r="P279" s="12"/>
      <c r="Q279" s="7"/>
      <c r="R279" s="63"/>
    </row>
    <row r="280" spans="1:18" x14ac:dyDescent="0.25">
      <c r="A280" s="13">
        <f t="shared" si="45"/>
        <v>26</v>
      </c>
      <c r="B280" s="4"/>
      <c r="C280" s="9"/>
      <c r="D280" s="369"/>
      <c r="E280" s="481"/>
      <c r="F280" s="369"/>
      <c r="G280" s="481"/>
      <c r="H280" s="369"/>
      <c r="I280" s="481"/>
      <c r="J280" s="369"/>
      <c r="K280" s="481"/>
      <c r="L280" s="369"/>
      <c r="M280" s="481"/>
      <c r="N280" s="565"/>
      <c r="O280" s="3"/>
      <c r="P280" s="12"/>
      <c r="Q280" s="7"/>
      <c r="R280" s="63"/>
    </row>
    <row r="281" spans="1:18" x14ac:dyDescent="0.25">
      <c r="A281" s="13">
        <f t="shared" si="45"/>
        <v>27</v>
      </c>
      <c r="B281" s="4"/>
      <c r="C281" s="9"/>
      <c r="D281" s="369"/>
      <c r="E281" s="481"/>
      <c r="F281" s="369"/>
      <c r="G281" s="481"/>
      <c r="H281" s="369"/>
      <c r="I281" s="481"/>
      <c r="J281" s="369"/>
      <c r="K281" s="481"/>
      <c r="L281" s="369"/>
      <c r="M281" s="481"/>
      <c r="N281" s="565"/>
      <c r="O281" s="3"/>
      <c r="P281" s="12"/>
      <c r="Q281" s="7"/>
      <c r="R281" s="63"/>
    </row>
    <row r="282" spans="1:18" x14ac:dyDescent="0.25">
      <c r="A282" s="13">
        <f t="shared" si="45"/>
        <v>28</v>
      </c>
      <c r="B282" s="4"/>
      <c r="C282" s="9"/>
      <c r="D282" s="359"/>
      <c r="E282" s="478"/>
      <c r="F282" s="359"/>
      <c r="G282" s="478"/>
      <c r="H282" s="359"/>
      <c r="I282" s="478"/>
      <c r="J282" s="359"/>
      <c r="K282" s="478"/>
      <c r="L282" s="359"/>
      <c r="M282" s="478"/>
      <c r="N282" s="561"/>
      <c r="O282" s="3"/>
      <c r="P282" s="12"/>
      <c r="Q282" s="7"/>
      <c r="R282" s="63"/>
    </row>
    <row r="283" spans="1:18" x14ac:dyDescent="0.25">
      <c r="A283" s="13">
        <f t="shared" si="45"/>
        <v>29</v>
      </c>
      <c r="B283" s="4"/>
      <c r="C283" s="8"/>
      <c r="D283" s="369"/>
      <c r="E283" s="481"/>
      <c r="F283" s="369"/>
      <c r="G283" s="481"/>
      <c r="H283" s="369"/>
      <c r="I283" s="481"/>
      <c r="J283" s="369"/>
      <c r="K283" s="481"/>
      <c r="L283" s="369"/>
      <c r="M283" s="481"/>
      <c r="N283" s="565"/>
      <c r="O283" s="3"/>
      <c r="P283" s="12"/>
      <c r="Q283" s="7"/>
      <c r="R283" s="63"/>
    </row>
    <row r="284" spans="1:18" x14ac:dyDescent="0.25">
      <c r="A284" s="13">
        <f t="shared" si="45"/>
        <v>30</v>
      </c>
      <c r="B284" s="4"/>
      <c r="C284" s="9"/>
      <c r="D284" s="369"/>
      <c r="E284" s="481"/>
      <c r="F284" s="369"/>
      <c r="G284" s="481"/>
      <c r="H284" s="369"/>
      <c r="I284" s="481"/>
      <c r="J284" s="369"/>
      <c r="K284" s="481"/>
      <c r="L284" s="369"/>
      <c r="M284" s="481"/>
      <c r="N284" s="565"/>
      <c r="O284" s="3"/>
      <c r="P284" s="12"/>
      <c r="Q284" s="7"/>
      <c r="R284" s="63"/>
    </row>
    <row r="285" spans="1:18" x14ac:dyDescent="0.25">
      <c r="A285" s="13">
        <f t="shared" si="45"/>
        <v>31</v>
      </c>
      <c r="B285" s="4"/>
      <c r="C285" s="9"/>
      <c r="D285" s="359"/>
      <c r="E285" s="478"/>
      <c r="F285" s="359"/>
      <c r="G285" s="478"/>
      <c r="H285" s="359"/>
      <c r="I285" s="478"/>
      <c r="J285" s="359"/>
      <c r="K285" s="478"/>
      <c r="L285" s="359"/>
      <c r="M285" s="478"/>
      <c r="N285" s="561"/>
      <c r="O285" s="3"/>
      <c r="P285" s="12"/>
      <c r="Q285" s="7"/>
      <c r="R285" s="63"/>
    </row>
    <row r="286" spans="1:18" x14ac:dyDescent="0.25">
      <c r="A286" s="13">
        <f t="shared" si="45"/>
        <v>32</v>
      </c>
      <c r="B286" s="4"/>
      <c r="C286" s="8"/>
      <c r="D286" s="369"/>
      <c r="E286" s="481"/>
      <c r="F286" s="369"/>
      <c r="G286" s="481"/>
      <c r="H286" s="369"/>
      <c r="I286" s="481"/>
      <c r="J286" s="369"/>
      <c r="K286" s="481"/>
      <c r="L286" s="369"/>
      <c r="M286" s="481"/>
      <c r="N286" s="565"/>
      <c r="O286" s="3"/>
      <c r="P286" s="12"/>
      <c r="Q286" s="7"/>
      <c r="R286" s="64"/>
    </row>
    <row r="287" spans="1:18" x14ac:dyDescent="0.25">
      <c r="A287" s="13">
        <f t="shared" si="45"/>
        <v>33</v>
      </c>
      <c r="B287" s="4"/>
      <c r="C287" s="8"/>
      <c r="D287" s="369"/>
      <c r="E287" s="481"/>
      <c r="F287" s="369"/>
      <c r="G287" s="481"/>
      <c r="H287" s="369"/>
      <c r="I287" s="481"/>
      <c r="J287" s="369"/>
      <c r="K287" s="481"/>
      <c r="L287" s="369"/>
      <c r="M287" s="481"/>
      <c r="N287" s="565"/>
      <c r="O287" s="3"/>
      <c r="P287" s="12"/>
      <c r="Q287" s="7"/>
      <c r="R287" s="63"/>
    </row>
    <row r="288" spans="1:18" x14ac:dyDescent="0.25">
      <c r="A288" s="13">
        <f t="shared" si="45"/>
        <v>34</v>
      </c>
      <c r="B288" s="4"/>
      <c r="C288" s="9"/>
      <c r="D288" s="369"/>
      <c r="E288" s="481"/>
      <c r="F288" s="369"/>
      <c r="G288" s="481"/>
      <c r="H288" s="369"/>
      <c r="I288" s="481"/>
      <c r="J288" s="369"/>
      <c r="K288" s="481"/>
      <c r="L288" s="369"/>
      <c r="M288" s="481"/>
      <c r="N288" s="565"/>
      <c r="O288" s="3"/>
      <c r="P288" s="12"/>
      <c r="Q288" s="7"/>
      <c r="R288" s="63"/>
    </row>
    <row r="289" spans="1:18" x14ac:dyDescent="0.25">
      <c r="A289" s="13">
        <f t="shared" si="45"/>
        <v>35</v>
      </c>
      <c r="B289" s="4"/>
      <c r="C289" s="9"/>
      <c r="D289" s="369"/>
      <c r="E289" s="481"/>
      <c r="F289" s="369"/>
      <c r="G289" s="481"/>
      <c r="H289" s="369"/>
      <c r="I289" s="481"/>
      <c r="J289" s="369"/>
      <c r="K289" s="481"/>
      <c r="L289" s="369"/>
      <c r="M289" s="481"/>
      <c r="N289" s="565"/>
      <c r="O289" s="3"/>
      <c r="P289" s="12"/>
      <c r="Q289" s="7"/>
      <c r="R289" s="63"/>
    </row>
    <row r="290" spans="1:18" x14ac:dyDescent="0.25">
      <c r="A290" s="13">
        <f t="shared" si="45"/>
        <v>36</v>
      </c>
      <c r="B290" s="4"/>
      <c r="C290" s="9"/>
      <c r="D290" s="369"/>
      <c r="E290" s="481"/>
      <c r="F290" s="369"/>
      <c r="G290" s="481"/>
      <c r="H290" s="369"/>
      <c r="I290" s="481"/>
      <c r="J290" s="369"/>
      <c r="K290" s="481"/>
      <c r="L290" s="369"/>
      <c r="M290" s="481"/>
      <c r="N290" s="565"/>
      <c r="O290" s="3"/>
      <c r="P290" s="12"/>
      <c r="Q290" s="7"/>
      <c r="R290" s="63"/>
    </row>
    <row r="291" spans="1:18" x14ac:dyDescent="0.25">
      <c r="A291" s="13">
        <f t="shared" si="45"/>
        <v>37</v>
      </c>
      <c r="B291" s="4"/>
      <c r="C291" s="9"/>
      <c r="D291" s="369"/>
      <c r="E291" s="481"/>
      <c r="F291" s="369"/>
      <c r="G291" s="481"/>
      <c r="H291" s="369"/>
      <c r="I291" s="481"/>
      <c r="J291" s="369"/>
      <c r="K291" s="481"/>
      <c r="L291" s="369"/>
      <c r="M291" s="481"/>
      <c r="N291" s="565"/>
      <c r="O291" s="3"/>
      <c r="P291" s="12"/>
      <c r="Q291" s="7"/>
      <c r="R291" s="63"/>
    </row>
    <row r="292" spans="1:18" x14ac:dyDescent="0.25">
      <c r="A292" s="13">
        <f t="shared" si="45"/>
        <v>38</v>
      </c>
      <c r="B292" s="4"/>
      <c r="C292" s="8"/>
      <c r="D292" s="369"/>
      <c r="E292" s="481"/>
      <c r="F292" s="369"/>
      <c r="G292" s="481"/>
      <c r="H292" s="369"/>
      <c r="I292" s="481"/>
      <c r="J292" s="369"/>
      <c r="K292" s="481"/>
      <c r="L292" s="369"/>
      <c r="M292" s="481"/>
      <c r="N292" s="565"/>
      <c r="O292" s="3"/>
      <c r="P292" s="12"/>
      <c r="Q292" s="7"/>
      <c r="R292" s="63"/>
    </row>
    <row r="293" spans="1:18" x14ac:dyDescent="0.25">
      <c r="A293" s="13">
        <f t="shared" si="45"/>
        <v>39</v>
      </c>
      <c r="B293" s="4"/>
      <c r="C293" s="9"/>
      <c r="D293" s="369"/>
      <c r="E293" s="481"/>
      <c r="F293" s="369"/>
      <c r="G293" s="481"/>
      <c r="H293" s="369"/>
      <c r="I293" s="481"/>
      <c r="J293" s="369"/>
      <c r="K293" s="481"/>
      <c r="L293" s="369"/>
      <c r="M293" s="481"/>
      <c r="N293" s="565"/>
      <c r="O293" s="3"/>
      <c r="P293" s="12"/>
      <c r="Q293" s="7"/>
      <c r="R293" s="63"/>
    </row>
    <row r="294" spans="1:18" x14ac:dyDescent="0.25">
      <c r="A294" s="13">
        <f t="shared" si="45"/>
        <v>40</v>
      </c>
      <c r="B294" s="4"/>
      <c r="C294" s="9"/>
      <c r="D294" s="369"/>
      <c r="E294" s="481"/>
      <c r="F294" s="369"/>
      <c r="G294" s="481"/>
      <c r="H294" s="369"/>
      <c r="I294" s="481"/>
      <c r="J294" s="369"/>
      <c r="K294" s="481"/>
      <c r="L294" s="369"/>
      <c r="M294" s="481"/>
      <c r="N294" s="565"/>
      <c r="O294" s="3"/>
      <c r="P294" s="12"/>
      <c r="Q294" s="7"/>
      <c r="R294" s="63"/>
    </row>
    <row r="295" spans="1:18" x14ac:dyDescent="0.25">
      <c r="A295" s="13">
        <f t="shared" si="45"/>
        <v>41</v>
      </c>
      <c r="B295" s="4"/>
      <c r="C295" s="8"/>
      <c r="D295" s="359"/>
      <c r="E295" s="478"/>
      <c r="F295" s="359"/>
      <c r="G295" s="478"/>
      <c r="H295" s="359"/>
      <c r="I295" s="478"/>
      <c r="J295" s="359"/>
      <c r="K295" s="478"/>
      <c r="L295" s="359"/>
      <c r="M295" s="478"/>
      <c r="N295" s="561"/>
      <c r="O295" s="3"/>
      <c r="P295" s="12"/>
      <c r="Q295" s="7"/>
      <c r="R295" s="63"/>
    </row>
    <row r="296" spans="1:18" x14ac:dyDescent="0.25">
      <c r="A296" s="13">
        <f t="shared" si="45"/>
        <v>42</v>
      </c>
      <c r="B296" s="4"/>
      <c r="C296" s="9"/>
      <c r="D296" s="369"/>
      <c r="E296" s="481"/>
      <c r="F296" s="369"/>
      <c r="G296" s="481"/>
      <c r="H296" s="369"/>
      <c r="I296" s="481"/>
      <c r="J296" s="369"/>
      <c r="K296" s="481"/>
      <c r="L296" s="369"/>
      <c r="M296" s="481"/>
      <c r="N296" s="565"/>
      <c r="O296" s="3"/>
      <c r="P296" s="12"/>
      <c r="Q296" s="7"/>
      <c r="R296" s="63"/>
    </row>
    <row r="297" spans="1:18" x14ac:dyDescent="0.25">
      <c r="A297" s="13">
        <f t="shared" si="45"/>
        <v>43</v>
      </c>
      <c r="B297" s="4"/>
      <c r="C297" s="9"/>
      <c r="D297" s="369"/>
      <c r="E297" s="481"/>
      <c r="F297" s="369"/>
      <c r="G297" s="481"/>
      <c r="H297" s="369"/>
      <c r="I297" s="481"/>
      <c r="J297" s="369"/>
      <c r="K297" s="481"/>
      <c r="L297" s="369"/>
      <c r="M297" s="481"/>
      <c r="N297" s="565"/>
      <c r="O297" s="3"/>
      <c r="P297" s="12"/>
      <c r="Q297" s="7"/>
      <c r="R297" s="63"/>
    </row>
    <row r="298" spans="1:18" x14ac:dyDescent="0.25">
      <c r="A298" s="13">
        <f t="shared" si="45"/>
        <v>44</v>
      </c>
      <c r="B298" s="4"/>
      <c r="C298" s="8"/>
      <c r="D298" s="369"/>
      <c r="E298" s="481"/>
      <c r="F298" s="369"/>
      <c r="G298" s="481"/>
      <c r="H298" s="369"/>
      <c r="I298" s="481"/>
      <c r="J298" s="369"/>
      <c r="K298" s="481"/>
      <c r="L298" s="369"/>
      <c r="M298" s="481"/>
      <c r="N298" s="565"/>
      <c r="O298" s="3"/>
      <c r="P298" s="12"/>
      <c r="Q298" s="7"/>
      <c r="R298" s="63"/>
    </row>
    <row r="299" spans="1:18" x14ac:dyDescent="0.25">
      <c r="A299" s="13">
        <f t="shared" si="45"/>
        <v>45</v>
      </c>
      <c r="B299" s="4"/>
      <c r="C299" s="9"/>
      <c r="D299" s="369"/>
      <c r="E299" s="481"/>
      <c r="F299" s="369"/>
      <c r="G299" s="481"/>
      <c r="H299" s="369"/>
      <c r="I299" s="481"/>
      <c r="J299" s="369"/>
      <c r="K299" s="481"/>
      <c r="L299" s="369"/>
      <c r="M299" s="481"/>
      <c r="N299" s="565"/>
      <c r="O299" s="3"/>
      <c r="P299" s="12"/>
      <c r="Q299" s="7"/>
      <c r="R299" s="63"/>
    </row>
    <row r="300" spans="1:18" x14ac:dyDescent="0.25">
      <c r="A300" s="13">
        <f t="shared" si="45"/>
        <v>46</v>
      </c>
      <c r="B300" s="4"/>
      <c r="C300" s="9"/>
      <c r="D300" s="369"/>
      <c r="E300" s="481"/>
      <c r="F300" s="369"/>
      <c r="G300" s="481"/>
      <c r="H300" s="369"/>
      <c r="I300" s="481"/>
      <c r="J300" s="369"/>
      <c r="K300" s="481"/>
      <c r="L300" s="369"/>
      <c r="M300" s="481"/>
      <c r="N300" s="565"/>
      <c r="O300" s="3"/>
      <c r="P300" s="12"/>
      <c r="Q300" s="7"/>
      <c r="R300" s="63"/>
    </row>
    <row r="301" spans="1:18" x14ac:dyDescent="0.25">
      <c r="A301" s="13">
        <f t="shared" si="45"/>
        <v>47</v>
      </c>
      <c r="B301" s="4"/>
      <c r="C301" s="8"/>
      <c r="D301" s="369"/>
      <c r="E301" s="481"/>
      <c r="F301" s="369"/>
      <c r="G301" s="481"/>
      <c r="H301" s="369"/>
      <c r="I301" s="481"/>
      <c r="J301" s="369"/>
      <c r="K301" s="481"/>
      <c r="L301" s="369"/>
      <c r="M301" s="481"/>
      <c r="N301" s="565"/>
      <c r="O301" s="3"/>
      <c r="P301" s="12"/>
      <c r="Q301" s="7"/>
      <c r="R301" s="63"/>
    </row>
    <row r="302" spans="1:18" x14ac:dyDescent="0.25">
      <c r="A302" s="13">
        <f t="shared" si="45"/>
        <v>48</v>
      </c>
      <c r="B302" s="4"/>
      <c r="C302" s="9"/>
      <c r="D302" s="359"/>
      <c r="E302" s="478"/>
      <c r="F302" s="359"/>
      <c r="G302" s="478"/>
      <c r="H302" s="359"/>
      <c r="I302" s="478"/>
      <c r="J302" s="359"/>
      <c r="K302" s="478"/>
      <c r="L302" s="359"/>
      <c r="M302" s="478"/>
      <c r="N302" s="561"/>
      <c r="O302" s="3"/>
      <c r="P302" s="12"/>
      <c r="Q302" s="7"/>
      <c r="R302" s="63"/>
    </row>
    <row r="303" spans="1:18" x14ac:dyDescent="0.25">
      <c r="A303" s="13">
        <f t="shared" si="45"/>
        <v>49</v>
      </c>
      <c r="B303" s="4"/>
      <c r="C303" s="9"/>
      <c r="D303" s="369"/>
      <c r="E303" s="481"/>
      <c r="F303" s="369"/>
      <c r="G303" s="481"/>
      <c r="H303" s="369"/>
      <c r="I303" s="481"/>
      <c r="J303" s="369"/>
      <c r="K303" s="481"/>
      <c r="L303" s="369"/>
      <c r="M303" s="481"/>
      <c r="N303" s="565"/>
      <c r="O303" s="3"/>
      <c r="P303" s="12"/>
      <c r="Q303" s="7"/>
      <c r="R303" s="63"/>
    </row>
    <row r="304" spans="1:18" x14ac:dyDescent="0.25">
      <c r="A304" s="13">
        <f t="shared" si="45"/>
        <v>50</v>
      </c>
      <c r="B304" s="4"/>
      <c r="C304" s="9"/>
      <c r="D304" s="369"/>
      <c r="E304" s="481"/>
      <c r="F304" s="369"/>
      <c r="G304" s="481"/>
      <c r="H304" s="369"/>
      <c r="I304" s="481"/>
      <c r="J304" s="369"/>
      <c r="K304" s="481"/>
      <c r="L304" s="369"/>
      <c r="M304" s="481"/>
      <c r="N304" s="565"/>
      <c r="O304" s="3"/>
      <c r="P304" s="12"/>
      <c r="Q304" s="7"/>
      <c r="R304" s="63"/>
    </row>
    <row r="305" spans="1:18" x14ac:dyDescent="0.25">
      <c r="A305" s="13">
        <f t="shared" si="45"/>
        <v>51</v>
      </c>
      <c r="B305" s="4"/>
      <c r="C305" s="8"/>
      <c r="D305" s="369"/>
      <c r="E305" s="481"/>
      <c r="F305" s="369"/>
      <c r="G305" s="481"/>
      <c r="H305" s="369"/>
      <c r="I305" s="481"/>
      <c r="J305" s="369"/>
      <c r="K305" s="481"/>
      <c r="L305" s="369"/>
      <c r="M305" s="481"/>
      <c r="N305" s="565"/>
      <c r="O305" s="3"/>
      <c r="P305" s="12"/>
      <c r="Q305" s="7"/>
      <c r="R305" s="63"/>
    </row>
    <row r="306" spans="1:18" x14ac:dyDescent="0.25">
      <c r="A306" s="13">
        <f t="shared" si="45"/>
        <v>52</v>
      </c>
      <c r="B306" s="4"/>
      <c r="C306" s="9"/>
      <c r="D306" s="369"/>
      <c r="E306" s="481"/>
      <c r="F306" s="369"/>
      <c r="G306" s="481"/>
      <c r="H306" s="369"/>
      <c r="I306" s="481"/>
      <c r="J306" s="369"/>
      <c r="K306" s="481"/>
      <c r="L306" s="369"/>
      <c r="M306" s="481"/>
      <c r="N306" s="565"/>
      <c r="O306" s="3"/>
      <c r="P306" s="12"/>
      <c r="Q306" s="7"/>
      <c r="R306" s="63"/>
    </row>
    <row r="307" spans="1:18" x14ac:dyDescent="0.25">
      <c r="A307" s="13">
        <f t="shared" si="45"/>
        <v>53</v>
      </c>
      <c r="B307" s="4"/>
      <c r="C307" s="9"/>
      <c r="D307" s="369"/>
      <c r="E307" s="481"/>
      <c r="F307" s="369"/>
      <c r="G307" s="481"/>
      <c r="H307" s="369"/>
      <c r="I307" s="481"/>
      <c r="J307" s="369"/>
      <c r="K307" s="481"/>
      <c r="L307" s="369"/>
      <c r="M307" s="481"/>
      <c r="N307" s="565"/>
      <c r="O307" s="3"/>
      <c r="P307" s="12"/>
      <c r="Q307" s="7"/>
      <c r="R307" s="63"/>
    </row>
    <row r="308" spans="1:18" x14ac:dyDescent="0.25">
      <c r="A308" s="13">
        <f t="shared" si="45"/>
        <v>54</v>
      </c>
      <c r="B308" s="4"/>
      <c r="C308" s="9"/>
      <c r="D308" s="369"/>
      <c r="E308" s="481"/>
      <c r="F308" s="369"/>
      <c r="G308" s="481"/>
      <c r="H308" s="369"/>
      <c r="I308" s="481"/>
      <c r="J308" s="369"/>
      <c r="K308" s="481"/>
      <c r="L308" s="369"/>
      <c r="M308" s="481"/>
      <c r="N308" s="565"/>
      <c r="O308" s="3"/>
      <c r="P308" s="12"/>
      <c r="Q308" s="7"/>
      <c r="R308" s="63"/>
    </row>
    <row r="309" spans="1:18" x14ac:dyDescent="0.25">
      <c r="A309" s="13">
        <f t="shared" si="45"/>
        <v>55</v>
      </c>
      <c r="B309" s="4"/>
      <c r="C309" s="9"/>
      <c r="D309" s="369"/>
      <c r="E309" s="481"/>
      <c r="F309" s="369"/>
      <c r="G309" s="481"/>
      <c r="H309" s="369"/>
      <c r="I309" s="481"/>
      <c r="J309" s="369"/>
      <c r="K309" s="481"/>
      <c r="L309" s="369"/>
      <c r="M309" s="481"/>
      <c r="N309" s="565"/>
      <c r="O309" s="3"/>
      <c r="P309" s="12"/>
      <c r="Q309" s="7"/>
      <c r="R309" s="63"/>
    </row>
    <row r="310" spans="1:18" x14ac:dyDescent="0.25">
      <c r="A310" s="13">
        <f t="shared" si="45"/>
        <v>56</v>
      </c>
      <c r="B310" s="4"/>
      <c r="C310" s="9"/>
      <c r="D310" s="369"/>
      <c r="E310" s="481"/>
      <c r="F310" s="369"/>
      <c r="G310" s="481"/>
      <c r="H310" s="369"/>
      <c r="I310" s="481"/>
      <c r="J310" s="369"/>
      <c r="K310" s="481"/>
      <c r="L310" s="369"/>
      <c r="M310" s="481"/>
      <c r="N310" s="565"/>
      <c r="O310" s="3"/>
      <c r="P310" s="12"/>
      <c r="Q310" s="7"/>
      <c r="R310" s="63"/>
    </row>
    <row r="311" spans="1:18" x14ac:dyDescent="0.25">
      <c r="A311" s="13">
        <f t="shared" si="45"/>
        <v>57</v>
      </c>
      <c r="B311" s="4"/>
      <c r="C311" s="9"/>
      <c r="D311" s="369"/>
      <c r="E311" s="481"/>
      <c r="F311" s="369"/>
      <c r="G311" s="481"/>
      <c r="H311" s="369"/>
      <c r="I311" s="481"/>
      <c r="J311" s="369"/>
      <c r="K311" s="481"/>
      <c r="L311" s="369"/>
      <c r="M311" s="481"/>
      <c r="N311" s="565"/>
      <c r="O311" s="3"/>
      <c r="P311" s="12"/>
      <c r="Q311" s="7"/>
      <c r="R311" s="63"/>
    </row>
    <row r="312" spans="1:18" x14ac:dyDescent="0.25">
      <c r="A312" s="13">
        <f t="shared" si="45"/>
        <v>58</v>
      </c>
      <c r="B312" s="4"/>
      <c r="C312" s="9"/>
      <c r="D312" s="369"/>
      <c r="E312" s="481"/>
      <c r="F312" s="369"/>
      <c r="G312" s="481"/>
      <c r="H312" s="369"/>
      <c r="I312" s="481"/>
      <c r="J312" s="369"/>
      <c r="K312" s="481"/>
      <c r="L312" s="369"/>
      <c r="M312" s="481"/>
      <c r="N312" s="565"/>
      <c r="O312" s="3"/>
      <c r="P312" s="12"/>
      <c r="Q312" s="7"/>
      <c r="R312" s="63"/>
    </row>
    <row r="313" spans="1:18" x14ac:dyDescent="0.25">
      <c r="A313" s="13">
        <f t="shared" si="45"/>
        <v>59</v>
      </c>
      <c r="B313" s="4"/>
      <c r="C313" s="9"/>
      <c r="D313" s="369"/>
      <c r="E313" s="481"/>
      <c r="F313" s="369"/>
      <c r="G313" s="481"/>
      <c r="H313" s="369"/>
      <c r="I313" s="481"/>
      <c r="J313" s="369"/>
      <c r="K313" s="481"/>
      <c r="L313" s="369"/>
      <c r="M313" s="481"/>
      <c r="N313" s="565"/>
      <c r="O313" s="3"/>
      <c r="P313" s="12"/>
      <c r="Q313" s="7"/>
      <c r="R313" s="63"/>
    </row>
    <row r="314" spans="1:18" x14ac:dyDescent="0.25">
      <c r="A314" s="13">
        <f t="shared" si="45"/>
        <v>60</v>
      </c>
      <c r="B314" s="4"/>
      <c r="C314" s="9"/>
      <c r="D314" s="369"/>
      <c r="E314" s="481"/>
      <c r="F314" s="369"/>
      <c r="G314" s="481"/>
      <c r="H314" s="369"/>
      <c r="I314" s="481"/>
      <c r="J314" s="369"/>
      <c r="K314" s="481"/>
      <c r="L314" s="369"/>
      <c r="M314" s="481"/>
      <c r="N314" s="565"/>
      <c r="O314" s="3"/>
      <c r="P314" s="12"/>
      <c r="Q314" s="7"/>
      <c r="R314" s="63"/>
    </row>
    <row r="315" spans="1:18" x14ac:dyDescent="0.25">
      <c r="A315" s="13">
        <f t="shared" si="45"/>
        <v>61</v>
      </c>
      <c r="B315" s="4"/>
      <c r="C315" s="9"/>
      <c r="D315" s="369"/>
      <c r="E315" s="481"/>
      <c r="F315" s="369"/>
      <c r="G315" s="481"/>
      <c r="H315" s="369"/>
      <c r="I315" s="481"/>
      <c r="J315" s="369"/>
      <c r="K315" s="481"/>
      <c r="L315" s="369"/>
      <c r="M315" s="481"/>
      <c r="N315" s="565"/>
      <c r="O315" s="3"/>
      <c r="P315" s="12"/>
      <c r="Q315" s="7"/>
      <c r="R315" s="63"/>
    </row>
    <row r="316" spans="1:18" x14ac:dyDescent="0.25">
      <c r="A316" s="13">
        <f t="shared" si="45"/>
        <v>62</v>
      </c>
      <c r="B316" s="4"/>
      <c r="C316" s="8"/>
      <c r="D316" s="359"/>
      <c r="E316" s="478"/>
      <c r="F316" s="359"/>
      <c r="G316" s="478"/>
      <c r="H316" s="359"/>
      <c r="I316" s="478"/>
      <c r="J316" s="359"/>
      <c r="K316" s="478"/>
      <c r="L316" s="359"/>
      <c r="M316" s="478"/>
      <c r="N316" s="561"/>
      <c r="O316" s="3"/>
      <c r="P316" s="12"/>
      <c r="Q316" s="7"/>
      <c r="R316" s="63"/>
    </row>
    <row r="317" spans="1:18" x14ac:dyDescent="0.25">
      <c r="A317" s="13">
        <f t="shared" si="45"/>
        <v>63</v>
      </c>
      <c r="B317" s="4"/>
      <c r="C317" s="9"/>
      <c r="D317" s="369"/>
      <c r="E317" s="481"/>
      <c r="F317" s="369"/>
      <c r="G317" s="481"/>
      <c r="H317" s="369"/>
      <c r="I317" s="481"/>
      <c r="J317" s="369"/>
      <c r="K317" s="481"/>
      <c r="L317" s="369"/>
      <c r="M317" s="481"/>
      <c r="N317" s="565"/>
      <c r="O317" s="3"/>
      <c r="P317" s="12"/>
      <c r="Q317" s="7"/>
      <c r="R317" s="63"/>
    </row>
    <row r="318" spans="1:18" x14ac:dyDescent="0.25">
      <c r="A318" s="13">
        <f t="shared" si="45"/>
        <v>64</v>
      </c>
      <c r="B318" s="4"/>
      <c r="C318" s="9"/>
      <c r="D318" s="359"/>
      <c r="E318" s="478"/>
      <c r="F318" s="359"/>
      <c r="G318" s="478"/>
      <c r="H318" s="359"/>
      <c r="I318" s="478"/>
      <c r="J318" s="359"/>
      <c r="K318" s="478"/>
      <c r="L318" s="359"/>
      <c r="M318" s="478"/>
      <c r="N318" s="561"/>
      <c r="O318" s="3"/>
      <c r="P318" s="12"/>
      <c r="Q318" s="7"/>
      <c r="R318" s="63"/>
    </row>
    <row r="319" spans="1:18" x14ac:dyDescent="0.25">
      <c r="A319" s="13">
        <f t="shared" si="45"/>
        <v>65</v>
      </c>
      <c r="B319" s="4"/>
      <c r="C319" s="9"/>
      <c r="D319" s="369"/>
      <c r="E319" s="481"/>
      <c r="F319" s="369"/>
      <c r="G319" s="481"/>
      <c r="H319" s="369"/>
      <c r="I319" s="481"/>
      <c r="J319" s="369"/>
      <c r="K319" s="481"/>
      <c r="L319" s="369"/>
      <c r="M319" s="481"/>
      <c r="N319" s="565"/>
      <c r="O319" s="3"/>
      <c r="P319" s="12"/>
      <c r="Q319" s="7"/>
      <c r="R319" s="63"/>
    </row>
    <row r="320" spans="1:18" x14ac:dyDescent="0.25">
      <c r="A320" s="13">
        <f t="shared" ref="A320:A357" si="46">A319+1</f>
        <v>66</v>
      </c>
      <c r="B320" s="4"/>
      <c r="C320" s="9"/>
      <c r="D320" s="369"/>
      <c r="E320" s="481"/>
      <c r="F320" s="369"/>
      <c r="G320" s="481"/>
      <c r="H320" s="369"/>
      <c r="I320" s="481"/>
      <c r="J320" s="369"/>
      <c r="K320" s="481"/>
      <c r="L320" s="369"/>
      <c r="M320" s="481"/>
      <c r="N320" s="565"/>
      <c r="O320" s="3"/>
      <c r="P320" s="12"/>
      <c r="Q320" s="7"/>
      <c r="R320" s="63"/>
    </row>
    <row r="321" spans="1:18" x14ac:dyDescent="0.25">
      <c r="A321" s="13">
        <f t="shared" si="46"/>
        <v>67</v>
      </c>
      <c r="B321" s="4"/>
      <c r="C321" s="8"/>
      <c r="D321" s="369"/>
      <c r="E321" s="481"/>
      <c r="F321" s="369"/>
      <c r="G321" s="481"/>
      <c r="H321" s="369"/>
      <c r="I321" s="481"/>
      <c r="J321" s="369"/>
      <c r="K321" s="481"/>
      <c r="L321" s="369"/>
      <c r="M321" s="481"/>
      <c r="N321" s="565"/>
      <c r="O321" s="3"/>
      <c r="P321" s="12"/>
      <c r="Q321" s="7"/>
      <c r="R321" s="63"/>
    </row>
    <row r="322" spans="1:18" x14ac:dyDescent="0.25">
      <c r="A322" s="13">
        <f t="shared" si="46"/>
        <v>68</v>
      </c>
      <c r="B322" s="4"/>
      <c r="C322" s="9"/>
      <c r="D322" s="369"/>
      <c r="E322" s="481"/>
      <c r="F322" s="369"/>
      <c r="G322" s="481"/>
      <c r="H322" s="369"/>
      <c r="I322" s="481"/>
      <c r="J322" s="369"/>
      <c r="K322" s="481"/>
      <c r="L322" s="369"/>
      <c r="M322" s="481"/>
      <c r="N322" s="565"/>
      <c r="O322" s="3"/>
      <c r="P322" s="12"/>
      <c r="Q322" s="7"/>
      <c r="R322" s="63"/>
    </row>
    <row r="323" spans="1:18" x14ac:dyDescent="0.25">
      <c r="A323" s="13">
        <f t="shared" si="46"/>
        <v>69</v>
      </c>
      <c r="B323" s="4"/>
      <c r="C323" s="9"/>
      <c r="D323" s="359"/>
      <c r="E323" s="478"/>
      <c r="F323" s="359"/>
      <c r="G323" s="478"/>
      <c r="H323" s="359"/>
      <c r="I323" s="478"/>
      <c r="J323" s="359"/>
      <c r="K323" s="478"/>
      <c r="L323" s="359"/>
      <c r="M323" s="478"/>
      <c r="N323" s="561"/>
      <c r="O323" s="3"/>
      <c r="P323" s="12"/>
      <c r="Q323" s="7"/>
      <c r="R323" s="63"/>
    </row>
    <row r="324" spans="1:18" x14ac:dyDescent="0.25">
      <c r="A324" s="13">
        <f t="shared" si="46"/>
        <v>70</v>
      </c>
      <c r="B324" s="4"/>
      <c r="C324" s="9"/>
      <c r="D324" s="369"/>
      <c r="E324" s="481"/>
      <c r="F324" s="369"/>
      <c r="G324" s="481"/>
      <c r="H324" s="369"/>
      <c r="I324" s="481"/>
      <c r="J324" s="369"/>
      <c r="K324" s="481"/>
      <c r="L324" s="369"/>
      <c r="M324" s="481"/>
      <c r="N324" s="565"/>
      <c r="O324" s="3"/>
      <c r="P324" s="12"/>
      <c r="Q324" s="7"/>
      <c r="R324" s="63"/>
    </row>
    <row r="325" spans="1:18" x14ac:dyDescent="0.25">
      <c r="A325" s="13">
        <f t="shared" si="46"/>
        <v>71</v>
      </c>
      <c r="B325" s="4"/>
      <c r="C325" s="8"/>
      <c r="D325" s="369"/>
      <c r="E325" s="481"/>
      <c r="F325" s="369"/>
      <c r="G325" s="481"/>
      <c r="H325" s="369"/>
      <c r="I325" s="481"/>
      <c r="J325" s="369"/>
      <c r="K325" s="481"/>
      <c r="L325" s="369"/>
      <c r="M325" s="481"/>
      <c r="N325" s="565"/>
      <c r="O325" s="3"/>
      <c r="P325" s="12"/>
      <c r="Q325" s="7"/>
      <c r="R325" s="63"/>
    </row>
    <row r="326" spans="1:18" x14ac:dyDescent="0.25">
      <c r="A326" s="13">
        <f t="shared" si="46"/>
        <v>72</v>
      </c>
      <c r="B326" s="4"/>
      <c r="C326" s="9"/>
      <c r="D326" s="369"/>
      <c r="E326" s="481"/>
      <c r="F326" s="369"/>
      <c r="G326" s="481"/>
      <c r="H326" s="369"/>
      <c r="I326" s="481"/>
      <c r="J326" s="369"/>
      <c r="K326" s="481"/>
      <c r="L326" s="369"/>
      <c r="M326" s="481"/>
      <c r="N326" s="565"/>
      <c r="O326" s="3"/>
      <c r="P326" s="12"/>
      <c r="Q326" s="7"/>
      <c r="R326" s="63"/>
    </row>
    <row r="327" spans="1:18" x14ac:dyDescent="0.25">
      <c r="A327" s="13">
        <f t="shared" si="46"/>
        <v>73</v>
      </c>
      <c r="B327" s="4"/>
      <c r="C327" s="9"/>
      <c r="D327" s="369"/>
      <c r="E327" s="481"/>
      <c r="F327" s="369"/>
      <c r="G327" s="481"/>
      <c r="H327" s="369"/>
      <c r="I327" s="481"/>
      <c r="J327" s="369"/>
      <c r="K327" s="481"/>
      <c r="L327" s="369"/>
      <c r="M327" s="481"/>
      <c r="N327" s="565"/>
      <c r="O327" s="3"/>
      <c r="P327" s="12"/>
      <c r="Q327" s="7"/>
      <c r="R327" s="63"/>
    </row>
    <row r="328" spans="1:18" x14ac:dyDescent="0.25">
      <c r="A328" s="13">
        <f t="shared" si="46"/>
        <v>74</v>
      </c>
      <c r="B328" s="4"/>
      <c r="C328" s="9"/>
      <c r="D328" s="369"/>
      <c r="E328" s="481"/>
      <c r="F328" s="369"/>
      <c r="G328" s="481"/>
      <c r="H328" s="369"/>
      <c r="I328" s="481"/>
      <c r="J328" s="369"/>
      <c r="K328" s="481"/>
      <c r="L328" s="369"/>
      <c r="M328" s="481"/>
      <c r="N328" s="565"/>
      <c r="O328" s="3"/>
      <c r="P328" s="12"/>
      <c r="Q328" s="7"/>
      <c r="R328" s="63"/>
    </row>
    <row r="329" spans="1:18" x14ac:dyDescent="0.25">
      <c r="A329" s="13">
        <f t="shared" si="46"/>
        <v>75</v>
      </c>
      <c r="B329" s="4"/>
      <c r="C329" s="9"/>
      <c r="D329" s="369"/>
      <c r="E329" s="481"/>
      <c r="F329" s="369"/>
      <c r="G329" s="481"/>
      <c r="H329" s="369"/>
      <c r="I329" s="481"/>
      <c r="J329" s="369"/>
      <c r="K329" s="481"/>
      <c r="L329" s="369"/>
      <c r="M329" s="481"/>
      <c r="N329" s="565"/>
      <c r="O329" s="3"/>
      <c r="P329" s="12"/>
      <c r="Q329" s="7"/>
      <c r="R329" s="63"/>
    </row>
    <row r="330" spans="1:18" x14ac:dyDescent="0.25">
      <c r="A330" s="13">
        <f t="shared" si="46"/>
        <v>76</v>
      </c>
      <c r="B330" s="4"/>
      <c r="C330" s="9"/>
      <c r="D330" s="369"/>
      <c r="E330" s="481"/>
      <c r="F330" s="369"/>
      <c r="G330" s="481"/>
      <c r="H330" s="369"/>
      <c r="I330" s="481"/>
      <c r="J330" s="369"/>
      <c r="K330" s="481"/>
      <c r="L330" s="369"/>
      <c r="M330" s="481"/>
      <c r="N330" s="565"/>
      <c r="O330" s="3"/>
      <c r="P330" s="12"/>
      <c r="Q330" s="7"/>
      <c r="R330" s="63"/>
    </row>
    <row r="331" spans="1:18" x14ac:dyDescent="0.25">
      <c r="A331" s="13">
        <f t="shared" si="46"/>
        <v>77</v>
      </c>
      <c r="B331" s="4"/>
      <c r="C331" s="9"/>
      <c r="D331" s="369"/>
      <c r="E331" s="481"/>
      <c r="F331" s="369"/>
      <c r="G331" s="481"/>
      <c r="H331" s="369"/>
      <c r="I331" s="481"/>
      <c r="J331" s="369"/>
      <c r="K331" s="481"/>
      <c r="L331" s="369"/>
      <c r="M331" s="481"/>
      <c r="N331" s="565"/>
      <c r="O331" s="3"/>
      <c r="P331" s="12"/>
      <c r="Q331" s="7"/>
      <c r="R331" s="63"/>
    </row>
    <row r="332" spans="1:18" x14ac:dyDescent="0.25">
      <c r="A332" s="13">
        <f t="shared" si="46"/>
        <v>78</v>
      </c>
      <c r="B332" s="4"/>
      <c r="C332" s="9"/>
      <c r="D332" s="369"/>
      <c r="E332" s="481"/>
      <c r="F332" s="369"/>
      <c r="G332" s="481"/>
      <c r="H332" s="369"/>
      <c r="I332" s="481"/>
      <c r="J332" s="369"/>
      <c r="K332" s="481"/>
      <c r="L332" s="369"/>
      <c r="M332" s="481"/>
      <c r="N332" s="565"/>
      <c r="O332" s="3"/>
      <c r="P332" s="12"/>
      <c r="Q332" s="7"/>
      <c r="R332" s="63"/>
    </row>
    <row r="333" spans="1:18" x14ac:dyDescent="0.25">
      <c r="A333" s="13">
        <f t="shared" si="46"/>
        <v>79</v>
      </c>
      <c r="B333" s="4"/>
      <c r="C333" s="9"/>
      <c r="D333" s="369"/>
      <c r="E333" s="481"/>
      <c r="F333" s="369"/>
      <c r="G333" s="481"/>
      <c r="H333" s="369"/>
      <c r="I333" s="481"/>
      <c r="J333" s="369"/>
      <c r="K333" s="481"/>
      <c r="L333" s="369"/>
      <c r="M333" s="481"/>
      <c r="N333" s="565"/>
      <c r="O333" s="3"/>
      <c r="P333" s="12"/>
      <c r="Q333" s="7"/>
      <c r="R333" s="63"/>
    </row>
    <row r="334" spans="1:18" x14ac:dyDescent="0.25">
      <c r="A334" s="13">
        <f t="shared" si="46"/>
        <v>80</v>
      </c>
      <c r="B334" s="4"/>
      <c r="C334" s="9"/>
      <c r="D334" s="369"/>
      <c r="E334" s="481"/>
      <c r="F334" s="369"/>
      <c r="G334" s="481"/>
      <c r="H334" s="369"/>
      <c r="I334" s="481"/>
      <c r="J334" s="369"/>
      <c r="K334" s="481"/>
      <c r="L334" s="369"/>
      <c r="M334" s="481"/>
      <c r="N334" s="565"/>
      <c r="O334" s="3"/>
      <c r="P334" s="12"/>
      <c r="Q334" s="7"/>
      <c r="R334" s="63"/>
    </row>
    <row r="335" spans="1:18" x14ac:dyDescent="0.25">
      <c r="A335" s="13">
        <f t="shared" si="46"/>
        <v>81</v>
      </c>
      <c r="B335" s="4"/>
      <c r="C335" s="8"/>
      <c r="D335" s="359"/>
      <c r="E335" s="478"/>
      <c r="F335" s="359"/>
      <c r="G335" s="478"/>
      <c r="H335" s="359"/>
      <c r="I335" s="478"/>
      <c r="J335" s="359"/>
      <c r="K335" s="478"/>
      <c r="L335" s="359"/>
      <c r="M335" s="478"/>
      <c r="N335" s="561"/>
      <c r="O335" s="3"/>
      <c r="P335" s="12"/>
      <c r="Q335" s="7"/>
      <c r="R335" s="63"/>
    </row>
    <row r="336" spans="1:18" x14ac:dyDescent="0.25">
      <c r="A336" s="13">
        <f t="shared" si="46"/>
        <v>82</v>
      </c>
      <c r="B336" s="4"/>
      <c r="C336" s="9"/>
      <c r="D336" s="369"/>
      <c r="E336" s="481"/>
      <c r="F336" s="369"/>
      <c r="G336" s="481"/>
      <c r="H336" s="369"/>
      <c r="I336" s="481"/>
      <c r="J336" s="369"/>
      <c r="K336" s="481"/>
      <c r="L336" s="369"/>
      <c r="M336" s="481"/>
      <c r="N336" s="565"/>
      <c r="O336" s="3"/>
      <c r="P336" s="12"/>
      <c r="Q336" s="7"/>
      <c r="R336" s="63"/>
    </row>
    <row r="337" spans="1:18" x14ac:dyDescent="0.25">
      <c r="A337" s="13">
        <f t="shared" si="46"/>
        <v>83</v>
      </c>
      <c r="B337" s="4"/>
      <c r="C337" s="9"/>
      <c r="D337" s="369"/>
      <c r="E337" s="481"/>
      <c r="F337" s="369"/>
      <c r="G337" s="481"/>
      <c r="H337" s="369"/>
      <c r="I337" s="481"/>
      <c r="J337" s="369"/>
      <c r="K337" s="481"/>
      <c r="L337" s="369"/>
      <c r="M337" s="481"/>
      <c r="N337" s="565"/>
      <c r="O337" s="3"/>
      <c r="P337" s="12"/>
      <c r="Q337" s="7"/>
      <c r="R337" s="63"/>
    </row>
    <row r="338" spans="1:18" x14ac:dyDescent="0.25">
      <c r="A338" s="13">
        <f t="shared" si="46"/>
        <v>84</v>
      </c>
      <c r="B338" s="16"/>
      <c r="C338" s="17"/>
      <c r="D338" s="369"/>
      <c r="E338" s="481"/>
      <c r="F338" s="369"/>
      <c r="G338" s="481"/>
      <c r="H338" s="369"/>
      <c r="I338" s="481"/>
      <c r="J338" s="369"/>
      <c r="K338" s="481"/>
      <c r="L338" s="369"/>
      <c r="M338" s="481"/>
      <c r="N338" s="565"/>
      <c r="O338" s="3"/>
      <c r="P338" s="28"/>
      <c r="Q338" s="7"/>
      <c r="R338" s="63"/>
    </row>
    <row r="339" spans="1:18" x14ac:dyDescent="0.25">
      <c r="A339" s="13">
        <f t="shared" si="46"/>
        <v>85</v>
      </c>
      <c r="B339" s="16"/>
      <c r="C339" s="17"/>
      <c r="D339" s="369"/>
      <c r="E339" s="481"/>
      <c r="F339" s="369"/>
      <c r="G339" s="481"/>
      <c r="H339" s="369"/>
      <c r="I339" s="481"/>
      <c r="J339" s="369"/>
      <c r="K339" s="481"/>
      <c r="L339" s="369"/>
      <c r="M339" s="481"/>
      <c r="N339" s="565"/>
      <c r="O339" s="48"/>
      <c r="P339" s="28"/>
      <c r="Q339" s="7"/>
      <c r="R339" s="66"/>
    </row>
    <row r="340" spans="1:18" x14ac:dyDescent="0.25">
      <c r="A340" s="13">
        <f t="shared" si="46"/>
        <v>86</v>
      </c>
      <c r="B340" s="16"/>
      <c r="C340" s="17"/>
      <c r="D340" s="369"/>
      <c r="E340" s="481"/>
      <c r="F340" s="369"/>
      <c r="G340" s="481"/>
      <c r="H340" s="369"/>
      <c r="I340" s="481"/>
      <c r="J340" s="369"/>
      <c r="K340" s="481"/>
      <c r="L340" s="369"/>
      <c r="M340" s="481"/>
      <c r="N340" s="565"/>
      <c r="O340" s="48"/>
      <c r="P340" s="28"/>
      <c r="R340" s="66"/>
    </row>
    <row r="341" spans="1:18" x14ac:dyDescent="0.25">
      <c r="A341" s="13">
        <f t="shared" si="46"/>
        <v>87</v>
      </c>
      <c r="B341" s="16"/>
      <c r="C341" s="17"/>
      <c r="D341" s="369"/>
      <c r="E341" s="481"/>
      <c r="F341" s="369"/>
      <c r="G341" s="481"/>
      <c r="H341" s="369"/>
      <c r="I341" s="481"/>
      <c r="J341" s="369"/>
      <c r="K341" s="481"/>
      <c r="L341" s="369"/>
      <c r="M341" s="481"/>
      <c r="N341" s="565"/>
      <c r="O341" s="48"/>
      <c r="P341" s="28"/>
      <c r="R341" s="66"/>
    </row>
    <row r="342" spans="1:18" x14ac:dyDescent="0.25">
      <c r="A342" s="13">
        <f t="shared" si="46"/>
        <v>88</v>
      </c>
      <c r="B342" s="16"/>
      <c r="C342" s="17"/>
      <c r="D342" s="369"/>
      <c r="E342" s="481"/>
      <c r="F342" s="369"/>
      <c r="G342" s="481"/>
      <c r="H342" s="369"/>
      <c r="I342" s="481"/>
      <c r="J342" s="369"/>
      <c r="K342" s="481"/>
      <c r="L342" s="369"/>
      <c r="M342" s="481"/>
      <c r="N342" s="565"/>
      <c r="O342" s="48"/>
      <c r="P342" s="28"/>
      <c r="R342" s="66"/>
    </row>
    <row r="343" spans="1:18" x14ac:dyDescent="0.25">
      <c r="A343" s="13">
        <f t="shared" si="46"/>
        <v>89</v>
      </c>
      <c r="B343" s="16"/>
      <c r="C343" s="17"/>
      <c r="D343" s="369"/>
      <c r="E343" s="481"/>
      <c r="F343" s="369"/>
      <c r="G343" s="481"/>
      <c r="H343" s="369"/>
      <c r="I343" s="481"/>
      <c r="J343" s="369"/>
      <c r="K343" s="481"/>
      <c r="L343" s="369"/>
      <c r="M343" s="481"/>
      <c r="N343" s="565"/>
      <c r="O343" s="48"/>
      <c r="P343" s="28"/>
      <c r="R343" s="66"/>
    </row>
    <row r="344" spans="1:18" x14ac:dyDescent="0.25">
      <c r="A344" s="13">
        <f t="shared" si="46"/>
        <v>90</v>
      </c>
      <c r="B344" s="16"/>
      <c r="C344" s="17"/>
      <c r="D344" s="369"/>
      <c r="E344" s="481"/>
      <c r="F344" s="369"/>
      <c r="G344" s="481"/>
      <c r="H344" s="369"/>
      <c r="I344" s="481"/>
      <c r="J344" s="369"/>
      <c r="K344" s="481"/>
      <c r="L344" s="369"/>
      <c r="M344" s="481"/>
      <c r="N344" s="565"/>
      <c r="O344" s="48"/>
      <c r="P344" s="28"/>
      <c r="R344" s="66"/>
    </row>
    <row r="345" spans="1:18" x14ac:dyDescent="0.25">
      <c r="A345" s="13">
        <f t="shared" si="46"/>
        <v>91</v>
      </c>
    </row>
    <row r="346" spans="1:18" x14ac:dyDescent="0.25">
      <c r="A346" s="13">
        <f t="shared" si="46"/>
        <v>92</v>
      </c>
    </row>
    <row r="347" spans="1:18" x14ac:dyDescent="0.25">
      <c r="A347" s="13">
        <f t="shared" si="46"/>
        <v>93</v>
      </c>
    </row>
    <row r="348" spans="1:18" x14ac:dyDescent="0.25">
      <c r="A348" s="13">
        <f t="shared" si="46"/>
        <v>94</v>
      </c>
    </row>
    <row r="349" spans="1:18" x14ac:dyDescent="0.25">
      <c r="A349" s="13">
        <f t="shared" si="46"/>
        <v>95</v>
      </c>
    </row>
    <row r="350" spans="1:18" x14ac:dyDescent="0.25">
      <c r="A350" s="13">
        <f t="shared" si="46"/>
        <v>96</v>
      </c>
    </row>
    <row r="351" spans="1:18" x14ac:dyDescent="0.25">
      <c r="A351" s="13">
        <f t="shared" si="46"/>
        <v>97</v>
      </c>
    </row>
    <row r="352" spans="1:18" x14ac:dyDescent="0.25">
      <c r="A352" s="13">
        <f t="shared" si="46"/>
        <v>98</v>
      </c>
    </row>
    <row r="353" spans="1:1" x14ac:dyDescent="0.25">
      <c r="A353" s="13">
        <f t="shared" si="46"/>
        <v>99</v>
      </c>
    </row>
    <row r="354" spans="1:1" x14ac:dyDescent="0.25">
      <c r="A354" s="13">
        <f t="shared" si="46"/>
        <v>100</v>
      </c>
    </row>
    <row r="355" spans="1:1" x14ac:dyDescent="0.25">
      <c r="A355" s="13">
        <f t="shared" si="46"/>
        <v>101</v>
      </c>
    </row>
    <row r="356" spans="1:1" x14ac:dyDescent="0.25">
      <c r="A356" s="13">
        <f t="shared" si="46"/>
        <v>102</v>
      </c>
    </row>
    <row r="357" spans="1:1" x14ac:dyDescent="0.25">
      <c r="A357" s="13">
        <f t="shared" si="46"/>
        <v>103</v>
      </c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</sheetData>
  <autoFilter ref="A1:AD252"/>
  <sortState ref="B2:AD203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440"/>
  <sheetViews>
    <sheetView topLeftCell="A164" zoomScaleNormal="100" workbookViewId="0">
      <selection activeCell="C2" sqref="C2:C202"/>
    </sheetView>
  </sheetViews>
  <sheetFormatPr baseColWidth="10" defaultRowHeight="15" x14ac:dyDescent="0.25"/>
  <cols>
    <col min="1" max="1" width="4.42578125" style="13" customWidth="1"/>
    <col min="2" max="2" width="54.5703125" style="13" customWidth="1"/>
    <col min="3" max="3" width="7.85546875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13" ht="46.5" customHeight="1" x14ac:dyDescent="0.25">
      <c r="A1" s="128" t="s">
        <v>0</v>
      </c>
      <c r="B1" s="128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  <c r="I1" s="16"/>
    </row>
    <row r="2" spans="1:13" x14ac:dyDescent="0.25">
      <c r="A2" s="13">
        <v>1</v>
      </c>
      <c r="B2" s="314" t="s">
        <v>102</v>
      </c>
      <c r="C2" s="340">
        <v>3</v>
      </c>
      <c r="D2" s="10">
        <v>20.399999999999999</v>
      </c>
      <c r="E2" s="7">
        <v>45</v>
      </c>
      <c r="F2" s="141">
        <f t="shared" ref="F2:F65" si="0">(E2-D2)/(E2)</f>
        <v>0.54666666666666675</v>
      </c>
      <c r="G2" s="142">
        <f t="shared" ref="G2:G65" si="1">D2*C2</f>
        <v>61.199999999999996</v>
      </c>
      <c r="H2" s="143">
        <f t="shared" ref="H2:H65" si="2">E2*C2</f>
        <v>135</v>
      </c>
      <c r="I2" s="16"/>
      <c r="J2" s="7"/>
    </row>
    <row r="3" spans="1:13" x14ac:dyDescent="0.25">
      <c r="A3" s="13">
        <f t="shared" ref="A3:A66" si="3">A2+1</f>
        <v>2</v>
      </c>
      <c r="B3" s="314" t="s">
        <v>247</v>
      </c>
      <c r="C3" s="340">
        <v>3</v>
      </c>
      <c r="D3" s="10">
        <v>10</v>
      </c>
      <c r="E3" s="7">
        <v>18</v>
      </c>
      <c r="F3" s="141">
        <f t="shared" si="0"/>
        <v>0.44444444444444442</v>
      </c>
      <c r="G3" s="142">
        <f t="shared" si="1"/>
        <v>30</v>
      </c>
      <c r="H3" s="143">
        <f t="shared" si="2"/>
        <v>54</v>
      </c>
      <c r="I3" s="16"/>
      <c r="J3" s="7"/>
    </row>
    <row r="4" spans="1:13" x14ac:dyDescent="0.25">
      <c r="A4" s="315">
        <f t="shared" si="3"/>
        <v>3</v>
      </c>
      <c r="B4" s="314" t="s">
        <v>144</v>
      </c>
      <c r="C4" s="340">
        <v>6</v>
      </c>
      <c r="D4" s="10">
        <v>8</v>
      </c>
      <c r="E4" s="7">
        <v>13</v>
      </c>
      <c r="F4" s="141">
        <f t="shared" si="0"/>
        <v>0.38461538461538464</v>
      </c>
      <c r="G4" s="142">
        <f t="shared" si="1"/>
        <v>48</v>
      </c>
      <c r="H4" s="143">
        <f t="shared" si="2"/>
        <v>78</v>
      </c>
      <c r="I4" s="16"/>
      <c r="J4" s="7"/>
    </row>
    <row r="5" spans="1:13" x14ac:dyDescent="0.25">
      <c r="A5" s="315">
        <f t="shared" si="3"/>
        <v>4</v>
      </c>
      <c r="B5" s="314" t="s">
        <v>260</v>
      </c>
      <c r="C5" s="340">
        <v>2</v>
      </c>
      <c r="D5" s="10">
        <v>10.18</v>
      </c>
      <c r="E5" s="7">
        <v>20</v>
      </c>
      <c r="F5" s="141">
        <f t="shared" si="0"/>
        <v>0.49099999999999999</v>
      </c>
      <c r="G5" s="142">
        <f t="shared" si="1"/>
        <v>20.36</v>
      </c>
      <c r="H5" s="143">
        <f t="shared" si="2"/>
        <v>40</v>
      </c>
      <c r="I5" s="16"/>
      <c r="J5" s="7"/>
    </row>
    <row r="6" spans="1:13" x14ac:dyDescent="0.25">
      <c r="A6" s="315">
        <f t="shared" si="3"/>
        <v>5</v>
      </c>
      <c r="B6" s="314" t="s">
        <v>1226</v>
      </c>
      <c r="C6" s="340">
        <v>10</v>
      </c>
      <c r="D6" s="10">
        <v>6.0250000000000004</v>
      </c>
      <c r="E6" s="7">
        <v>12</v>
      </c>
      <c r="F6" s="141">
        <f t="shared" si="0"/>
        <v>0.49791666666666662</v>
      </c>
      <c r="G6" s="142">
        <f t="shared" si="1"/>
        <v>60.25</v>
      </c>
      <c r="H6" s="143">
        <f t="shared" si="2"/>
        <v>120</v>
      </c>
      <c r="I6" s="16"/>
      <c r="J6" s="7"/>
    </row>
    <row r="7" spans="1:13" x14ac:dyDescent="0.25">
      <c r="A7" s="315">
        <f t="shared" si="3"/>
        <v>6</v>
      </c>
      <c r="B7" s="314" t="s">
        <v>1227</v>
      </c>
      <c r="C7" s="340">
        <v>4</v>
      </c>
      <c r="D7" s="10">
        <v>5.15</v>
      </c>
      <c r="E7" s="7">
        <v>9</v>
      </c>
      <c r="F7" s="141">
        <f t="shared" si="0"/>
        <v>0.42777777777777776</v>
      </c>
      <c r="G7" s="142">
        <f t="shared" si="1"/>
        <v>20.6</v>
      </c>
      <c r="H7" s="143">
        <f t="shared" si="2"/>
        <v>36</v>
      </c>
      <c r="I7" s="16"/>
      <c r="J7" s="7"/>
    </row>
    <row r="8" spans="1:13" x14ac:dyDescent="0.25">
      <c r="A8" s="315">
        <f t="shared" si="3"/>
        <v>7</v>
      </c>
      <c r="B8" s="314" t="s">
        <v>1228</v>
      </c>
      <c r="C8" s="340">
        <v>3</v>
      </c>
      <c r="D8" s="10">
        <v>6.6</v>
      </c>
      <c r="E8" s="7">
        <v>11</v>
      </c>
      <c r="F8" s="141">
        <f t="shared" si="0"/>
        <v>0.4</v>
      </c>
      <c r="G8" s="142">
        <f t="shared" si="1"/>
        <v>19.799999999999997</v>
      </c>
      <c r="H8" s="143">
        <f t="shared" si="2"/>
        <v>33</v>
      </c>
      <c r="I8" s="16"/>
      <c r="J8" s="7"/>
    </row>
    <row r="9" spans="1:13" x14ac:dyDescent="0.25">
      <c r="A9" s="315">
        <f t="shared" si="3"/>
        <v>8</v>
      </c>
      <c r="B9" s="314" t="s">
        <v>1117</v>
      </c>
      <c r="C9" s="340">
        <v>9</v>
      </c>
      <c r="D9" s="10">
        <v>2.25</v>
      </c>
      <c r="E9" s="7">
        <v>5</v>
      </c>
      <c r="F9" s="141">
        <f t="shared" si="0"/>
        <v>0.55000000000000004</v>
      </c>
      <c r="G9" s="142">
        <f t="shared" si="1"/>
        <v>20.25</v>
      </c>
      <c r="H9" s="143">
        <f t="shared" si="2"/>
        <v>45</v>
      </c>
      <c r="I9" s="16"/>
      <c r="J9" s="7"/>
    </row>
    <row r="10" spans="1:13" x14ac:dyDescent="0.25">
      <c r="A10" s="315">
        <f t="shared" si="3"/>
        <v>9</v>
      </c>
      <c r="B10" s="651" t="s">
        <v>337</v>
      </c>
      <c r="C10" s="653">
        <v>16</v>
      </c>
      <c r="D10" s="10">
        <v>1.2</v>
      </c>
      <c r="E10" s="7">
        <v>2.5</v>
      </c>
      <c r="F10" s="141">
        <f t="shared" si="0"/>
        <v>0.52</v>
      </c>
      <c r="G10" s="142">
        <f t="shared" si="1"/>
        <v>19.2</v>
      </c>
      <c r="H10" s="143">
        <f t="shared" si="2"/>
        <v>40</v>
      </c>
      <c r="I10" s="47"/>
      <c r="J10" s="7"/>
    </row>
    <row r="11" spans="1:13" x14ac:dyDescent="0.25">
      <c r="A11" s="315">
        <f t="shared" si="3"/>
        <v>10</v>
      </c>
      <c r="B11" s="314" t="s">
        <v>195</v>
      </c>
      <c r="C11" s="340">
        <v>15</v>
      </c>
      <c r="D11" s="10">
        <v>1.1000000000000001</v>
      </c>
      <c r="E11" s="7">
        <v>2</v>
      </c>
      <c r="F11" s="141">
        <f t="shared" si="0"/>
        <v>0.44999999999999996</v>
      </c>
      <c r="G11" s="142">
        <f t="shared" si="1"/>
        <v>16.5</v>
      </c>
      <c r="H11" s="143">
        <f t="shared" si="2"/>
        <v>30</v>
      </c>
      <c r="I11" s="16"/>
      <c r="J11" s="7"/>
    </row>
    <row r="12" spans="1:13" x14ac:dyDescent="0.25">
      <c r="A12" s="315">
        <f t="shared" si="3"/>
        <v>11</v>
      </c>
      <c r="B12" s="314" t="s">
        <v>322</v>
      </c>
      <c r="C12" s="340">
        <v>5</v>
      </c>
      <c r="D12" s="10">
        <v>4.6500000000000004</v>
      </c>
      <c r="E12" s="7">
        <v>8</v>
      </c>
      <c r="F12" s="141">
        <f t="shared" si="0"/>
        <v>0.41874999999999996</v>
      </c>
      <c r="G12" s="142">
        <f t="shared" si="1"/>
        <v>23.25</v>
      </c>
      <c r="H12" s="143">
        <f t="shared" si="2"/>
        <v>40</v>
      </c>
      <c r="I12" s="16"/>
      <c r="J12" s="7"/>
    </row>
    <row r="13" spans="1:13" x14ac:dyDescent="0.25">
      <c r="A13" s="315">
        <f t="shared" si="3"/>
        <v>12</v>
      </c>
      <c r="B13" s="314" t="s">
        <v>1118</v>
      </c>
      <c r="C13" s="340">
        <v>10</v>
      </c>
      <c r="D13" s="10">
        <v>1.5</v>
      </c>
      <c r="E13" s="7">
        <v>2.5</v>
      </c>
      <c r="F13" s="141">
        <f t="shared" si="0"/>
        <v>0.4</v>
      </c>
      <c r="G13" s="142">
        <f t="shared" si="1"/>
        <v>15</v>
      </c>
      <c r="H13" s="143">
        <f t="shared" si="2"/>
        <v>25</v>
      </c>
      <c r="I13" s="16"/>
      <c r="J13" s="7"/>
    </row>
    <row r="14" spans="1:13" x14ac:dyDescent="0.25">
      <c r="A14" s="315">
        <f t="shared" si="3"/>
        <v>13</v>
      </c>
      <c r="B14" s="314" t="s">
        <v>232</v>
      </c>
      <c r="C14" s="340">
        <v>19</v>
      </c>
      <c r="D14" s="10">
        <v>5.8</v>
      </c>
      <c r="E14" s="7">
        <v>10</v>
      </c>
      <c r="F14" s="141">
        <f t="shared" si="0"/>
        <v>0.42000000000000004</v>
      </c>
      <c r="G14" s="142">
        <f t="shared" si="1"/>
        <v>110.2</v>
      </c>
      <c r="H14" s="143">
        <f t="shared" si="2"/>
        <v>190</v>
      </c>
      <c r="I14" s="16"/>
      <c r="J14" s="7"/>
    </row>
    <row r="15" spans="1:13" ht="14.25" customHeight="1" x14ac:dyDescent="0.25">
      <c r="A15" s="315">
        <f t="shared" si="3"/>
        <v>14</v>
      </c>
      <c r="B15" s="314" t="s">
        <v>231</v>
      </c>
      <c r="C15" s="340">
        <v>1</v>
      </c>
      <c r="D15" s="10">
        <v>38.6</v>
      </c>
      <c r="E15" s="7">
        <v>65</v>
      </c>
      <c r="F15" s="141">
        <f t="shared" si="0"/>
        <v>0.40615384615384614</v>
      </c>
      <c r="G15" s="142">
        <f t="shared" si="1"/>
        <v>38.6</v>
      </c>
      <c r="H15" s="143">
        <f t="shared" si="2"/>
        <v>65</v>
      </c>
      <c r="I15" s="16"/>
      <c r="J15" s="7"/>
      <c r="M15" s="97"/>
    </row>
    <row r="16" spans="1:13" x14ac:dyDescent="0.25">
      <c r="A16" s="315">
        <f t="shared" si="3"/>
        <v>15</v>
      </c>
      <c r="B16" s="314" t="s">
        <v>305</v>
      </c>
      <c r="C16" s="340">
        <v>2</v>
      </c>
      <c r="D16" s="10">
        <v>35.1</v>
      </c>
      <c r="E16" s="7">
        <v>59</v>
      </c>
      <c r="F16" s="141">
        <f t="shared" si="0"/>
        <v>0.40508474576271186</v>
      </c>
      <c r="G16" s="142">
        <f t="shared" si="1"/>
        <v>70.2</v>
      </c>
      <c r="H16" s="143">
        <f t="shared" si="2"/>
        <v>118</v>
      </c>
      <c r="I16" s="49"/>
      <c r="J16" s="7"/>
      <c r="L16" s="97"/>
    </row>
    <row r="17" spans="1:11" x14ac:dyDescent="0.25">
      <c r="A17" s="315">
        <f t="shared" si="3"/>
        <v>16</v>
      </c>
      <c r="B17" s="314" t="s">
        <v>495</v>
      </c>
      <c r="C17" s="340">
        <v>2</v>
      </c>
      <c r="D17" s="10">
        <v>43.15</v>
      </c>
      <c r="E17" s="7">
        <v>72</v>
      </c>
      <c r="F17" s="141">
        <f t="shared" si="0"/>
        <v>0.40069444444444446</v>
      </c>
      <c r="G17" s="142">
        <f t="shared" si="1"/>
        <v>86.3</v>
      </c>
      <c r="H17" s="143">
        <f t="shared" si="2"/>
        <v>144</v>
      </c>
      <c r="I17" s="49"/>
      <c r="J17" s="7"/>
      <c r="K17" s="97"/>
    </row>
    <row r="18" spans="1:11" x14ac:dyDescent="0.25">
      <c r="A18" s="315">
        <f t="shared" si="3"/>
        <v>17</v>
      </c>
      <c r="B18" s="314" t="s">
        <v>606</v>
      </c>
      <c r="C18" s="340">
        <v>5</v>
      </c>
      <c r="D18" s="10">
        <v>8.6</v>
      </c>
      <c r="E18" s="7">
        <v>19</v>
      </c>
      <c r="F18" s="141">
        <f t="shared" si="0"/>
        <v>0.54736842105263162</v>
      </c>
      <c r="G18" s="142">
        <f t="shared" si="1"/>
        <v>43</v>
      </c>
      <c r="H18" s="143">
        <f t="shared" si="2"/>
        <v>95</v>
      </c>
      <c r="I18" s="16"/>
      <c r="J18" s="7"/>
    </row>
    <row r="19" spans="1:11" x14ac:dyDescent="0.25">
      <c r="A19" s="315">
        <f t="shared" si="3"/>
        <v>18</v>
      </c>
      <c r="B19" s="314" t="s">
        <v>441</v>
      </c>
      <c r="C19" s="340">
        <v>0</v>
      </c>
      <c r="D19" s="10">
        <v>11.5</v>
      </c>
      <c r="E19" s="7">
        <v>22.5</v>
      </c>
      <c r="F19" s="141">
        <f t="shared" si="0"/>
        <v>0.48888888888888887</v>
      </c>
      <c r="G19" s="142">
        <f t="shared" si="1"/>
        <v>0</v>
      </c>
      <c r="H19" s="143">
        <f t="shared" si="2"/>
        <v>0</v>
      </c>
      <c r="I19" s="47"/>
      <c r="J19" s="7"/>
    </row>
    <row r="20" spans="1:11" x14ac:dyDescent="0.25">
      <c r="A20" s="315">
        <f t="shared" si="3"/>
        <v>19</v>
      </c>
      <c r="B20" s="314" t="s">
        <v>275</v>
      </c>
      <c r="C20" s="340">
        <v>8</v>
      </c>
      <c r="D20" s="10">
        <v>3.44</v>
      </c>
      <c r="E20" s="7">
        <v>6</v>
      </c>
      <c r="F20" s="141">
        <f t="shared" si="0"/>
        <v>0.42666666666666669</v>
      </c>
      <c r="G20" s="142">
        <f t="shared" si="1"/>
        <v>27.52</v>
      </c>
      <c r="H20" s="143">
        <f t="shared" si="2"/>
        <v>48</v>
      </c>
      <c r="I20" s="16"/>
      <c r="J20" s="7"/>
    </row>
    <row r="21" spans="1:11" x14ac:dyDescent="0.25">
      <c r="A21" s="315">
        <f t="shared" si="3"/>
        <v>20</v>
      </c>
      <c r="B21" s="314" t="s">
        <v>317</v>
      </c>
      <c r="C21" s="340">
        <v>0</v>
      </c>
      <c r="D21" s="10">
        <v>16.8</v>
      </c>
      <c r="E21" s="7">
        <v>29</v>
      </c>
      <c r="F21" s="141">
        <f t="shared" si="0"/>
        <v>0.42068965517241375</v>
      </c>
      <c r="G21" s="142">
        <f t="shared" si="1"/>
        <v>0</v>
      </c>
      <c r="H21" s="143">
        <f t="shared" si="2"/>
        <v>0</v>
      </c>
      <c r="I21" s="16"/>
      <c r="J21" s="7"/>
    </row>
    <row r="22" spans="1:11" x14ac:dyDescent="0.25">
      <c r="A22" s="315">
        <f t="shared" si="3"/>
        <v>21</v>
      </c>
      <c r="B22" s="314" t="s">
        <v>276</v>
      </c>
      <c r="C22" s="340">
        <v>5</v>
      </c>
      <c r="D22" s="10">
        <v>2.5099999999999998</v>
      </c>
      <c r="E22" s="7">
        <v>4.5</v>
      </c>
      <c r="F22" s="141">
        <f t="shared" si="0"/>
        <v>0.44222222222222229</v>
      </c>
      <c r="G22" s="142">
        <f t="shared" si="1"/>
        <v>12.549999999999999</v>
      </c>
      <c r="H22" s="143">
        <f t="shared" si="2"/>
        <v>22.5</v>
      </c>
      <c r="I22" s="82"/>
      <c r="J22" s="7"/>
    </row>
    <row r="23" spans="1:11" x14ac:dyDescent="0.25">
      <c r="A23" s="315">
        <f t="shared" si="3"/>
        <v>22</v>
      </c>
      <c r="B23" s="314" t="s">
        <v>1119</v>
      </c>
      <c r="C23" s="340">
        <v>2</v>
      </c>
      <c r="D23" s="10">
        <v>27.28</v>
      </c>
      <c r="E23" s="7">
        <v>47</v>
      </c>
      <c r="F23" s="141">
        <f t="shared" si="0"/>
        <v>0.41957446808510634</v>
      </c>
      <c r="G23" s="142">
        <f t="shared" si="1"/>
        <v>54.56</v>
      </c>
      <c r="H23" s="143">
        <f t="shared" si="2"/>
        <v>94</v>
      </c>
      <c r="I23" s="16"/>
      <c r="J23" s="7"/>
    </row>
    <row r="24" spans="1:11" x14ac:dyDescent="0.25">
      <c r="A24" s="315">
        <f t="shared" si="3"/>
        <v>23</v>
      </c>
      <c r="B24" s="314" t="s">
        <v>338</v>
      </c>
      <c r="C24" s="340">
        <v>7</v>
      </c>
      <c r="D24" s="10">
        <v>6.65</v>
      </c>
      <c r="E24" s="7">
        <v>15</v>
      </c>
      <c r="F24" s="141">
        <f t="shared" si="0"/>
        <v>0.55666666666666664</v>
      </c>
      <c r="G24" s="142">
        <f t="shared" si="1"/>
        <v>46.550000000000004</v>
      </c>
      <c r="H24" s="143">
        <f t="shared" si="2"/>
        <v>105</v>
      </c>
      <c r="I24" s="47"/>
      <c r="J24" s="7"/>
    </row>
    <row r="25" spans="1:11" x14ac:dyDescent="0.25">
      <c r="A25" s="315">
        <f t="shared" si="3"/>
        <v>24</v>
      </c>
      <c r="B25" s="314" t="s">
        <v>459</v>
      </c>
      <c r="C25" s="340">
        <v>5</v>
      </c>
      <c r="D25" s="18">
        <v>15.8</v>
      </c>
      <c r="E25" s="44">
        <v>27</v>
      </c>
      <c r="F25" s="141">
        <f t="shared" si="0"/>
        <v>0.4148148148148148</v>
      </c>
      <c r="G25" s="142">
        <f t="shared" si="1"/>
        <v>79</v>
      </c>
      <c r="H25" s="143">
        <f t="shared" si="2"/>
        <v>135</v>
      </c>
      <c r="I25" s="16"/>
      <c r="J25" s="7"/>
    </row>
    <row r="26" spans="1:11" x14ac:dyDescent="0.25">
      <c r="A26" s="315">
        <f t="shared" si="3"/>
        <v>25</v>
      </c>
      <c r="B26" s="651" t="s">
        <v>53</v>
      </c>
      <c r="C26" s="653">
        <v>6</v>
      </c>
      <c r="D26" s="10">
        <v>4.5</v>
      </c>
      <c r="E26" s="7">
        <v>10</v>
      </c>
      <c r="F26" s="141">
        <f t="shared" si="0"/>
        <v>0.55000000000000004</v>
      </c>
      <c r="G26" s="142">
        <f t="shared" si="1"/>
        <v>27</v>
      </c>
      <c r="H26" s="143">
        <f t="shared" si="2"/>
        <v>60</v>
      </c>
      <c r="I26" s="16"/>
      <c r="J26" s="7"/>
    </row>
    <row r="27" spans="1:11" x14ac:dyDescent="0.25">
      <c r="A27" s="315">
        <f t="shared" si="3"/>
        <v>26</v>
      </c>
      <c r="B27" s="314" t="s">
        <v>192</v>
      </c>
      <c r="C27" s="340">
        <v>3</v>
      </c>
      <c r="D27" s="10">
        <v>13.05</v>
      </c>
      <c r="E27" s="7">
        <v>23</v>
      </c>
      <c r="F27" s="141">
        <f t="shared" si="0"/>
        <v>0.43260869565217386</v>
      </c>
      <c r="G27" s="142">
        <f t="shared" si="1"/>
        <v>39.150000000000006</v>
      </c>
      <c r="H27" s="143">
        <f t="shared" si="2"/>
        <v>69</v>
      </c>
      <c r="I27" s="47"/>
      <c r="J27" s="7"/>
    </row>
    <row r="28" spans="1:11" x14ac:dyDescent="0.25">
      <c r="A28" s="315">
        <f t="shared" si="3"/>
        <v>27</v>
      </c>
      <c r="B28" s="314" t="s">
        <v>331</v>
      </c>
      <c r="C28" s="340">
        <v>2</v>
      </c>
      <c r="D28" s="10">
        <v>19.899999999999999</v>
      </c>
      <c r="E28" s="7">
        <v>34</v>
      </c>
      <c r="F28" s="141">
        <f t="shared" si="0"/>
        <v>0.4147058823529412</v>
      </c>
      <c r="G28" s="142">
        <f t="shared" si="1"/>
        <v>39.799999999999997</v>
      </c>
      <c r="H28" s="143">
        <f t="shared" si="2"/>
        <v>68</v>
      </c>
      <c r="I28" s="16"/>
      <c r="J28" s="7"/>
    </row>
    <row r="29" spans="1:11" x14ac:dyDescent="0.25">
      <c r="A29" s="315">
        <f t="shared" si="3"/>
        <v>28</v>
      </c>
      <c r="B29" s="651" t="s">
        <v>848</v>
      </c>
      <c r="C29" s="653">
        <v>1</v>
      </c>
      <c r="D29" s="10">
        <v>35.299999999999997</v>
      </c>
      <c r="E29" s="7">
        <v>59</v>
      </c>
      <c r="F29" s="141">
        <f t="shared" si="0"/>
        <v>0.40169491525423734</v>
      </c>
      <c r="G29" s="142">
        <f t="shared" si="1"/>
        <v>35.299999999999997</v>
      </c>
      <c r="H29" s="143">
        <f t="shared" si="2"/>
        <v>59</v>
      </c>
      <c r="I29" s="82"/>
      <c r="J29" s="7"/>
    </row>
    <row r="30" spans="1:11" x14ac:dyDescent="0.25">
      <c r="A30" s="315">
        <f t="shared" si="3"/>
        <v>29</v>
      </c>
      <c r="B30" s="314" t="s">
        <v>432</v>
      </c>
      <c r="C30" s="340">
        <v>39</v>
      </c>
      <c r="D30" s="10">
        <v>0.6</v>
      </c>
      <c r="E30" s="44">
        <v>1</v>
      </c>
      <c r="F30" s="141">
        <f t="shared" si="0"/>
        <v>0.4</v>
      </c>
      <c r="G30" s="142">
        <f t="shared" si="1"/>
        <v>23.4</v>
      </c>
      <c r="H30" s="143">
        <f t="shared" si="2"/>
        <v>39</v>
      </c>
      <c r="I30" s="16"/>
      <c r="J30" s="7"/>
    </row>
    <row r="31" spans="1:11" x14ac:dyDescent="0.25">
      <c r="A31" s="315">
        <f t="shared" si="3"/>
        <v>30</v>
      </c>
      <c r="B31" s="314" t="s">
        <v>853</v>
      </c>
      <c r="C31" s="340">
        <v>9</v>
      </c>
      <c r="D31" s="10">
        <v>0.84</v>
      </c>
      <c r="E31" s="7">
        <v>1.67</v>
      </c>
      <c r="F31" s="141">
        <f t="shared" si="0"/>
        <v>0.49700598802395207</v>
      </c>
      <c r="G31" s="142">
        <f t="shared" si="1"/>
        <v>7.56</v>
      </c>
      <c r="H31" s="143">
        <f t="shared" si="2"/>
        <v>15.03</v>
      </c>
      <c r="I31" s="16"/>
      <c r="J31" s="7"/>
    </row>
    <row r="32" spans="1:11" x14ac:dyDescent="0.25">
      <c r="A32" s="315">
        <f t="shared" si="3"/>
        <v>31</v>
      </c>
      <c r="B32" s="314" t="s">
        <v>887</v>
      </c>
      <c r="C32" s="340">
        <v>33</v>
      </c>
      <c r="D32" s="10">
        <v>2.335</v>
      </c>
      <c r="E32" s="7">
        <v>3.8</v>
      </c>
      <c r="F32" s="141">
        <f t="shared" si="0"/>
        <v>0.38552631578947366</v>
      </c>
      <c r="G32" s="142">
        <f t="shared" si="1"/>
        <v>77.054999999999993</v>
      </c>
      <c r="H32" s="143">
        <f t="shared" si="2"/>
        <v>125.39999999999999</v>
      </c>
      <c r="I32" s="16"/>
      <c r="J32" s="7"/>
    </row>
    <row r="33" spans="1:17" x14ac:dyDescent="0.25">
      <c r="A33" s="315">
        <f t="shared" si="3"/>
        <v>32</v>
      </c>
      <c r="B33" s="314" t="s">
        <v>572</v>
      </c>
      <c r="C33" s="340">
        <v>3</v>
      </c>
      <c r="D33" s="10">
        <v>35</v>
      </c>
      <c r="E33" s="7">
        <v>58</v>
      </c>
      <c r="F33" s="141">
        <f t="shared" si="0"/>
        <v>0.39655172413793105</v>
      </c>
      <c r="G33" s="142">
        <f t="shared" si="1"/>
        <v>105</v>
      </c>
      <c r="H33" s="143">
        <f t="shared" si="2"/>
        <v>174</v>
      </c>
      <c r="I33" s="95"/>
      <c r="J33" s="7"/>
    </row>
    <row r="34" spans="1:17" x14ac:dyDescent="0.25">
      <c r="A34" s="315">
        <f t="shared" si="3"/>
        <v>33</v>
      </c>
      <c r="B34" s="314" t="s">
        <v>1148</v>
      </c>
      <c r="C34" s="415">
        <v>90</v>
      </c>
      <c r="D34" s="10">
        <v>1.26</v>
      </c>
      <c r="E34" s="7">
        <v>2.5</v>
      </c>
      <c r="F34" s="141">
        <f t="shared" si="0"/>
        <v>0.496</v>
      </c>
      <c r="G34" s="142">
        <f t="shared" si="1"/>
        <v>113.4</v>
      </c>
      <c r="H34" s="143">
        <f t="shared" si="2"/>
        <v>225</v>
      </c>
      <c r="I34" s="16"/>
      <c r="J34" s="7"/>
    </row>
    <row r="35" spans="1:17" x14ac:dyDescent="0.25">
      <c r="A35" s="315">
        <f t="shared" si="3"/>
        <v>34</v>
      </c>
      <c r="B35" s="314" t="s">
        <v>16</v>
      </c>
      <c r="C35" s="340">
        <v>2</v>
      </c>
      <c r="D35" s="10">
        <v>7.8</v>
      </c>
      <c r="E35" s="7">
        <v>14</v>
      </c>
      <c r="F35" s="141">
        <f t="shared" si="0"/>
        <v>0.44285714285714289</v>
      </c>
      <c r="G35" s="142">
        <f t="shared" si="1"/>
        <v>15.6</v>
      </c>
      <c r="H35" s="143">
        <f t="shared" si="2"/>
        <v>28</v>
      </c>
      <c r="I35" s="16"/>
      <c r="J35" s="7"/>
    </row>
    <row r="36" spans="1:17" x14ac:dyDescent="0.25">
      <c r="A36" s="315">
        <f t="shared" si="3"/>
        <v>35</v>
      </c>
      <c r="B36" s="314" t="s">
        <v>194</v>
      </c>
      <c r="C36" s="340">
        <v>5</v>
      </c>
      <c r="D36" s="10">
        <v>12.55</v>
      </c>
      <c r="E36" s="7">
        <v>22</v>
      </c>
      <c r="F36" s="141">
        <f t="shared" si="0"/>
        <v>0.42954545454545451</v>
      </c>
      <c r="G36" s="142">
        <f t="shared" si="1"/>
        <v>62.75</v>
      </c>
      <c r="H36" s="143">
        <f t="shared" si="2"/>
        <v>110</v>
      </c>
      <c r="I36" s="16"/>
      <c r="J36" s="7"/>
    </row>
    <row r="37" spans="1:17" x14ac:dyDescent="0.25">
      <c r="A37" s="315">
        <f t="shared" si="3"/>
        <v>36</v>
      </c>
      <c r="B37" s="314" t="s">
        <v>1120</v>
      </c>
      <c r="C37" s="340">
        <v>5</v>
      </c>
      <c r="D37" s="10">
        <v>8.67</v>
      </c>
      <c r="E37" s="7">
        <v>15</v>
      </c>
      <c r="F37" s="141">
        <f t="shared" si="0"/>
        <v>0.42199999999999999</v>
      </c>
      <c r="G37" s="142">
        <f t="shared" si="1"/>
        <v>43.35</v>
      </c>
      <c r="H37" s="143">
        <f t="shared" si="2"/>
        <v>75</v>
      </c>
      <c r="I37" s="16"/>
      <c r="J37" s="7"/>
    </row>
    <row r="38" spans="1:17" x14ac:dyDescent="0.25">
      <c r="A38" s="315">
        <f t="shared" si="3"/>
        <v>37</v>
      </c>
      <c r="B38" s="314" t="s">
        <v>545</v>
      </c>
      <c r="C38" s="340">
        <v>2</v>
      </c>
      <c r="D38" s="18">
        <v>32.4</v>
      </c>
      <c r="E38" s="44">
        <v>52</v>
      </c>
      <c r="F38" s="141">
        <f t="shared" si="0"/>
        <v>0.37692307692307697</v>
      </c>
      <c r="G38" s="142">
        <f t="shared" si="1"/>
        <v>64.8</v>
      </c>
      <c r="H38" s="143">
        <f t="shared" si="2"/>
        <v>104</v>
      </c>
      <c r="I38" s="49"/>
      <c r="J38" s="7"/>
    </row>
    <row r="39" spans="1:17" x14ac:dyDescent="0.25">
      <c r="A39" s="315">
        <f t="shared" si="3"/>
        <v>38</v>
      </c>
      <c r="B39" s="314" t="s">
        <v>76</v>
      </c>
      <c r="C39" s="340">
        <v>1</v>
      </c>
      <c r="D39" s="10">
        <v>40.049999999999997</v>
      </c>
      <c r="E39" s="7">
        <v>66</v>
      </c>
      <c r="F39" s="141">
        <f t="shared" si="0"/>
        <v>0.39318181818181824</v>
      </c>
      <c r="G39" s="142">
        <f t="shared" si="1"/>
        <v>40.049999999999997</v>
      </c>
      <c r="H39" s="143">
        <f t="shared" si="2"/>
        <v>66</v>
      </c>
      <c r="I39" s="49"/>
      <c r="J39" s="7"/>
    </row>
    <row r="40" spans="1:17" x14ac:dyDescent="0.25">
      <c r="A40" s="315">
        <f t="shared" si="3"/>
        <v>39</v>
      </c>
      <c r="B40" s="314" t="s">
        <v>163</v>
      </c>
      <c r="C40" s="340">
        <v>1</v>
      </c>
      <c r="D40" s="10">
        <v>19.100000000000001</v>
      </c>
      <c r="E40" s="7">
        <v>35</v>
      </c>
      <c r="F40" s="141">
        <f t="shared" si="0"/>
        <v>0.45428571428571424</v>
      </c>
      <c r="G40" s="142">
        <f t="shared" si="1"/>
        <v>19.100000000000001</v>
      </c>
      <c r="H40" s="143">
        <f t="shared" si="2"/>
        <v>35</v>
      </c>
      <c r="I40" s="16"/>
      <c r="J40" s="7"/>
    </row>
    <row r="41" spans="1:17" x14ac:dyDescent="0.25">
      <c r="A41" s="315">
        <f t="shared" si="3"/>
        <v>40</v>
      </c>
      <c r="B41" s="314" t="s">
        <v>1121</v>
      </c>
      <c r="C41" s="340">
        <v>6</v>
      </c>
      <c r="D41" s="10">
        <v>18.899999999999999</v>
      </c>
      <c r="E41" s="7">
        <v>33</v>
      </c>
      <c r="F41" s="141">
        <f t="shared" si="0"/>
        <v>0.4272727272727273</v>
      </c>
      <c r="G41" s="142">
        <f t="shared" si="1"/>
        <v>113.39999999999999</v>
      </c>
      <c r="H41" s="143">
        <f t="shared" si="2"/>
        <v>198</v>
      </c>
      <c r="I41" s="49"/>
      <c r="J41" s="7"/>
    </row>
    <row r="42" spans="1:17" x14ac:dyDescent="0.25">
      <c r="A42" s="315">
        <f t="shared" si="3"/>
        <v>41</v>
      </c>
      <c r="B42" s="314" t="s">
        <v>1122</v>
      </c>
      <c r="C42" s="340">
        <v>9</v>
      </c>
      <c r="D42" s="10">
        <v>2.64</v>
      </c>
      <c r="E42" s="7">
        <v>7</v>
      </c>
      <c r="F42" s="141">
        <f t="shared" si="0"/>
        <v>0.62285714285714278</v>
      </c>
      <c r="G42" s="142">
        <f t="shared" si="1"/>
        <v>23.76</v>
      </c>
      <c r="H42" s="143">
        <f t="shared" si="2"/>
        <v>63</v>
      </c>
      <c r="I42" s="38"/>
      <c r="J42" s="7"/>
    </row>
    <row r="43" spans="1:17" x14ac:dyDescent="0.25">
      <c r="A43" s="315">
        <f t="shared" si="3"/>
        <v>42</v>
      </c>
      <c r="B43" s="314" t="s">
        <v>968</v>
      </c>
      <c r="C43" s="340">
        <v>37</v>
      </c>
      <c r="D43" s="10">
        <v>1.53</v>
      </c>
      <c r="E43" s="7">
        <v>2.5</v>
      </c>
      <c r="F43" s="141">
        <f t="shared" si="0"/>
        <v>0.38800000000000001</v>
      </c>
      <c r="G43" s="142">
        <f t="shared" si="1"/>
        <v>56.61</v>
      </c>
      <c r="H43" s="143">
        <f t="shared" si="2"/>
        <v>92.5</v>
      </c>
      <c r="I43" s="38"/>
      <c r="J43" s="7"/>
    </row>
    <row r="44" spans="1:17" x14ac:dyDescent="0.25">
      <c r="A44" s="315">
        <f t="shared" si="3"/>
        <v>43</v>
      </c>
      <c r="B44" s="651" t="s">
        <v>1007</v>
      </c>
      <c r="C44" s="653">
        <v>44</v>
      </c>
      <c r="D44" s="15">
        <v>2.7639999999999998</v>
      </c>
      <c r="E44" s="7">
        <v>4.33</v>
      </c>
      <c r="F44" s="141">
        <f t="shared" si="0"/>
        <v>0.36166281755196311</v>
      </c>
      <c r="G44" s="142">
        <f t="shared" si="1"/>
        <v>121.61599999999999</v>
      </c>
      <c r="H44" s="143">
        <f t="shared" si="2"/>
        <v>190.52</v>
      </c>
      <c r="I44" s="38"/>
      <c r="J44" s="7"/>
    </row>
    <row r="45" spans="1:17" x14ac:dyDescent="0.25">
      <c r="A45" s="315">
        <f t="shared" si="3"/>
        <v>44</v>
      </c>
      <c r="B45" s="314" t="s">
        <v>161</v>
      </c>
      <c r="C45" s="340">
        <v>6</v>
      </c>
      <c r="D45" s="10">
        <v>18.75</v>
      </c>
      <c r="E45" s="7">
        <v>32</v>
      </c>
      <c r="F45" s="141">
        <f t="shared" si="0"/>
        <v>0.4140625</v>
      </c>
      <c r="G45" s="142">
        <f t="shared" si="1"/>
        <v>112.5</v>
      </c>
      <c r="H45" s="143">
        <f t="shared" si="2"/>
        <v>192</v>
      </c>
      <c r="I45" s="178"/>
      <c r="J45" s="7"/>
      <c r="M45" s="36"/>
      <c r="N45" s="36"/>
      <c r="O45" s="35"/>
      <c r="P45" s="34"/>
      <c r="Q45" s="33"/>
    </row>
    <row r="46" spans="1:17" x14ac:dyDescent="0.25">
      <c r="A46" s="315">
        <f t="shared" si="3"/>
        <v>45</v>
      </c>
      <c r="B46" s="314" t="s">
        <v>246</v>
      </c>
      <c r="C46" s="340">
        <v>3</v>
      </c>
      <c r="D46" s="10">
        <v>15.7</v>
      </c>
      <c r="E46" s="7">
        <v>28</v>
      </c>
      <c r="F46" s="141">
        <f t="shared" si="0"/>
        <v>0.43928571428571433</v>
      </c>
      <c r="G46" s="142">
        <f t="shared" si="1"/>
        <v>47.099999999999994</v>
      </c>
      <c r="H46" s="143">
        <f t="shared" si="2"/>
        <v>84</v>
      </c>
      <c r="I46" s="38"/>
      <c r="J46" s="7"/>
    </row>
    <row r="47" spans="1:17" x14ac:dyDescent="0.25">
      <c r="A47" s="315">
        <f t="shared" si="3"/>
        <v>46</v>
      </c>
      <c r="B47" s="314" t="s">
        <v>71</v>
      </c>
      <c r="C47" s="340">
        <v>4</v>
      </c>
      <c r="D47" s="10">
        <v>13.7</v>
      </c>
      <c r="E47" s="7">
        <v>24</v>
      </c>
      <c r="F47" s="141">
        <f t="shared" si="0"/>
        <v>0.4291666666666667</v>
      </c>
      <c r="G47" s="142">
        <f t="shared" si="1"/>
        <v>54.8</v>
      </c>
      <c r="H47" s="143">
        <f t="shared" si="2"/>
        <v>96</v>
      </c>
      <c r="I47" s="38"/>
      <c r="J47" s="7"/>
    </row>
    <row r="48" spans="1:17" x14ac:dyDescent="0.25">
      <c r="A48" s="315">
        <f t="shared" si="3"/>
        <v>47</v>
      </c>
      <c r="B48" s="314" t="s">
        <v>150</v>
      </c>
      <c r="C48" s="340">
        <v>2</v>
      </c>
      <c r="D48" s="10">
        <v>8.8000000000000007</v>
      </c>
      <c r="E48" s="7">
        <v>16</v>
      </c>
      <c r="F48" s="141">
        <f t="shared" si="0"/>
        <v>0.44999999999999996</v>
      </c>
      <c r="G48" s="142">
        <f t="shared" si="1"/>
        <v>17.600000000000001</v>
      </c>
      <c r="H48" s="143">
        <f t="shared" si="2"/>
        <v>32</v>
      </c>
      <c r="I48" s="38"/>
      <c r="J48" s="7"/>
    </row>
    <row r="49" spans="1:11" x14ac:dyDescent="0.25">
      <c r="A49" s="315">
        <f t="shared" si="3"/>
        <v>48</v>
      </c>
      <c r="B49" s="314" t="s">
        <v>306</v>
      </c>
      <c r="C49" s="340">
        <v>6</v>
      </c>
      <c r="D49" s="10">
        <v>1.89</v>
      </c>
      <c r="E49" s="7">
        <v>3.5</v>
      </c>
      <c r="F49" s="141">
        <f t="shared" si="0"/>
        <v>0.46</v>
      </c>
      <c r="G49" s="142">
        <f t="shared" si="1"/>
        <v>11.34</v>
      </c>
      <c r="H49" s="143">
        <f t="shared" si="2"/>
        <v>21</v>
      </c>
      <c r="I49" s="38"/>
      <c r="J49" s="7"/>
      <c r="K49" s="38"/>
    </row>
    <row r="50" spans="1:11" x14ac:dyDescent="0.25">
      <c r="A50" s="315">
        <f t="shared" si="3"/>
        <v>49</v>
      </c>
      <c r="B50" s="314" t="s">
        <v>1358</v>
      </c>
      <c r="C50" s="340">
        <v>4</v>
      </c>
      <c r="D50" s="10">
        <v>1.9</v>
      </c>
      <c r="E50" s="7">
        <v>4</v>
      </c>
      <c r="F50" s="141">
        <f t="shared" si="0"/>
        <v>0.52500000000000002</v>
      </c>
      <c r="G50" s="142">
        <f t="shared" si="1"/>
        <v>7.6</v>
      </c>
      <c r="H50" s="143">
        <f t="shared" si="2"/>
        <v>16</v>
      </c>
      <c r="I50" s="38"/>
      <c r="J50" s="7"/>
    </row>
    <row r="51" spans="1:11" x14ac:dyDescent="0.25">
      <c r="A51" s="315">
        <f t="shared" si="3"/>
        <v>50</v>
      </c>
      <c r="B51" s="314" t="s">
        <v>104</v>
      </c>
      <c r="C51" s="340">
        <v>3</v>
      </c>
      <c r="D51" s="10">
        <v>6.05</v>
      </c>
      <c r="E51" s="7">
        <v>10</v>
      </c>
      <c r="F51" s="141">
        <f t="shared" si="0"/>
        <v>0.39500000000000002</v>
      </c>
      <c r="G51" s="142">
        <f t="shared" si="1"/>
        <v>18.149999999999999</v>
      </c>
      <c r="H51" s="143">
        <f t="shared" si="2"/>
        <v>30</v>
      </c>
      <c r="J51" s="7"/>
    </row>
    <row r="52" spans="1:11" x14ac:dyDescent="0.25">
      <c r="A52" s="315">
        <f t="shared" si="3"/>
        <v>51</v>
      </c>
      <c r="B52" s="314" t="s">
        <v>784</v>
      </c>
      <c r="C52" s="340">
        <v>110</v>
      </c>
      <c r="D52" s="10">
        <v>0.376</v>
      </c>
      <c r="E52" s="7">
        <v>1</v>
      </c>
      <c r="F52" s="141">
        <f t="shared" si="0"/>
        <v>0.624</v>
      </c>
      <c r="G52" s="142">
        <f t="shared" si="1"/>
        <v>41.36</v>
      </c>
      <c r="H52" s="143">
        <f t="shared" si="2"/>
        <v>110</v>
      </c>
      <c r="I52" s="38"/>
      <c r="J52" s="7"/>
    </row>
    <row r="53" spans="1:11" x14ac:dyDescent="0.25">
      <c r="A53" s="315">
        <f t="shared" si="3"/>
        <v>52</v>
      </c>
      <c r="B53" s="314" t="s">
        <v>173</v>
      </c>
      <c r="C53" s="340">
        <v>2</v>
      </c>
      <c r="D53" s="10">
        <v>5.65</v>
      </c>
      <c r="E53" s="7">
        <v>10</v>
      </c>
      <c r="F53" s="141">
        <f t="shared" si="0"/>
        <v>0.43499999999999994</v>
      </c>
      <c r="G53" s="142">
        <f t="shared" si="1"/>
        <v>11.3</v>
      </c>
      <c r="H53" s="143">
        <f t="shared" si="2"/>
        <v>20</v>
      </c>
      <c r="I53" s="55"/>
      <c r="J53" s="7"/>
    </row>
    <row r="54" spans="1:11" x14ac:dyDescent="0.25">
      <c r="A54" s="315">
        <f t="shared" si="3"/>
        <v>53</v>
      </c>
      <c r="B54" s="314" t="s">
        <v>1337</v>
      </c>
      <c r="C54" s="340">
        <v>2</v>
      </c>
      <c r="D54" s="10">
        <v>3.6</v>
      </c>
      <c r="E54" s="7">
        <v>9</v>
      </c>
      <c r="F54" s="141">
        <f t="shared" si="0"/>
        <v>0.60000000000000009</v>
      </c>
      <c r="G54" s="142">
        <f t="shared" si="1"/>
        <v>7.2</v>
      </c>
      <c r="H54" s="143">
        <f t="shared" si="2"/>
        <v>18</v>
      </c>
      <c r="J54" s="7"/>
    </row>
    <row r="55" spans="1:11" x14ac:dyDescent="0.25">
      <c r="A55" s="315">
        <f t="shared" si="3"/>
        <v>54</v>
      </c>
      <c r="B55" s="314" t="s">
        <v>197</v>
      </c>
      <c r="C55" s="340">
        <v>2</v>
      </c>
      <c r="D55" s="10">
        <v>11.7</v>
      </c>
      <c r="E55" s="7">
        <v>20</v>
      </c>
      <c r="F55" s="141">
        <f t="shared" si="0"/>
        <v>0.41500000000000004</v>
      </c>
      <c r="G55" s="142">
        <f t="shared" si="1"/>
        <v>23.4</v>
      </c>
      <c r="H55" s="143">
        <f t="shared" si="2"/>
        <v>40</v>
      </c>
      <c r="I55" s="38"/>
      <c r="J55" s="7"/>
    </row>
    <row r="56" spans="1:11" x14ac:dyDescent="0.25">
      <c r="A56" s="315">
        <f t="shared" si="3"/>
        <v>55</v>
      </c>
      <c r="B56" s="314" t="s">
        <v>123</v>
      </c>
      <c r="C56" s="340">
        <v>2</v>
      </c>
      <c r="D56" s="10">
        <v>9.5</v>
      </c>
      <c r="E56" s="7">
        <v>16</v>
      </c>
      <c r="F56" s="141">
        <f t="shared" si="0"/>
        <v>0.40625</v>
      </c>
      <c r="G56" s="142">
        <f t="shared" si="1"/>
        <v>19</v>
      </c>
      <c r="H56" s="143">
        <f t="shared" si="2"/>
        <v>32</v>
      </c>
      <c r="I56" s="38"/>
      <c r="J56" s="7"/>
    </row>
    <row r="57" spans="1:11" x14ac:dyDescent="0.25">
      <c r="A57" s="315">
        <f t="shared" si="3"/>
        <v>56</v>
      </c>
      <c r="B57" s="314" t="s">
        <v>533</v>
      </c>
      <c r="C57" s="415">
        <v>0</v>
      </c>
      <c r="D57" s="10">
        <v>0</v>
      </c>
      <c r="E57" s="7">
        <v>0</v>
      </c>
      <c r="F57" s="141" t="e">
        <f t="shared" si="0"/>
        <v>#DIV/0!</v>
      </c>
      <c r="G57" s="142">
        <f t="shared" si="1"/>
        <v>0</v>
      </c>
      <c r="H57" s="143">
        <f t="shared" si="2"/>
        <v>0</v>
      </c>
      <c r="J57" s="7"/>
    </row>
    <row r="58" spans="1:11" x14ac:dyDescent="0.25">
      <c r="A58" s="315">
        <f t="shared" si="3"/>
        <v>57</v>
      </c>
      <c r="B58" s="314" t="s">
        <v>636</v>
      </c>
      <c r="C58" s="413">
        <v>0</v>
      </c>
      <c r="D58" s="404">
        <v>0</v>
      </c>
      <c r="E58" s="448">
        <v>0</v>
      </c>
      <c r="F58" s="141" t="e">
        <f t="shared" si="0"/>
        <v>#DIV/0!</v>
      </c>
      <c r="G58" s="142">
        <f t="shared" si="1"/>
        <v>0</v>
      </c>
      <c r="H58" s="143">
        <f t="shared" si="2"/>
        <v>0</v>
      </c>
      <c r="I58" s="38"/>
      <c r="J58" s="7"/>
    </row>
    <row r="59" spans="1:11" x14ac:dyDescent="0.25">
      <c r="A59" s="315">
        <f t="shared" si="3"/>
        <v>58</v>
      </c>
      <c r="B59" s="651" t="s">
        <v>202</v>
      </c>
      <c r="C59" s="653">
        <v>11</v>
      </c>
      <c r="D59" s="10">
        <v>9.1950000000000003</v>
      </c>
      <c r="E59" s="7">
        <v>17</v>
      </c>
      <c r="F59" s="141">
        <f t="shared" si="0"/>
        <v>0.45911764705882352</v>
      </c>
      <c r="G59" s="142">
        <f t="shared" si="1"/>
        <v>101.14500000000001</v>
      </c>
      <c r="H59" s="143">
        <f t="shared" si="2"/>
        <v>187</v>
      </c>
      <c r="I59" s="55"/>
      <c r="J59" s="7"/>
    </row>
    <row r="60" spans="1:11" x14ac:dyDescent="0.25">
      <c r="A60" s="315">
        <f t="shared" si="3"/>
        <v>59</v>
      </c>
      <c r="B60" s="314" t="s">
        <v>1477</v>
      </c>
      <c r="C60" s="340">
        <v>8</v>
      </c>
      <c r="D60" s="10">
        <v>11.7</v>
      </c>
      <c r="E60" s="7">
        <v>20</v>
      </c>
      <c r="F60" s="141">
        <f t="shared" si="0"/>
        <v>0.41500000000000004</v>
      </c>
      <c r="G60" s="142">
        <f t="shared" si="1"/>
        <v>93.6</v>
      </c>
      <c r="H60" s="143">
        <f t="shared" si="2"/>
        <v>160</v>
      </c>
      <c r="J60" s="7"/>
    </row>
    <row r="61" spans="1:11" x14ac:dyDescent="0.25">
      <c r="A61" s="315">
        <f t="shared" si="3"/>
        <v>60</v>
      </c>
      <c r="B61" s="314" t="s">
        <v>481</v>
      </c>
      <c r="C61" s="340">
        <v>8</v>
      </c>
      <c r="D61" s="10">
        <v>6.09</v>
      </c>
      <c r="E61" s="7">
        <v>10</v>
      </c>
      <c r="F61" s="141">
        <f t="shared" si="0"/>
        <v>0.39100000000000001</v>
      </c>
      <c r="G61" s="142">
        <f t="shared" si="1"/>
        <v>48.72</v>
      </c>
      <c r="H61" s="143">
        <f t="shared" si="2"/>
        <v>80</v>
      </c>
      <c r="J61" s="7"/>
    </row>
    <row r="62" spans="1:11" x14ac:dyDescent="0.25">
      <c r="A62" s="315">
        <f t="shared" si="3"/>
        <v>61</v>
      </c>
      <c r="B62" s="314" t="s">
        <v>198</v>
      </c>
      <c r="C62" s="340">
        <v>13</v>
      </c>
      <c r="D62" s="10">
        <v>1.2</v>
      </c>
      <c r="E62" s="7">
        <v>3</v>
      </c>
      <c r="F62" s="141">
        <f t="shared" si="0"/>
        <v>0.6</v>
      </c>
      <c r="G62" s="142">
        <f t="shared" si="1"/>
        <v>15.6</v>
      </c>
      <c r="H62" s="143">
        <f t="shared" si="2"/>
        <v>39</v>
      </c>
      <c r="I62" s="55"/>
      <c r="J62" s="7"/>
    </row>
    <row r="63" spans="1:11" x14ac:dyDescent="0.25">
      <c r="A63" s="315">
        <f t="shared" si="3"/>
        <v>62</v>
      </c>
      <c r="B63" s="314" t="s">
        <v>199</v>
      </c>
      <c r="C63" s="340">
        <v>11</v>
      </c>
      <c r="D63" s="10">
        <v>1.35</v>
      </c>
      <c r="E63" s="7">
        <v>3</v>
      </c>
      <c r="F63" s="141">
        <f t="shared" si="0"/>
        <v>0.54999999999999993</v>
      </c>
      <c r="G63" s="142">
        <f t="shared" si="1"/>
        <v>14.850000000000001</v>
      </c>
      <c r="H63" s="143">
        <f t="shared" si="2"/>
        <v>33</v>
      </c>
      <c r="J63" s="7"/>
    </row>
    <row r="64" spans="1:11" x14ac:dyDescent="0.25">
      <c r="A64" s="315">
        <f t="shared" si="3"/>
        <v>63</v>
      </c>
      <c r="B64" s="314" t="s">
        <v>196</v>
      </c>
      <c r="C64" s="340">
        <v>2</v>
      </c>
      <c r="D64" s="10">
        <v>1.35</v>
      </c>
      <c r="E64" s="7">
        <v>3</v>
      </c>
      <c r="F64" s="141">
        <f t="shared" si="0"/>
        <v>0.54999999999999993</v>
      </c>
      <c r="G64" s="142">
        <f t="shared" si="1"/>
        <v>2.7</v>
      </c>
      <c r="H64" s="143">
        <f t="shared" si="2"/>
        <v>6</v>
      </c>
      <c r="I64" s="38"/>
      <c r="J64" s="7"/>
    </row>
    <row r="65" spans="1:10" x14ac:dyDescent="0.25">
      <c r="A65" s="315">
        <f t="shared" si="3"/>
        <v>64</v>
      </c>
      <c r="B65" s="314" t="s">
        <v>236</v>
      </c>
      <c r="C65" s="340">
        <v>1</v>
      </c>
      <c r="D65" s="10">
        <v>34.049999999999997</v>
      </c>
      <c r="E65" s="7">
        <v>58</v>
      </c>
      <c r="F65" s="141">
        <f t="shared" si="0"/>
        <v>0.4129310344827587</v>
      </c>
      <c r="G65" s="142">
        <f t="shared" si="1"/>
        <v>34.049999999999997</v>
      </c>
      <c r="H65" s="143">
        <f t="shared" si="2"/>
        <v>58</v>
      </c>
      <c r="J65" s="7"/>
    </row>
    <row r="66" spans="1:10" x14ac:dyDescent="0.25">
      <c r="A66" s="315">
        <f t="shared" si="3"/>
        <v>65</v>
      </c>
      <c r="B66" s="314" t="s">
        <v>782</v>
      </c>
      <c r="C66" s="340">
        <v>2</v>
      </c>
      <c r="D66" s="10">
        <v>24</v>
      </c>
      <c r="E66" s="7">
        <v>40</v>
      </c>
      <c r="F66" s="141">
        <f t="shared" ref="F66:F129" si="4">(E66-D66)/(E66)</f>
        <v>0.4</v>
      </c>
      <c r="G66" s="142">
        <f t="shared" ref="G66:G129" si="5">D66*C66</f>
        <v>48</v>
      </c>
      <c r="H66" s="143">
        <f t="shared" ref="H66:H129" si="6">E66*C66</f>
        <v>80</v>
      </c>
      <c r="J66" s="7"/>
    </row>
    <row r="67" spans="1:10" x14ac:dyDescent="0.25">
      <c r="A67" s="315">
        <f t="shared" ref="A67:A124" si="7">A66+1</f>
        <v>66</v>
      </c>
      <c r="B67" s="314" t="s">
        <v>1188</v>
      </c>
      <c r="C67" s="340">
        <v>68</v>
      </c>
      <c r="D67" s="10">
        <v>0.48</v>
      </c>
      <c r="E67" s="7">
        <v>1</v>
      </c>
      <c r="F67" s="141">
        <f t="shared" si="4"/>
        <v>0.52</v>
      </c>
      <c r="G67" s="142">
        <f t="shared" si="5"/>
        <v>32.64</v>
      </c>
      <c r="H67" s="143">
        <f t="shared" si="6"/>
        <v>68</v>
      </c>
      <c r="I67" s="38"/>
      <c r="J67" s="7"/>
    </row>
    <row r="68" spans="1:10" ht="14.25" customHeight="1" x14ac:dyDescent="0.25">
      <c r="A68" s="315">
        <f t="shared" si="7"/>
        <v>67</v>
      </c>
      <c r="B68" s="314" t="s">
        <v>237</v>
      </c>
      <c r="C68" s="340">
        <v>2</v>
      </c>
      <c r="D68" s="10">
        <v>14.3</v>
      </c>
      <c r="E68" s="7">
        <v>26</v>
      </c>
      <c r="F68" s="141">
        <f t="shared" si="4"/>
        <v>0.44999999999999996</v>
      </c>
      <c r="G68" s="142">
        <f t="shared" si="5"/>
        <v>28.6</v>
      </c>
      <c r="H68" s="143">
        <f t="shared" si="6"/>
        <v>52</v>
      </c>
      <c r="J68" s="7"/>
    </row>
    <row r="69" spans="1:10" x14ac:dyDescent="0.25">
      <c r="A69" s="315">
        <f t="shared" si="7"/>
        <v>68</v>
      </c>
      <c r="B69" s="314" t="s">
        <v>1222</v>
      </c>
      <c r="C69" s="340">
        <v>12</v>
      </c>
      <c r="D69" s="10">
        <v>1.92</v>
      </c>
      <c r="E69" s="7">
        <v>4</v>
      </c>
      <c r="F69" s="141">
        <f t="shared" si="4"/>
        <v>0.52</v>
      </c>
      <c r="G69" s="142">
        <f t="shared" si="5"/>
        <v>23.04</v>
      </c>
      <c r="H69" s="143">
        <f t="shared" si="6"/>
        <v>48</v>
      </c>
      <c r="J69" s="7"/>
    </row>
    <row r="70" spans="1:10" x14ac:dyDescent="0.25">
      <c r="A70" s="315">
        <f t="shared" si="7"/>
        <v>69</v>
      </c>
      <c r="B70" s="314" t="s">
        <v>498</v>
      </c>
      <c r="C70" s="340">
        <v>3</v>
      </c>
      <c r="D70" s="18">
        <v>11.4</v>
      </c>
      <c r="E70" s="44">
        <v>19</v>
      </c>
      <c r="F70" s="141">
        <f t="shared" si="4"/>
        <v>0.39999999999999997</v>
      </c>
      <c r="G70" s="142">
        <f t="shared" si="5"/>
        <v>34.200000000000003</v>
      </c>
      <c r="H70" s="143">
        <f t="shared" si="6"/>
        <v>57</v>
      </c>
      <c r="J70" s="7"/>
    </row>
    <row r="71" spans="1:10" x14ac:dyDescent="0.25">
      <c r="A71" s="315">
        <f t="shared" si="7"/>
        <v>70</v>
      </c>
      <c r="B71" s="314" t="s">
        <v>780</v>
      </c>
      <c r="C71" s="340">
        <v>0</v>
      </c>
      <c r="D71" s="10">
        <v>0.47</v>
      </c>
      <c r="E71" s="7">
        <v>0.95</v>
      </c>
      <c r="F71" s="141">
        <f t="shared" si="4"/>
        <v>0.50526315789473686</v>
      </c>
      <c r="G71" s="142">
        <f t="shared" si="5"/>
        <v>0</v>
      </c>
      <c r="H71" s="143">
        <f t="shared" si="6"/>
        <v>0</v>
      </c>
      <c r="J71" s="7"/>
    </row>
    <row r="72" spans="1:10" x14ac:dyDescent="0.25">
      <c r="A72" s="315">
        <f t="shared" si="7"/>
        <v>71</v>
      </c>
      <c r="B72" s="314" t="s">
        <v>282</v>
      </c>
      <c r="C72" s="340">
        <v>2</v>
      </c>
      <c r="D72" s="18">
        <v>6.7</v>
      </c>
      <c r="E72" s="7">
        <v>12</v>
      </c>
      <c r="F72" s="141">
        <f t="shared" si="4"/>
        <v>0.44166666666666665</v>
      </c>
      <c r="G72" s="142">
        <f t="shared" si="5"/>
        <v>13.4</v>
      </c>
      <c r="H72" s="143">
        <f t="shared" si="6"/>
        <v>24</v>
      </c>
      <c r="J72" s="7"/>
    </row>
    <row r="73" spans="1:10" x14ac:dyDescent="0.25">
      <c r="A73" s="315">
        <f t="shared" si="7"/>
        <v>72</v>
      </c>
      <c r="B73" s="314" t="s">
        <v>592</v>
      </c>
      <c r="C73" s="340">
        <v>2</v>
      </c>
      <c r="D73" s="10">
        <v>4.8</v>
      </c>
      <c r="E73" s="10">
        <v>9</v>
      </c>
      <c r="F73" s="141">
        <f t="shared" si="4"/>
        <v>0.46666666666666667</v>
      </c>
      <c r="G73" s="142">
        <f t="shared" si="5"/>
        <v>9.6</v>
      </c>
      <c r="H73" s="143">
        <f t="shared" si="6"/>
        <v>18</v>
      </c>
      <c r="J73" s="16"/>
    </row>
    <row r="74" spans="1:10" x14ac:dyDescent="0.25">
      <c r="A74" s="315">
        <f t="shared" si="7"/>
        <v>73</v>
      </c>
      <c r="B74" s="314" t="s">
        <v>72</v>
      </c>
      <c r="C74" s="340">
        <v>4</v>
      </c>
      <c r="D74" s="10">
        <v>11.9</v>
      </c>
      <c r="E74" s="7">
        <v>20</v>
      </c>
      <c r="F74" s="141">
        <f t="shared" si="4"/>
        <v>0.40499999999999997</v>
      </c>
      <c r="G74" s="142">
        <f t="shared" si="5"/>
        <v>47.6</v>
      </c>
      <c r="H74" s="143">
        <f t="shared" si="6"/>
        <v>80</v>
      </c>
      <c r="J74" s="7"/>
    </row>
    <row r="75" spans="1:10" ht="14.25" customHeight="1" x14ac:dyDescent="0.25">
      <c r="A75" s="315">
        <f t="shared" si="7"/>
        <v>74</v>
      </c>
      <c r="B75" s="314" t="s">
        <v>1220</v>
      </c>
      <c r="C75" s="340">
        <v>17</v>
      </c>
      <c r="D75" s="10">
        <v>0.75</v>
      </c>
      <c r="E75" s="7">
        <v>4</v>
      </c>
      <c r="F75" s="141">
        <f t="shared" si="4"/>
        <v>0.8125</v>
      </c>
      <c r="G75" s="142">
        <f t="shared" si="5"/>
        <v>12.75</v>
      </c>
      <c r="H75" s="143">
        <f t="shared" si="6"/>
        <v>68</v>
      </c>
      <c r="I75" s="38"/>
      <c r="J75" s="7"/>
    </row>
    <row r="76" spans="1:10" ht="14.25" customHeight="1" x14ac:dyDescent="0.25">
      <c r="A76" s="315">
        <f t="shared" si="7"/>
        <v>75</v>
      </c>
      <c r="B76" s="314" t="s">
        <v>219</v>
      </c>
      <c r="C76" s="340">
        <v>35</v>
      </c>
      <c r="D76" s="10">
        <v>1.26</v>
      </c>
      <c r="E76" s="7">
        <v>2.5</v>
      </c>
      <c r="F76" s="141">
        <f t="shared" si="4"/>
        <v>0.496</v>
      </c>
      <c r="G76" s="142">
        <f t="shared" si="5"/>
        <v>44.1</v>
      </c>
      <c r="H76" s="143">
        <f t="shared" si="6"/>
        <v>87.5</v>
      </c>
      <c r="I76" s="16"/>
      <c r="J76" s="7"/>
    </row>
    <row r="77" spans="1:10" ht="14.25" customHeight="1" x14ac:dyDescent="0.25">
      <c r="A77" s="315">
        <f t="shared" si="7"/>
        <v>76</v>
      </c>
      <c r="B77" s="314" t="s">
        <v>876</v>
      </c>
      <c r="C77" s="340">
        <v>2</v>
      </c>
      <c r="D77" s="10">
        <v>1.1200000000000001</v>
      </c>
      <c r="E77" s="7">
        <v>2</v>
      </c>
      <c r="F77" s="141">
        <f t="shared" si="4"/>
        <v>0.43999999999999995</v>
      </c>
      <c r="G77" s="142">
        <f t="shared" si="5"/>
        <v>2.2400000000000002</v>
      </c>
      <c r="H77" s="143">
        <f t="shared" si="6"/>
        <v>4</v>
      </c>
      <c r="I77" s="47"/>
      <c r="J77" s="7"/>
    </row>
    <row r="78" spans="1:10" ht="14.25" customHeight="1" x14ac:dyDescent="0.25">
      <c r="A78" s="315">
        <f t="shared" si="7"/>
        <v>77</v>
      </c>
      <c r="B78" s="314" t="s">
        <v>1123</v>
      </c>
      <c r="C78" s="340">
        <v>10</v>
      </c>
      <c r="D78" s="10">
        <v>6.52</v>
      </c>
      <c r="E78" s="7">
        <v>11</v>
      </c>
      <c r="F78" s="141">
        <f t="shared" si="4"/>
        <v>0.40727272727272729</v>
      </c>
      <c r="G78" s="142">
        <f t="shared" si="5"/>
        <v>65.199999999999989</v>
      </c>
      <c r="H78" s="143">
        <f t="shared" si="6"/>
        <v>110</v>
      </c>
      <c r="I78" s="16"/>
      <c r="J78" s="7"/>
    </row>
    <row r="79" spans="1:10" ht="14.25" customHeight="1" x14ac:dyDescent="0.25">
      <c r="A79" s="315">
        <f t="shared" si="7"/>
        <v>78</v>
      </c>
      <c r="B79" s="314" t="s">
        <v>128</v>
      </c>
      <c r="C79" s="340">
        <v>1</v>
      </c>
      <c r="D79" s="10">
        <v>21.15</v>
      </c>
      <c r="E79" s="7">
        <v>40</v>
      </c>
      <c r="F79" s="141">
        <f t="shared" si="4"/>
        <v>0.47125000000000006</v>
      </c>
      <c r="G79" s="142">
        <f t="shared" si="5"/>
        <v>21.15</v>
      </c>
      <c r="H79" s="143">
        <f t="shared" si="6"/>
        <v>40</v>
      </c>
      <c r="I79" s="16"/>
      <c r="J79" s="7"/>
    </row>
    <row r="80" spans="1:10" ht="14.25" customHeight="1" x14ac:dyDescent="0.25">
      <c r="A80" s="315">
        <f t="shared" si="7"/>
        <v>79</v>
      </c>
      <c r="B80" s="314" t="s">
        <v>436</v>
      </c>
      <c r="C80" s="340">
        <v>2</v>
      </c>
      <c r="D80" s="10">
        <v>9.6</v>
      </c>
      <c r="E80" s="7">
        <v>18</v>
      </c>
      <c r="F80" s="141">
        <f t="shared" si="4"/>
        <v>0.46666666666666667</v>
      </c>
      <c r="G80" s="142">
        <f t="shared" si="5"/>
        <v>19.2</v>
      </c>
      <c r="H80" s="143">
        <f t="shared" si="6"/>
        <v>36</v>
      </c>
      <c r="I80" s="16"/>
      <c r="J80" s="7"/>
    </row>
    <row r="81" spans="1:10" ht="14.25" customHeight="1" x14ac:dyDescent="0.25">
      <c r="A81" s="315">
        <f t="shared" si="7"/>
        <v>80</v>
      </c>
      <c r="B81" s="314" t="s">
        <v>1124</v>
      </c>
      <c r="C81" s="413">
        <v>11</v>
      </c>
      <c r="D81" s="10">
        <v>3.52</v>
      </c>
      <c r="E81" s="7">
        <v>8</v>
      </c>
      <c r="F81" s="141">
        <f t="shared" si="4"/>
        <v>0.56000000000000005</v>
      </c>
      <c r="G81" s="142">
        <f t="shared" si="5"/>
        <v>38.72</v>
      </c>
      <c r="H81" s="143">
        <f t="shared" si="6"/>
        <v>88</v>
      </c>
      <c r="I81" s="16"/>
      <c r="J81" s="7"/>
    </row>
    <row r="82" spans="1:10" ht="14.25" customHeight="1" x14ac:dyDescent="0.25">
      <c r="A82" s="315">
        <f t="shared" si="7"/>
        <v>81</v>
      </c>
      <c r="B82" s="314" t="s">
        <v>1125</v>
      </c>
      <c r="C82" s="340">
        <v>24</v>
      </c>
      <c r="D82" s="10">
        <v>1.85</v>
      </c>
      <c r="E82" s="7">
        <v>3.5</v>
      </c>
      <c r="F82" s="141">
        <f t="shared" si="4"/>
        <v>0.47142857142857142</v>
      </c>
      <c r="G82" s="142">
        <f t="shared" si="5"/>
        <v>44.400000000000006</v>
      </c>
      <c r="H82" s="143">
        <f t="shared" si="6"/>
        <v>84</v>
      </c>
      <c r="I82" s="16"/>
      <c r="J82" s="7"/>
    </row>
    <row r="83" spans="1:10" ht="14.25" customHeight="1" x14ac:dyDescent="0.25">
      <c r="A83" s="315">
        <f t="shared" si="7"/>
        <v>82</v>
      </c>
      <c r="B83" s="314" t="s">
        <v>1126</v>
      </c>
      <c r="C83" s="340">
        <v>9</v>
      </c>
      <c r="D83" s="10">
        <v>4.5</v>
      </c>
      <c r="E83" s="7">
        <v>20</v>
      </c>
      <c r="F83" s="141">
        <f t="shared" si="4"/>
        <v>0.77500000000000002</v>
      </c>
      <c r="G83" s="142">
        <f t="shared" si="5"/>
        <v>40.5</v>
      </c>
      <c r="H83" s="143">
        <f t="shared" si="6"/>
        <v>180</v>
      </c>
      <c r="I83" s="49"/>
      <c r="J83" s="7"/>
    </row>
    <row r="84" spans="1:10" ht="14.25" customHeight="1" x14ac:dyDescent="0.25">
      <c r="A84" s="315">
        <f t="shared" si="7"/>
        <v>83</v>
      </c>
      <c r="B84" s="314" t="s">
        <v>24</v>
      </c>
      <c r="C84" s="340">
        <v>2</v>
      </c>
      <c r="D84" s="10">
        <v>14.15</v>
      </c>
      <c r="E84" s="7">
        <v>25</v>
      </c>
      <c r="F84" s="141">
        <f t="shared" si="4"/>
        <v>0.434</v>
      </c>
      <c r="G84" s="142">
        <f t="shared" si="5"/>
        <v>28.3</v>
      </c>
      <c r="H84" s="143">
        <f t="shared" si="6"/>
        <v>50</v>
      </c>
      <c r="I84" s="47"/>
      <c r="J84" s="7"/>
    </row>
    <row r="85" spans="1:10" ht="14.25" customHeight="1" x14ac:dyDescent="0.25">
      <c r="A85" s="315">
        <f t="shared" si="7"/>
        <v>84</v>
      </c>
      <c r="B85" s="314" t="s">
        <v>25</v>
      </c>
      <c r="C85" s="340">
        <v>5</v>
      </c>
      <c r="D85" s="10">
        <v>24.55</v>
      </c>
      <c r="E85" s="7">
        <v>41</v>
      </c>
      <c r="F85" s="141">
        <f t="shared" si="4"/>
        <v>0.40121951219512192</v>
      </c>
      <c r="G85" s="142">
        <f t="shared" si="5"/>
        <v>122.75</v>
      </c>
      <c r="H85" s="143">
        <f t="shared" si="6"/>
        <v>205</v>
      </c>
      <c r="I85" s="47"/>
      <c r="J85" s="7"/>
    </row>
    <row r="86" spans="1:10" ht="14.25" customHeight="1" x14ac:dyDescent="0.25">
      <c r="A86" s="315">
        <f t="shared" si="7"/>
        <v>85</v>
      </c>
      <c r="B86" s="314" t="s">
        <v>500</v>
      </c>
      <c r="C86" s="340">
        <v>5</v>
      </c>
      <c r="D86" s="10">
        <v>4.21</v>
      </c>
      <c r="E86" s="7">
        <v>8</v>
      </c>
      <c r="F86" s="141">
        <f t="shared" si="4"/>
        <v>0.47375</v>
      </c>
      <c r="G86" s="142">
        <f t="shared" si="5"/>
        <v>21.05</v>
      </c>
      <c r="H86" s="143">
        <f t="shared" si="6"/>
        <v>40</v>
      </c>
      <c r="I86" s="47"/>
      <c r="J86" s="7"/>
    </row>
    <row r="87" spans="1:10" ht="14.25" customHeight="1" x14ac:dyDescent="0.25">
      <c r="A87" s="315">
        <f t="shared" si="7"/>
        <v>86</v>
      </c>
      <c r="B87" s="314" t="s">
        <v>1202</v>
      </c>
      <c r="C87" s="340">
        <v>84</v>
      </c>
      <c r="D87" s="10">
        <v>0.5</v>
      </c>
      <c r="E87" s="7">
        <v>0.9</v>
      </c>
      <c r="F87" s="141">
        <f t="shared" si="4"/>
        <v>0.44444444444444448</v>
      </c>
      <c r="G87" s="142">
        <f t="shared" si="5"/>
        <v>42</v>
      </c>
      <c r="H87" s="143">
        <f t="shared" si="6"/>
        <v>75.600000000000009</v>
      </c>
      <c r="I87" s="47"/>
      <c r="J87" s="7"/>
    </row>
    <row r="88" spans="1:10" ht="14.25" customHeight="1" x14ac:dyDescent="0.25">
      <c r="A88" s="315">
        <f t="shared" si="7"/>
        <v>87</v>
      </c>
      <c r="B88" s="314" t="s">
        <v>23</v>
      </c>
      <c r="C88" s="340">
        <v>3</v>
      </c>
      <c r="D88" s="10">
        <v>10.6</v>
      </c>
      <c r="E88" s="7">
        <v>20</v>
      </c>
      <c r="F88" s="141">
        <f t="shared" si="4"/>
        <v>0.47000000000000003</v>
      </c>
      <c r="G88" s="142">
        <f t="shared" si="5"/>
        <v>31.799999999999997</v>
      </c>
      <c r="H88" s="143">
        <f t="shared" si="6"/>
        <v>60</v>
      </c>
      <c r="I88" s="47"/>
      <c r="J88" s="7"/>
    </row>
    <row r="89" spans="1:10" ht="14.25" customHeight="1" x14ac:dyDescent="0.25">
      <c r="A89" s="315">
        <f t="shared" si="7"/>
        <v>88</v>
      </c>
      <c r="B89" s="314" t="s">
        <v>748</v>
      </c>
      <c r="C89" s="340">
        <v>2</v>
      </c>
      <c r="D89" s="10">
        <v>12.9</v>
      </c>
      <c r="E89" s="7">
        <v>23</v>
      </c>
      <c r="F89" s="141">
        <f t="shared" si="4"/>
        <v>0.43913043478260866</v>
      </c>
      <c r="G89" s="142">
        <f t="shared" si="5"/>
        <v>25.8</v>
      </c>
      <c r="H89" s="143">
        <f t="shared" si="6"/>
        <v>46</v>
      </c>
      <c r="I89" s="47"/>
      <c r="J89" s="7"/>
    </row>
    <row r="90" spans="1:10" ht="14.25" customHeight="1" x14ac:dyDescent="0.25">
      <c r="A90" s="315">
        <f t="shared" si="7"/>
        <v>89</v>
      </c>
      <c r="B90" s="314" t="s">
        <v>640</v>
      </c>
      <c r="C90" s="340">
        <v>5.8000000000000007</v>
      </c>
      <c r="D90" s="10">
        <v>1.8</v>
      </c>
      <c r="E90" s="7">
        <v>5</v>
      </c>
      <c r="F90" s="141">
        <f t="shared" si="4"/>
        <v>0.64</v>
      </c>
      <c r="G90" s="142">
        <f t="shared" si="5"/>
        <v>10.440000000000001</v>
      </c>
      <c r="H90" s="143">
        <f t="shared" si="6"/>
        <v>29.000000000000004</v>
      </c>
      <c r="I90" s="47"/>
      <c r="J90" s="7"/>
    </row>
    <row r="91" spans="1:10" x14ac:dyDescent="0.25">
      <c r="A91" s="315">
        <f t="shared" si="7"/>
        <v>90</v>
      </c>
      <c r="B91" s="314" t="s">
        <v>438</v>
      </c>
      <c r="C91" s="340">
        <v>1</v>
      </c>
      <c r="D91" s="10">
        <v>45.6</v>
      </c>
      <c r="E91" s="7">
        <v>75</v>
      </c>
      <c r="F91" s="141">
        <f t="shared" si="4"/>
        <v>0.39199999999999996</v>
      </c>
      <c r="G91" s="142">
        <f t="shared" si="5"/>
        <v>45.6</v>
      </c>
      <c r="H91" s="143">
        <f t="shared" si="6"/>
        <v>75</v>
      </c>
      <c r="I91" s="47"/>
      <c r="J91" s="7"/>
    </row>
    <row r="92" spans="1:10" x14ac:dyDescent="0.25">
      <c r="A92" s="315">
        <f t="shared" si="7"/>
        <v>91</v>
      </c>
      <c r="B92" s="314" t="s">
        <v>323</v>
      </c>
      <c r="C92" s="340">
        <v>3</v>
      </c>
      <c r="D92" s="10">
        <v>3.55</v>
      </c>
      <c r="E92" s="7">
        <v>6</v>
      </c>
      <c r="F92" s="141">
        <f t="shared" si="4"/>
        <v>0.40833333333333338</v>
      </c>
      <c r="G92" s="142">
        <f t="shared" si="5"/>
        <v>10.649999999999999</v>
      </c>
      <c r="H92" s="143">
        <f t="shared" si="6"/>
        <v>18</v>
      </c>
      <c r="I92" s="47"/>
      <c r="J92" s="7"/>
    </row>
    <row r="93" spans="1:10" x14ac:dyDescent="0.25">
      <c r="A93" s="315">
        <f t="shared" si="7"/>
        <v>92</v>
      </c>
      <c r="B93" s="314" t="s">
        <v>447</v>
      </c>
      <c r="C93" s="340">
        <v>3</v>
      </c>
      <c r="D93" s="18">
        <v>2.4</v>
      </c>
      <c r="E93" s="44">
        <v>6</v>
      </c>
      <c r="F93" s="141">
        <f t="shared" si="4"/>
        <v>0.6</v>
      </c>
      <c r="G93" s="142">
        <f t="shared" si="5"/>
        <v>7.1999999999999993</v>
      </c>
      <c r="H93" s="143">
        <f t="shared" si="6"/>
        <v>18</v>
      </c>
      <c r="I93" s="47"/>
      <c r="J93" s="7"/>
    </row>
    <row r="94" spans="1:10" x14ac:dyDescent="0.25">
      <c r="A94" s="315">
        <f t="shared" si="7"/>
        <v>93</v>
      </c>
      <c r="B94" s="314" t="s">
        <v>401</v>
      </c>
      <c r="C94" s="340">
        <v>6</v>
      </c>
      <c r="D94" s="10">
        <v>8.6999999999999993</v>
      </c>
      <c r="E94" s="7">
        <v>15</v>
      </c>
      <c r="F94" s="141">
        <f t="shared" si="4"/>
        <v>0.42000000000000004</v>
      </c>
      <c r="G94" s="142">
        <f t="shared" si="5"/>
        <v>52.199999999999996</v>
      </c>
      <c r="H94" s="143">
        <f t="shared" si="6"/>
        <v>90</v>
      </c>
      <c r="I94" s="47"/>
      <c r="J94" s="7"/>
    </row>
    <row r="95" spans="1:10" x14ac:dyDescent="0.25">
      <c r="A95" s="315">
        <f t="shared" si="7"/>
        <v>94</v>
      </c>
      <c r="B95" s="314" t="s">
        <v>271</v>
      </c>
      <c r="C95" s="340">
        <v>4</v>
      </c>
      <c r="D95" s="10">
        <v>4.45</v>
      </c>
      <c r="E95" s="7">
        <v>8</v>
      </c>
      <c r="F95" s="141">
        <f t="shared" si="4"/>
        <v>0.44374999999999998</v>
      </c>
      <c r="G95" s="142">
        <f t="shared" si="5"/>
        <v>17.8</v>
      </c>
      <c r="H95" s="143">
        <f t="shared" si="6"/>
        <v>32</v>
      </c>
      <c r="I95" s="47"/>
      <c r="J95" s="7"/>
    </row>
    <row r="96" spans="1:10" x14ac:dyDescent="0.25">
      <c r="A96" s="315">
        <f t="shared" si="7"/>
        <v>95</v>
      </c>
      <c r="B96" s="314" t="s">
        <v>234</v>
      </c>
      <c r="C96" s="340">
        <v>105</v>
      </c>
      <c r="D96" s="10">
        <v>0.69</v>
      </c>
      <c r="E96" s="7">
        <v>1.2</v>
      </c>
      <c r="F96" s="141">
        <f t="shared" si="4"/>
        <v>0.42500000000000004</v>
      </c>
      <c r="G96" s="142">
        <f t="shared" si="5"/>
        <v>72.449999999999989</v>
      </c>
      <c r="H96" s="143">
        <f t="shared" si="6"/>
        <v>126</v>
      </c>
      <c r="I96" s="47"/>
      <c r="J96" s="16"/>
    </row>
    <row r="97" spans="1:10" x14ac:dyDescent="0.25">
      <c r="A97" s="315">
        <f t="shared" si="7"/>
        <v>96</v>
      </c>
      <c r="B97" s="314" t="s">
        <v>172</v>
      </c>
      <c r="C97" s="340">
        <v>10</v>
      </c>
      <c r="D97" s="10">
        <v>1.8</v>
      </c>
      <c r="E97" s="7">
        <v>3.5</v>
      </c>
      <c r="F97" s="141">
        <f t="shared" si="4"/>
        <v>0.48571428571428571</v>
      </c>
      <c r="G97" s="142">
        <f t="shared" si="5"/>
        <v>18</v>
      </c>
      <c r="H97" s="143">
        <f t="shared" si="6"/>
        <v>35</v>
      </c>
      <c r="I97" s="47"/>
      <c r="J97" s="7"/>
    </row>
    <row r="98" spans="1:10" x14ac:dyDescent="0.25">
      <c r="A98" s="315">
        <f t="shared" si="7"/>
        <v>97</v>
      </c>
      <c r="B98" s="314" t="s">
        <v>251</v>
      </c>
      <c r="C98" s="340">
        <v>4</v>
      </c>
      <c r="D98" s="10">
        <v>2.2400000000000002</v>
      </c>
      <c r="E98" s="7">
        <v>4</v>
      </c>
      <c r="F98" s="141">
        <f t="shared" si="4"/>
        <v>0.43999999999999995</v>
      </c>
      <c r="G98" s="142">
        <f t="shared" si="5"/>
        <v>8.9600000000000009</v>
      </c>
      <c r="H98" s="143">
        <f t="shared" si="6"/>
        <v>16</v>
      </c>
      <c r="I98" s="47"/>
      <c r="J98" s="7"/>
    </row>
    <row r="99" spans="1:10" x14ac:dyDescent="0.25">
      <c r="A99" s="315">
        <f t="shared" si="7"/>
        <v>98</v>
      </c>
      <c r="B99" s="314" t="s">
        <v>332</v>
      </c>
      <c r="C99" s="340">
        <v>13</v>
      </c>
      <c r="D99" s="10">
        <v>0.84</v>
      </c>
      <c r="E99" s="7">
        <v>3</v>
      </c>
      <c r="F99" s="141">
        <f t="shared" si="4"/>
        <v>0.72000000000000008</v>
      </c>
      <c r="G99" s="142">
        <f t="shared" si="5"/>
        <v>10.92</v>
      </c>
      <c r="H99" s="143">
        <f t="shared" si="6"/>
        <v>39</v>
      </c>
      <c r="I99" s="16"/>
      <c r="J99" s="16"/>
    </row>
    <row r="100" spans="1:10" x14ac:dyDescent="0.25">
      <c r="A100" s="315">
        <f t="shared" si="7"/>
        <v>99</v>
      </c>
      <c r="B100" s="314" t="s">
        <v>304</v>
      </c>
      <c r="C100" s="340">
        <v>2</v>
      </c>
      <c r="D100" s="10">
        <v>2.2400000000000002</v>
      </c>
      <c r="E100" s="7">
        <v>5</v>
      </c>
      <c r="F100" s="141">
        <f t="shared" si="4"/>
        <v>0.55199999999999994</v>
      </c>
      <c r="G100" s="142">
        <f t="shared" si="5"/>
        <v>4.4800000000000004</v>
      </c>
      <c r="H100" s="143">
        <f t="shared" si="6"/>
        <v>10</v>
      </c>
      <c r="I100" s="47"/>
      <c r="J100" s="7"/>
    </row>
    <row r="101" spans="1:10" x14ac:dyDescent="0.25">
      <c r="A101" s="315">
        <f t="shared" si="7"/>
        <v>100</v>
      </c>
      <c r="B101" s="314" t="s">
        <v>499</v>
      </c>
      <c r="C101" s="340">
        <v>8</v>
      </c>
      <c r="D101" s="10">
        <v>1.2</v>
      </c>
      <c r="E101" s="7">
        <v>3</v>
      </c>
      <c r="F101" s="141">
        <f t="shared" si="4"/>
        <v>0.6</v>
      </c>
      <c r="G101" s="142">
        <f t="shared" si="5"/>
        <v>9.6</v>
      </c>
      <c r="H101" s="143">
        <f t="shared" si="6"/>
        <v>24</v>
      </c>
      <c r="I101" s="47"/>
      <c r="J101" s="7"/>
    </row>
    <row r="102" spans="1:10" x14ac:dyDescent="0.25">
      <c r="A102" s="315">
        <f t="shared" si="7"/>
        <v>101</v>
      </c>
      <c r="B102" s="314" t="s">
        <v>1471</v>
      </c>
      <c r="C102" s="340">
        <v>4</v>
      </c>
      <c r="D102" s="10">
        <v>1.92</v>
      </c>
      <c r="E102" s="7">
        <v>4</v>
      </c>
      <c r="F102" s="141">
        <f t="shared" si="4"/>
        <v>0.52</v>
      </c>
      <c r="G102" s="142">
        <f t="shared" si="5"/>
        <v>7.68</v>
      </c>
      <c r="H102" s="143">
        <f t="shared" si="6"/>
        <v>16</v>
      </c>
      <c r="I102" s="47"/>
      <c r="J102" s="7"/>
    </row>
    <row r="103" spans="1:10" x14ac:dyDescent="0.25">
      <c r="A103" s="315">
        <f t="shared" si="7"/>
        <v>102</v>
      </c>
      <c r="B103" s="314" t="s">
        <v>1127</v>
      </c>
      <c r="C103" s="340">
        <v>9</v>
      </c>
      <c r="D103" s="10">
        <v>3.36</v>
      </c>
      <c r="E103" s="7">
        <v>6</v>
      </c>
      <c r="F103" s="141">
        <f t="shared" si="4"/>
        <v>0.44</v>
      </c>
      <c r="G103" s="142">
        <f t="shared" si="5"/>
        <v>30.24</v>
      </c>
      <c r="H103" s="143">
        <f t="shared" si="6"/>
        <v>54</v>
      </c>
      <c r="I103" s="16"/>
      <c r="J103" s="7"/>
    </row>
    <row r="104" spans="1:10" x14ac:dyDescent="0.25">
      <c r="A104" s="315">
        <f t="shared" si="7"/>
        <v>103</v>
      </c>
      <c r="B104" s="4" t="s">
        <v>295</v>
      </c>
      <c r="C104" s="341">
        <v>3</v>
      </c>
      <c r="D104" s="18">
        <v>1.32</v>
      </c>
      <c r="E104" s="44">
        <v>4</v>
      </c>
      <c r="F104" s="141">
        <f t="shared" si="4"/>
        <v>0.66999999999999993</v>
      </c>
      <c r="G104" s="142">
        <f t="shared" si="5"/>
        <v>3.96</v>
      </c>
      <c r="H104" s="143">
        <f t="shared" si="6"/>
        <v>12</v>
      </c>
      <c r="I104" s="47"/>
      <c r="J104" s="7"/>
    </row>
    <row r="105" spans="1:10" x14ac:dyDescent="0.25">
      <c r="A105" s="315">
        <f t="shared" si="7"/>
        <v>104</v>
      </c>
      <c r="B105" s="314" t="s">
        <v>204</v>
      </c>
      <c r="C105" s="340">
        <v>2</v>
      </c>
      <c r="D105" s="10">
        <v>14.4</v>
      </c>
      <c r="E105" s="7">
        <v>24</v>
      </c>
      <c r="F105" s="141">
        <f t="shared" si="4"/>
        <v>0.39999999999999997</v>
      </c>
      <c r="G105" s="142">
        <f t="shared" si="5"/>
        <v>28.8</v>
      </c>
      <c r="H105" s="143">
        <f t="shared" si="6"/>
        <v>48</v>
      </c>
      <c r="I105" s="47"/>
      <c r="J105" s="7"/>
    </row>
    <row r="106" spans="1:10" x14ac:dyDescent="0.25">
      <c r="A106" s="315">
        <f t="shared" si="7"/>
        <v>105</v>
      </c>
      <c r="B106" s="314" t="s">
        <v>916</v>
      </c>
      <c r="C106" s="340">
        <v>2</v>
      </c>
      <c r="D106" s="10">
        <v>8.15</v>
      </c>
      <c r="E106" s="7">
        <v>16</v>
      </c>
      <c r="F106" s="141">
        <f t="shared" si="4"/>
        <v>0.49062499999999998</v>
      </c>
      <c r="G106" s="142">
        <f t="shared" si="5"/>
        <v>16.3</v>
      </c>
      <c r="H106" s="143">
        <f t="shared" si="6"/>
        <v>32</v>
      </c>
      <c r="I106" s="47"/>
      <c r="J106" s="7"/>
    </row>
    <row r="107" spans="1:10" x14ac:dyDescent="0.25">
      <c r="A107" s="315">
        <f t="shared" si="7"/>
        <v>106</v>
      </c>
      <c r="B107" s="314" t="s">
        <v>308</v>
      </c>
      <c r="C107" s="340">
        <v>2</v>
      </c>
      <c r="D107" s="10">
        <v>12</v>
      </c>
      <c r="E107" s="7">
        <v>20</v>
      </c>
      <c r="F107" s="141">
        <f t="shared" si="4"/>
        <v>0.4</v>
      </c>
      <c r="G107" s="142">
        <f t="shared" si="5"/>
        <v>24</v>
      </c>
      <c r="H107" s="143">
        <f t="shared" si="6"/>
        <v>40</v>
      </c>
      <c r="I107" s="47"/>
      <c r="J107" s="7"/>
    </row>
    <row r="108" spans="1:10" x14ac:dyDescent="0.25">
      <c r="A108" s="315">
        <f t="shared" si="7"/>
        <v>107</v>
      </c>
      <c r="B108" s="314" t="s">
        <v>454</v>
      </c>
      <c r="C108" s="340">
        <v>4</v>
      </c>
      <c r="D108" s="18">
        <v>9.5299999999999994</v>
      </c>
      <c r="E108" s="44">
        <v>17</v>
      </c>
      <c r="F108" s="141">
        <f t="shared" si="4"/>
        <v>0.43941176470588239</v>
      </c>
      <c r="G108" s="142">
        <f t="shared" si="5"/>
        <v>38.119999999999997</v>
      </c>
      <c r="H108" s="143">
        <f t="shared" si="6"/>
        <v>68</v>
      </c>
      <c r="I108" s="47"/>
      <c r="J108" s="7"/>
    </row>
    <row r="109" spans="1:10" x14ac:dyDescent="0.25">
      <c r="A109" s="315">
        <f t="shared" si="7"/>
        <v>108</v>
      </c>
      <c r="B109" s="314" t="s">
        <v>26</v>
      </c>
      <c r="C109" s="340">
        <v>5</v>
      </c>
      <c r="D109" s="10">
        <v>7.5</v>
      </c>
      <c r="E109" s="7">
        <v>14</v>
      </c>
      <c r="F109" s="141">
        <f t="shared" si="4"/>
        <v>0.4642857142857143</v>
      </c>
      <c r="G109" s="142">
        <f t="shared" si="5"/>
        <v>37.5</v>
      </c>
      <c r="H109" s="143">
        <f t="shared" si="6"/>
        <v>70</v>
      </c>
      <c r="I109" s="47"/>
      <c r="J109" s="7"/>
    </row>
    <row r="110" spans="1:10" x14ac:dyDescent="0.25">
      <c r="A110" s="315">
        <f t="shared" si="7"/>
        <v>109</v>
      </c>
      <c r="B110" s="314" t="s">
        <v>1128</v>
      </c>
      <c r="C110" s="340">
        <v>74</v>
      </c>
      <c r="D110" s="10">
        <v>1.04</v>
      </c>
      <c r="E110" s="7">
        <v>1.9</v>
      </c>
      <c r="F110" s="141">
        <f t="shared" si="4"/>
        <v>0.45263157894736838</v>
      </c>
      <c r="G110" s="142">
        <f t="shared" si="5"/>
        <v>76.960000000000008</v>
      </c>
      <c r="H110" s="143">
        <f t="shared" si="6"/>
        <v>140.6</v>
      </c>
      <c r="I110" s="47"/>
      <c r="J110" s="7"/>
    </row>
    <row r="111" spans="1:10" x14ac:dyDescent="0.25">
      <c r="A111" s="315">
        <f t="shared" si="7"/>
        <v>110</v>
      </c>
      <c r="B111" s="314" t="s">
        <v>700</v>
      </c>
      <c r="C111" s="340">
        <v>7</v>
      </c>
      <c r="D111" s="10">
        <v>17.239999999999998</v>
      </c>
      <c r="E111" s="7">
        <v>28</v>
      </c>
      <c r="F111" s="141">
        <f t="shared" si="4"/>
        <v>0.38428571428571434</v>
      </c>
      <c r="G111" s="142">
        <f t="shared" si="5"/>
        <v>120.67999999999999</v>
      </c>
      <c r="H111" s="143">
        <f t="shared" si="6"/>
        <v>196</v>
      </c>
      <c r="I111" s="47"/>
      <c r="J111" s="7"/>
    </row>
    <row r="112" spans="1:10" x14ac:dyDescent="0.25">
      <c r="A112" s="315">
        <f t="shared" si="7"/>
        <v>111</v>
      </c>
      <c r="B112" s="314" t="s">
        <v>310</v>
      </c>
      <c r="C112" s="340">
        <v>5</v>
      </c>
      <c r="D112" s="10">
        <v>18</v>
      </c>
      <c r="E112" s="7">
        <v>33</v>
      </c>
      <c r="F112" s="141">
        <f t="shared" si="4"/>
        <v>0.45454545454545453</v>
      </c>
      <c r="G112" s="142">
        <f t="shared" si="5"/>
        <v>90</v>
      </c>
      <c r="H112" s="143">
        <f t="shared" si="6"/>
        <v>165</v>
      </c>
      <c r="I112" s="47"/>
      <c r="J112" s="7"/>
    </row>
    <row r="113" spans="1:10" x14ac:dyDescent="0.25">
      <c r="A113" s="315">
        <f t="shared" si="7"/>
        <v>112</v>
      </c>
      <c r="B113" s="651" t="s">
        <v>416</v>
      </c>
      <c r="C113" s="653">
        <v>5</v>
      </c>
      <c r="D113" s="18">
        <v>24</v>
      </c>
      <c r="E113" s="44">
        <v>38.33</v>
      </c>
      <c r="F113" s="141">
        <f t="shared" si="4"/>
        <v>0.37385859639968688</v>
      </c>
      <c r="G113" s="142">
        <f t="shared" si="5"/>
        <v>120</v>
      </c>
      <c r="H113" s="143">
        <f t="shared" si="6"/>
        <v>191.64999999999998</v>
      </c>
      <c r="I113" s="47"/>
      <c r="J113" s="7"/>
    </row>
    <row r="114" spans="1:10" x14ac:dyDescent="0.25">
      <c r="A114" s="315">
        <f t="shared" si="7"/>
        <v>113</v>
      </c>
      <c r="B114" s="314" t="s">
        <v>188</v>
      </c>
      <c r="C114" s="340">
        <v>4</v>
      </c>
      <c r="D114" s="10">
        <v>6.75</v>
      </c>
      <c r="E114" s="7">
        <v>13</v>
      </c>
      <c r="F114" s="141">
        <f t="shared" si="4"/>
        <v>0.48076923076923078</v>
      </c>
      <c r="G114" s="142">
        <f t="shared" si="5"/>
        <v>27</v>
      </c>
      <c r="H114" s="143">
        <f t="shared" si="6"/>
        <v>52</v>
      </c>
      <c r="I114" s="47"/>
      <c r="J114" s="7"/>
    </row>
    <row r="115" spans="1:10" x14ac:dyDescent="0.25">
      <c r="A115" s="315">
        <f t="shared" si="7"/>
        <v>114</v>
      </c>
      <c r="B115" s="314" t="s">
        <v>206</v>
      </c>
      <c r="C115" s="340">
        <v>0</v>
      </c>
      <c r="D115" s="10">
        <v>17.55</v>
      </c>
      <c r="E115" s="7">
        <v>30</v>
      </c>
      <c r="F115" s="141">
        <f t="shared" si="4"/>
        <v>0.41499999999999998</v>
      </c>
      <c r="G115" s="142">
        <f t="shared" si="5"/>
        <v>0</v>
      </c>
      <c r="H115" s="143">
        <f t="shared" si="6"/>
        <v>0</v>
      </c>
      <c r="I115" s="47"/>
      <c r="J115" s="7"/>
    </row>
    <row r="116" spans="1:10" x14ac:dyDescent="0.25">
      <c r="A116" s="315">
        <f t="shared" si="7"/>
        <v>115</v>
      </c>
      <c r="B116" s="314" t="s">
        <v>1379</v>
      </c>
      <c r="C116" s="340">
        <v>53</v>
      </c>
      <c r="D116" s="18">
        <v>0.38400000000000001</v>
      </c>
      <c r="E116" s="44">
        <v>0.7</v>
      </c>
      <c r="F116" s="141">
        <f t="shared" si="4"/>
        <v>0.4514285714285714</v>
      </c>
      <c r="G116" s="142">
        <f t="shared" si="5"/>
        <v>20.352</v>
      </c>
      <c r="H116" s="143">
        <f t="shared" si="6"/>
        <v>37.099999999999994</v>
      </c>
      <c r="I116" s="47"/>
      <c r="J116" s="7"/>
    </row>
    <row r="117" spans="1:10" x14ac:dyDescent="0.25">
      <c r="A117" s="315">
        <f t="shared" si="7"/>
        <v>116</v>
      </c>
      <c r="B117" s="314" t="s">
        <v>339</v>
      </c>
      <c r="C117" s="340">
        <v>4</v>
      </c>
      <c r="D117" s="10">
        <v>12.96</v>
      </c>
      <c r="E117" s="7">
        <v>28</v>
      </c>
      <c r="F117" s="141">
        <f t="shared" si="4"/>
        <v>0.53714285714285714</v>
      </c>
      <c r="G117" s="142">
        <f t="shared" si="5"/>
        <v>51.84</v>
      </c>
      <c r="H117" s="143">
        <f t="shared" si="6"/>
        <v>112</v>
      </c>
      <c r="I117" s="47"/>
      <c r="J117" s="7"/>
    </row>
    <row r="118" spans="1:10" x14ac:dyDescent="0.25">
      <c r="A118" s="315">
        <f t="shared" si="7"/>
        <v>117</v>
      </c>
      <c r="B118" s="314" t="s">
        <v>312</v>
      </c>
      <c r="C118" s="340">
        <v>10</v>
      </c>
      <c r="D118" s="10">
        <v>1.08</v>
      </c>
      <c r="E118" s="7">
        <v>3</v>
      </c>
      <c r="F118" s="141">
        <f t="shared" si="4"/>
        <v>0.64</v>
      </c>
      <c r="G118" s="142">
        <f t="shared" si="5"/>
        <v>10.8</v>
      </c>
      <c r="H118" s="143">
        <f t="shared" si="6"/>
        <v>30</v>
      </c>
      <c r="I118" s="47"/>
      <c r="J118" s="7"/>
    </row>
    <row r="119" spans="1:10" x14ac:dyDescent="0.25">
      <c r="A119" s="315">
        <f t="shared" si="7"/>
        <v>118</v>
      </c>
      <c r="B119" s="314" t="s">
        <v>417</v>
      </c>
      <c r="C119" s="340">
        <v>18</v>
      </c>
      <c r="D119" s="18">
        <v>1.08</v>
      </c>
      <c r="E119" s="44">
        <v>3</v>
      </c>
      <c r="F119" s="141">
        <f t="shared" si="4"/>
        <v>0.64</v>
      </c>
      <c r="G119" s="142">
        <f t="shared" si="5"/>
        <v>19.440000000000001</v>
      </c>
      <c r="H119" s="143">
        <f t="shared" si="6"/>
        <v>54</v>
      </c>
      <c r="I119" s="47"/>
      <c r="J119" s="7"/>
    </row>
    <row r="120" spans="1:10" x14ac:dyDescent="0.25">
      <c r="A120" s="315">
        <f t="shared" si="7"/>
        <v>119</v>
      </c>
      <c r="B120" s="314" t="s">
        <v>903</v>
      </c>
      <c r="C120" s="340">
        <v>7</v>
      </c>
      <c r="D120" s="10">
        <v>2.99</v>
      </c>
      <c r="E120" s="7">
        <v>10</v>
      </c>
      <c r="F120" s="141">
        <f t="shared" si="4"/>
        <v>0.70099999999999996</v>
      </c>
      <c r="G120" s="142">
        <f t="shared" si="5"/>
        <v>20.93</v>
      </c>
      <c r="H120" s="143">
        <f t="shared" si="6"/>
        <v>70</v>
      </c>
      <c r="I120" s="16"/>
      <c r="J120" s="7"/>
    </row>
    <row r="121" spans="1:10" x14ac:dyDescent="0.25">
      <c r="A121" s="315">
        <f t="shared" si="7"/>
        <v>120</v>
      </c>
      <c r="B121" s="314" t="s">
        <v>1129</v>
      </c>
      <c r="C121" s="340">
        <v>6</v>
      </c>
      <c r="D121" s="18">
        <v>3</v>
      </c>
      <c r="E121" s="44">
        <v>7</v>
      </c>
      <c r="F121" s="141">
        <f t="shared" si="4"/>
        <v>0.5714285714285714</v>
      </c>
      <c r="G121" s="142">
        <f t="shared" si="5"/>
        <v>18</v>
      </c>
      <c r="H121" s="143">
        <f t="shared" si="6"/>
        <v>42</v>
      </c>
      <c r="I121" s="47"/>
      <c r="J121" s="7"/>
    </row>
    <row r="122" spans="1:10" x14ac:dyDescent="0.25">
      <c r="A122" s="315">
        <f t="shared" si="7"/>
        <v>121</v>
      </c>
      <c r="B122" s="651" t="s">
        <v>1130</v>
      </c>
      <c r="C122" s="653">
        <v>6</v>
      </c>
      <c r="D122" s="10">
        <v>1.44</v>
      </c>
      <c r="E122" s="7">
        <v>5</v>
      </c>
      <c r="F122" s="141">
        <f t="shared" si="4"/>
        <v>0.71199999999999997</v>
      </c>
      <c r="G122" s="142">
        <f t="shared" si="5"/>
        <v>8.64</v>
      </c>
      <c r="H122" s="143">
        <f t="shared" si="6"/>
        <v>30</v>
      </c>
      <c r="I122" s="47"/>
      <c r="J122" s="7"/>
    </row>
    <row r="123" spans="1:10" x14ac:dyDescent="0.25">
      <c r="A123" s="315">
        <f t="shared" si="7"/>
        <v>122</v>
      </c>
      <c r="B123" s="314" t="s">
        <v>490</v>
      </c>
      <c r="C123" s="340">
        <v>1</v>
      </c>
      <c r="D123" s="18">
        <v>3.2</v>
      </c>
      <c r="E123" s="44">
        <v>6</v>
      </c>
      <c r="F123" s="141">
        <f t="shared" si="4"/>
        <v>0.46666666666666662</v>
      </c>
      <c r="G123" s="142">
        <f t="shared" si="5"/>
        <v>3.2</v>
      </c>
      <c r="H123" s="143">
        <f t="shared" si="6"/>
        <v>6</v>
      </c>
      <c r="I123" s="47"/>
      <c r="J123" s="7"/>
    </row>
    <row r="124" spans="1:10" x14ac:dyDescent="0.25">
      <c r="A124" s="315">
        <f t="shared" si="7"/>
        <v>123</v>
      </c>
      <c r="B124" s="314" t="s">
        <v>1380</v>
      </c>
      <c r="C124" s="340">
        <v>2</v>
      </c>
      <c r="D124" s="18">
        <v>3.2</v>
      </c>
      <c r="E124" s="44">
        <v>6</v>
      </c>
      <c r="F124" s="141">
        <f t="shared" si="4"/>
        <v>0.46666666666666662</v>
      </c>
      <c r="G124" s="142">
        <f t="shared" si="5"/>
        <v>6.4</v>
      </c>
      <c r="H124" s="143">
        <f t="shared" si="6"/>
        <v>12</v>
      </c>
      <c r="I124" s="47"/>
      <c r="J124" s="16"/>
    </row>
    <row r="125" spans="1:10" x14ac:dyDescent="0.25">
      <c r="A125" s="315">
        <f t="shared" ref="A125:A169" si="8">A124+1</f>
        <v>124</v>
      </c>
      <c r="B125" s="314" t="s">
        <v>512</v>
      </c>
      <c r="C125" s="340">
        <v>3</v>
      </c>
      <c r="D125" s="10">
        <v>6</v>
      </c>
      <c r="E125" s="7">
        <v>10</v>
      </c>
      <c r="F125" s="141">
        <f t="shared" si="4"/>
        <v>0.4</v>
      </c>
      <c r="G125" s="142">
        <f t="shared" si="5"/>
        <v>18</v>
      </c>
      <c r="H125" s="143">
        <f t="shared" si="6"/>
        <v>30</v>
      </c>
      <c r="I125" s="47"/>
      <c r="J125" s="7"/>
    </row>
    <row r="126" spans="1:10" x14ac:dyDescent="0.25">
      <c r="A126" s="315">
        <f t="shared" si="8"/>
        <v>125</v>
      </c>
      <c r="B126" s="314" t="s">
        <v>316</v>
      </c>
      <c r="C126" s="340">
        <v>9</v>
      </c>
      <c r="D126" s="10">
        <v>2.4</v>
      </c>
      <c r="E126" s="7">
        <v>4</v>
      </c>
      <c r="F126" s="141">
        <f t="shared" si="4"/>
        <v>0.4</v>
      </c>
      <c r="G126" s="142">
        <f t="shared" si="5"/>
        <v>21.599999999999998</v>
      </c>
      <c r="H126" s="143">
        <f t="shared" si="6"/>
        <v>36</v>
      </c>
      <c r="I126" s="16"/>
      <c r="J126" s="7"/>
    </row>
    <row r="127" spans="1:10" x14ac:dyDescent="0.25">
      <c r="A127" s="315">
        <f t="shared" si="8"/>
        <v>126</v>
      </c>
      <c r="B127" s="314" t="s">
        <v>185</v>
      </c>
      <c r="C127" s="340">
        <v>15</v>
      </c>
      <c r="D127" s="10">
        <v>2.76</v>
      </c>
      <c r="E127" s="7">
        <v>7</v>
      </c>
      <c r="F127" s="141">
        <f t="shared" si="4"/>
        <v>0.60571428571428576</v>
      </c>
      <c r="G127" s="142">
        <f t="shared" si="5"/>
        <v>41.4</v>
      </c>
      <c r="H127" s="143">
        <f t="shared" si="6"/>
        <v>105</v>
      </c>
      <c r="I127" s="16"/>
      <c r="J127" s="7"/>
    </row>
    <row r="128" spans="1:10" x14ac:dyDescent="0.25">
      <c r="A128" s="315">
        <f t="shared" si="8"/>
        <v>127</v>
      </c>
      <c r="B128" s="314" t="s">
        <v>269</v>
      </c>
      <c r="C128" s="340">
        <v>5</v>
      </c>
      <c r="D128" s="10">
        <v>3.37</v>
      </c>
      <c r="E128" s="7">
        <v>6</v>
      </c>
      <c r="F128" s="141">
        <f t="shared" si="4"/>
        <v>0.4383333333333333</v>
      </c>
      <c r="G128" s="142">
        <f t="shared" si="5"/>
        <v>16.850000000000001</v>
      </c>
      <c r="H128" s="143">
        <f t="shared" si="6"/>
        <v>30</v>
      </c>
      <c r="I128" s="47"/>
      <c r="J128" s="7"/>
    </row>
    <row r="129" spans="1:10" x14ac:dyDescent="0.25">
      <c r="A129" s="315">
        <f t="shared" si="8"/>
        <v>128</v>
      </c>
      <c r="B129" s="314" t="s">
        <v>340</v>
      </c>
      <c r="C129" s="340">
        <v>1</v>
      </c>
      <c r="D129" s="10">
        <v>9.1999999999999993</v>
      </c>
      <c r="E129" s="7">
        <v>16</v>
      </c>
      <c r="F129" s="141">
        <f t="shared" si="4"/>
        <v>0.42500000000000004</v>
      </c>
      <c r="G129" s="142">
        <f t="shared" si="5"/>
        <v>9.1999999999999993</v>
      </c>
      <c r="H129" s="143">
        <f t="shared" si="6"/>
        <v>16</v>
      </c>
      <c r="I129" s="47"/>
      <c r="J129" s="7"/>
    </row>
    <row r="130" spans="1:10" x14ac:dyDescent="0.25">
      <c r="A130" s="315">
        <f t="shared" si="8"/>
        <v>129</v>
      </c>
      <c r="B130" s="314" t="s">
        <v>1131</v>
      </c>
      <c r="C130" s="340">
        <v>7</v>
      </c>
      <c r="D130" s="10">
        <v>5.84</v>
      </c>
      <c r="E130" s="7">
        <v>10</v>
      </c>
      <c r="F130" s="141">
        <f t="shared" ref="F130:F193" si="9">(E130-D130)/(E130)</f>
        <v>0.41600000000000004</v>
      </c>
      <c r="G130" s="142">
        <f t="shared" ref="G130:G193" si="10">D130*C130</f>
        <v>40.879999999999995</v>
      </c>
      <c r="H130" s="143">
        <f t="shared" ref="H130:H193" si="11">E130*C130</f>
        <v>70</v>
      </c>
      <c r="I130" s="47"/>
      <c r="J130" s="7"/>
    </row>
    <row r="131" spans="1:10" x14ac:dyDescent="0.25">
      <c r="A131" s="315">
        <f t="shared" si="8"/>
        <v>130</v>
      </c>
      <c r="B131" s="314" t="s">
        <v>1132</v>
      </c>
      <c r="C131" s="340">
        <v>2</v>
      </c>
      <c r="D131" s="10">
        <v>4.7699999999999996</v>
      </c>
      <c r="E131" s="7">
        <v>8.33</v>
      </c>
      <c r="F131" s="141">
        <f t="shared" si="9"/>
        <v>0.4273709483793518</v>
      </c>
      <c r="G131" s="142">
        <f t="shared" si="10"/>
        <v>9.5399999999999991</v>
      </c>
      <c r="H131" s="143">
        <f t="shared" si="11"/>
        <v>16.66</v>
      </c>
      <c r="I131" s="85"/>
      <c r="J131" s="87"/>
    </row>
    <row r="132" spans="1:10" x14ac:dyDescent="0.25">
      <c r="A132" s="315">
        <f t="shared" si="8"/>
        <v>131</v>
      </c>
      <c r="B132" s="314" t="s">
        <v>175</v>
      </c>
      <c r="C132" s="340">
        <v>4</v>
      </c>
      <c r="D132" s="10">
        <v>3.97</v>
      </c>
      <c r="E132" s="7">
        <v>8</v>
      </c>
      <c r="F132" s="141">
        <f t="shared" si="9"/>
        <v>0.50374999999999992</v>
      </c>
      <c r="G132" s="142">
        <f t="shared" si="10"/>
        <v>15.88</v>
      </c>
      <c r="H132" s="143">
        <f t="shared" si="11"/>
        <v>32</v>
      </c>
      <c r="I132" s="85"/>
      <c r="J132" s="87"/>
    </row>
    <row r="133" spans="1:10" x14ac:dyDescent="0.25">
      <c r="A133" s="315">
        <f t="shared" si="8"/>
        <v>132</v>
      </c>
      <c r="B133" s="314" t="s">
        <v>1182</v>
      </c>
      <c r="C133" s="340">
        <v>1</v>
      </c>
      <c r="D133" s="10">
        <v>23.3</v>
      </c>
      <c r="E133" s="7">
        <v>38</v>
      </c>
      <c r="F133" s="141">
        <f t="shared" si="9"/>
        <v>0.38684210526315788</v>
      </c>
      <c r="G133" s="142">
        <f t="shared" si="10"/>
        <v>23.3</v>
      </c>
      <c r="H133" s="143">
        <f t="shared" si="11"/>
        <v>38</v>
      </c>
      <c r="I133" s="85"/>
      <c r="J133" s="87"/>
    </row>
    <row r="134" spans="1:10" x14ac:dyDescent="0.25">
      <c r="A134" s="315">
        <f t="shared" si="8"/>
        <v>133</v>
      </c>
      <c r="B134" s="314" t="s">
        <v>127</v>
      </c>
      <c r="C134" s="340">
        <v>3</v>
      </c>
      <c r="D134" s="10">
        <v>7.4</v>
      </c>
      <c r="E134" s="7">
        <v>13</v>
      </c>
      <c r="F134" s="141">
        <f t="shared" si="9"/>
        <v>0.43076923076923074</v>
      </c>
      <c r="G134" s="142">
        <f t="shared" si="10"/>
        <v>22.200000000000003</v>
      </c>
      <c r="H134" s="143">
        <f t="shared" si="11"/>
        <v>39</v>
      </c>
      <c r="I134" s="85"/>
    </row>
    <row r="135" spans="1:10" x14ac:dyDescent="0.25">
      <c r="A135" s="315">
        <f t="shared" si="8"/>
        <v>134</v>
      </c>
      <c r="B135" s="314" t="s">
        <v>1133</v>
      </c>
      <c r="C135" s="340">
        <v>12</v>
      </c>
      <c r="D135" s="10">
        <v>2.66</v>
      </c>
      <c r="E135" s="7">
        <v>5</v>
      </c>
      <c r="F135" s="141">
        <f t="shared" si="9"/>
        <v>0.46799999999999997</v>
      </c>
      <c r="G135" s="142">
        <f t="shared" si="10"/>
        <v>31.92</v>
      </c>
      <c r="H135" s="143">
        <f t="shared" si="11"/>
        <v>60</v>
      </c>
    </row>
    <row r="136" spans="1:10" x14ac:dyDescent="0.25">
      <c r="A136" s="315">
        <f t="shared" si="8"/>
        <v>135</v>
      </c>
      <c r="B136" s="314" t="s">
        <v>319</v>
      </c>
      <c r="C136" s="340">
        <v>2</v>
      </c>
      <c r="D136" s="10">
        <v>14.4</v>
      </c>
      <c r="E136" s="7">
        <v>25</v>
      </c>
      <c r="F136" s="141">
        <f t="shared" si="9"/>
        <v>0.42399999999999999</v>
      </c>
      <c r="G136" s="142">
        <f t="shared" si="10"/>
        <v>28.8</v>
      </c>
      <c r="H136" s="143">
        <f t="shared" si="11"/>
        <v>50</v>
      </c>
      <c r="I136" s="85"/>
    </row>
    <row r="137" spans="1:10" x14ac:dyDescent="0.25">
      <c r="A137" s="315">
        <f t="shared" si="8"/>
        <v>136</v>
      </c>
      <c r="B137" s="314" t="s">
        <v>17</v>
      </c>
      <c r="C137" s="340">
        <v>3</v>
      </c>
      <c r="D137" s="10">
        <v>15</v>
      </c>
      <c r="E137" s="7">
        <v>26</v>
      </c>
      <c r="F137" s="141">
        <f t="shared" si="9"/>
        <v>0.42307692307692307</v>
      </c>
      <c r="G137" s="142">
        <f t="shared" si="10"/>
        <v>45</v>
      </c>
      <c r="H137" s="143">
        <f t="shared" si="11"/>
        <v>78</v>
      </c>
      <c r="I137" s="38"/>
    </row>
    <row r="138" spans="1:10" x14ac:dyDescent="0.25">
      <c r="A138" s="315">
        <f t="shared" si="8"/>
        <v>137</v>
      </c>
      <c r="B138" s="314" t="s">
        <v>711</v>
      </c>
      <c r="C138" s="340">
        <v>2</v>
      </c>
      <c r="D138" s="10">
        <v>6.5</v>
      </c>
      <c r="E138" s="7">
        <v>12</v>
      </c>
      <c r="F138" s="141">
        <f t="shared" si="9"/>
        <v>0.45833333333333331</v>
      </c>
      <c r="G138" s="142">
        <f t="shared" si="10"/>
        <v>13</v>
      </c>
      <c r="H138" s="143">
        <f t="shared" si="11"/>
        <v>24</v>
      </c>
    </row>
    <row r="139" spans="1:10" x14ac:dyDescent="0.25">
      <c r="A139" s="315">
        <f t="shared" si="8"/>
        <v>138</v>
      </c>
      <c r="B139" s="651" t="s">
        <v>607</v>
      </c>
      <c r="C139" s="653">
        <v>1</v>
      </c>
      <c r="D139" s="18">
        <v>1.2050000000000001</v>
      </c>
      <c r="E139" s="10">
        <v>2</v>
      </c>
      <c r="F139" s="141">
        <f t="shared" si="9"/>
        <v>0.39749999999999996</v>
      </c>
      <c r="G139" s="142">
        <f t="shared" si="10"/>
        <v>1.2050000000000001</v>
      </c>
      <c r="H139" s="143">
        <f t="shared" si="11"/>
        <v>2</v>
      </c>
    </row>
    <row r="140" spans="1:10" x14ac:dyDescent="0.25">
      <c r="A140" s="315">
        <f t="shared" si="8"/>
        <v>139</v>
      </c>
      <c r="B140" s="314" t="s">
        <v>1134</v>
      </c>
      <c r="C140" s="340">
        <v>4</v>
      </c>
      <c r="D140" s="10">
        <v>16.8</v>
      </c>
      <c r="E140" s="7">
        <v>32</v>
      </c>
      <c r="F140" s="141">
        <f t="shared" si="9"/>
        <v>0.47499999999999998</v>
      </c>
      <c r="G140" s="142">
        <f t="shared" si="10"/>
        <v>67.2</v>
      </c>
      <c r="H140" s="143">
        <f t="shared" si="11"/>
        <v>128</v>
      </c>
    </row>
    <row r="141" spans="1:10" x14ac:dyDescent="0.25">
      <c r="A141" s="315">
        <f t="shared" si="8"/>
        <v>140</v>
      </c>
      <c r="B141" s="314" t="s">
        <v>154</v>
      </c>
      <c r="C141" s="340">
        <v>7</v>
      </c>
      <c r="D141" s="10">
        <v>4.8</v>
      </c>
      <c r="E141" s="7">
        <v>10</v>
      </c>
      <c r="F141" s="141">
        <f t="shared" si="9"/>
        <v>0.52</v>
      </c>
      <c r="G141" s="142">
        <f t="shared" si="10"/>
        <v>33.6</v>
      </c>
      <c r="H141" s="143">
        <f t="shared" si="11"/>
        <v>70</v>
      </c>
    </row>
    <row r="142" spans="1:10" x14ac:dyDescent="0.25">
      <c r="A142" s="315">
        <f t="shared" si="8"/>
        <v>141</v>
      </c>
      <c r="B142" s="314" t="s">
        <v>740</v>
      </c>
      <c r="C142" s="340">
        <v>9</v>
      </c>
      <c r="D142" s="10">
        <v>6.84</v>
      </c>
      <c r="E142" s="7">
        <v>12</v>
      </c>
      <c r="F142" s="141">
        <f t="shared" si="9"/>
        <v>0.43</v>
      </c>
      <c r="G142" s="142">
        <f t="shared" si="10"/>
        <v>61.56</v>
      </c>
      <c r="H142" s="143">
        <f t="shared" si="11"/>
        <v>108</v>
      </c>
    </row>
    <row r="143" spans="1:10" x14ac:dyDescent="0.25">
      <c r="A143" s="315">
        <f t="shared" si="8"/>
        <v>142</v>
      </c>
      <c r="B143" s="314" t="s">
        <v>67</v>
      </c>
      <c r="C143" s="340">
        <v>4</v>
      </c>
      <c r="D143" s="10">
        <v>9.1</v>
      </c>
      <c r="E143" s="7">
        <v>17</v>
      </c>
      <c r="F143" s="141">
        <f t="shared" si="9"/>
        <v>0.46470588235294119</v>
      </c>
      <c r="G143" s="142">
        <f t="shared" si="10"/>
        <v>36.4</v>
      </c>
      <c r="H143" s="143">
        <f t="shared" si="11"/>
        <v>68</v>
      </c>
    </row>
    <row r="144" spans="1:10" x14ac:dyDescent="0.25">
      <c r="A144" s="315">
        <f t="shared" si="8"/>
        <v>143</v>
      </c>
      <c r="B144" s="314" t="s">
        <v>1002</v>
      </c>
      <c r="C144" s="340">
        <v>6</v>
      </c>
      <c r="D144" s="10">
        <v>5.7</v>
      </c>
      <c r="E144" s="7">
        <v>10</v>
      </c>
      <c r="F144" s="141">
        <f t="shared" si="9"/>
        <v>0.43</v>
      </c>
      <c r="G144" s="142">
        <f t="shared" si="10"/>
        <v>34.200000000000003</v>
      </c>
      <c r="H144" s="143">
        <f t="shared" si="11"/>
        <v>60</v>
      </c>
    </row>
    <row r="145" spans="1:9" x14ac:dyDescent="0.25">
      <c r="A145" s="315">
        <f t="shared" si="8"/>
        <v>144</v>
      </c>
      <c r="B145" s="314" t="s">
        <v>1326</v>
      </c>
      <c r="C145" s="340">
        <v>6</v>
      </c>
      <c r="D145" s="10">
        <v>29.57</v>
      </c>
      <c r="E145" s="7">
        <v>49</v>
      </c>
      <c r="F145" s="141">
        <f t="shared" si="9"/>
        <v>0.39653061224489794</v>
      </c>
      <c r="G145" s="142">
        <f t="shared" si="10"/>
        <v>177.42000000000002</v>
      </c>
      <c r="H145" s="143">
        <f t="shared" si="11"/>
        <v>294</v>
      </c>
    </row>
    <row r="146" spans="1:9" x14ac:dyDescent="0.25">
      <c r="A146" s="315">
        <f t="shared" si="8"/>
        <v>145</v>
      </c>
      <c r="B146" s="314" t="s">
        <v>443</v>
      </c>
      <c r="C146" s="340">
        <v>6</v>
      </c>
      <c r="D146" s="10">
        <v>8.42</v>
      </c>
      <c r="E146" s="7">
        <v>15</v>
      </c>
      <c r="F146" s="141">
        <f t="shared" si="9"/>
        <v>0.43866666666666665</v>
      </c>
      <c r="G146" s="142">
        <f t="shared" si="10"/>
        <v>50.519999999999996</v>
      </c>
      <c r="H146" s="143">
        <f t="shared" si="11"/>
        <v>90</v>
      </c>
    </row>
    <row r="147" spans="1:9" x14ac:dyDescent="0.25">
      <c r="A147" s="315">
        <f t="shared" si="8"/>
        <v>146</v>
      </c>
      <c r="B147" s="314" t="s">
        <v>1189</v>
      </c>
      <c r="C147" s="340">
        <v>11</v>
      </c>
      <c r="D147" s="10">
        <v>1.08</v>
      </c>
      <c r="E147" s="10">
        <v>4</v>
      </c>
      <c r="F147" s="141">
        <f t="shared" si="9"/>
        <v>0.73</v>
      </c>
      <c r="G147" s="142">
        <f t="shared" si="10"/>
        <v>11.88</v>
      </c>
      <c r="H147" s="143">
        <f t="shared" si="11"/>
        <v>44</v>
      </c>
    </row>
    <row r="148" spans="1:9" x14ac:dyDescent="0.25">
      <c r="A148" s="315">
        <f t="shared" si="8"/>
        <v>147</v>
      </c>
      <c r="B148" s="314" t="s">
        <v>1221</v>
      </c>
      <c r="C148" s="340">
        <v>14</v>
      </c>
      <c r="D148" s="10">
        <v>1.56</v>
      </c>
      <c r="E148" s="7">
        <v>4</v>
      </c>
      <c r="F148" s="141">
        <f t="shared" si="9"/>
        <v>0.61</v>
      </c>
      <c r="G148" s="142">
        <f t="shared" si="10"/>
        <v>21.84</v>
      </c>
      <c r="H148" s="143">
        <f t="shared" si="11"/>
        <v>56</v>
      </c>
    </row>
    <row r="149" spans="1:9" x14ac:dyDescent="0.25">
      <c r="A149" s="315">
        <f t="shared" si="8"/>
        <v>148</v>
      </c>
      <c r="B149" s="314" t="s">
        <v>1135</v>
      </c>
      <c r="C149" s="340">
        <v>5</v>
      </c>
      <c r="D149" s="10">
        <v>5.12</v>
      </c>
      <c r="E149" s="7">
        <v>10</v>
      </c>
      <c r="F149" s="141">
        <f t="shared" si="9"/>
        <v>0.48799999999999999</v>
      </c>
      <c r="G149" s="142">
        <f t="shared" si="10"/>
        <v>25.6</v>
      </c>
      <c r="H149" s="143">
        <f t="shared" si="11"/>
        <v>50</v>
      </c>
    </row>
    <row r="150" spans="1:9" x14ac:dyDescent="0.25">
      <c r="A150" s="315">
        <f t="shared" si="8"/>
        <v>149</v>
      </c>
      <c r="B150" s="314" t="s">
        <v>1136</v>
      </c>
      <c r="C150" s="340">
        <v>23</v>
      </c>
      <c r="D150" s="10">
        <v>5.74</v>
      </c>
      <c r="E150" s="7">
        <v>9.5</v>
      </c>
      <c r="F150" s="141">
        <f t="shared" si="9"/>
        <v>0.39578947368421052</v>
      </c>
      <c r="G150" s="142">
        <f t="shared" si="10"/>
        <v>132.02000000000001</v>
      </c>
      <c r="H150" s="143">
        <f t="shared" si="11"/>
        <v>218.5</v>
      </c>
      <c r="I150" s="85"/>
    </row>
    <row r="151" spans="1:9" x14ac:dyDescent="0.25">
      <c r="A151" s="315">
        <f t="shared" si="8"/>
        <v>150</v>
      </c>
      <c r="B151" s="314" t="s">
        <v>1137</v>
      </c>
      <c r="C151" s="340">
        <v>0</v>
      </c>
      <c r="D151" s="10">
        <v>0</v>
      </c>
      <c r="E151" s="7">
        <v>0</v>
      </c>
      <c r="F151" s="141" t="e">
        <f t="shared" si="9"/>
        <v>#DIV/0!</v>
      </c>
      <c r="G151" s="142">
        <f t="shared" si="10"/>
        <v>0</v>
      </c>
      <c r="H151" s="143">
        <f t="shared" si="11"/>
        <v>0</v>
      </c>
    </row>
    <row r="152" spans="1:9" x14ac:dyDescent="0.25">
      <c r="A152" s="315">
        <f t="shared" si="8"/>
        <v>151</v>
      </c>
      <c r="B152" s="314" t="s">
        <v>290</v>
      </c>
      <c r="C152" s="340">
        <v>7</v>
      </c>
      <c r="D152" s="10">
        <v>1.2</v>
      </c>
      <c r="E152" s="7">
        <v>3</v>
      </c>
      <c r="F152" s="141">
        <f t="shared" si="9"/>
        <v>0.6</v>
      </c>
      <c r="G152" s="142">
        <f t="shared" si="10"/>
        <v>8.4</v>
      </c>
      <c r="H152" s="143">
        <f t="shared" si="11"/>
        <v>21</v>
      </c>
    </row>
    <row r="153" spans="1:9" x14ac:dyDescent="0.25">
      <c r="A153" s="315">
        <f t="shared" si="8"/>
        <v>152</v>
      </c>
      <c r="B153" s="314" t="s">
        <v>617</v>
      </c>
      <c r="C153" s="340">
        <v>2</v>
      </c>
      <c r="D153" s="10">
        <v>29</v>
      </c>
      <c r="E153" s="7">
        <v>55</v>
      </c>
      <c r="F153" s="141">
        <f t="shared" si="9"/>
        <v>0.47272727272727272</v>
      </c>
      <c r="G153" s="142">
        <f t="shared" si="10"/>
        <v>58</v>
      </c>
      <c r="H153" s="143">
        <f t="shared" si="11"/>
        <v>110</v>
      </c>
    </row>
    <row r="154" spans="1:9" x14ac:dyDescent="0.25">
      <c r="A154" s="315">
        <f t="shared" si="8"/>
        <v>153</v>
      </c>
      <c r="B154" s="314" t="s">
        <v>593</v>
      </c>
      <c r="C154" s="340">
        <v>1</v>
      </c>
      <c r="D154" s="18">
        <v>13.6</v>
      </c>
      <c r="E154" s="44">
        <v>23</v>
      </c>
      <c r="F154" s="141">
        <f t="shared" si="9"/>
        <v>0.40869565217391307</v>
      </c>
      <c r="G154" s="142">
        <f t="shared" si="10"/>
        <v>13.6</v>
      </c>
      <c r="H154" s="143">
        <f t="shared" si="11"/>
        <v>23</v>
      </c>
    </row>
    <row r="155" spans="1:9" x14ac:dyDescent="0.25">
      <c r="A155" s="315">
        <f t="shared" si="8"/>
        <v>154</v>
      </c>
      <c r="B155" s="314" t="s">
        <v>594</v>
      </c>
      <c r="C155" s="340">
        <v>1</v>
      </c>
      <c r="D155" s="18">
        <v>13.6</v>
      </c>
      <c r="E155" s="44">
        <v>23</v>
      </c>
      <c r="F155" s="141">
        <f t="shared" si="9"/>
        <v>0.40869565217391307</v>
      </c>
      <c r="G155" s="142">
        <f t="shared" si="10"/>
        <v>13.6</v>
      </c>
      <c r="H155" s="143">
        <f t="shared" si="11"/>
        <v>23</v>
      </c>
    </row>
    <row r="156" spans="1:9" x14ac:dyDescent="0.25">
      <c r="A156" s="315">
        <f t="shared" si="8"/>
        <v>155</v>
      </c>
      <c r="B156" s="314" t="s">
        <v>595</v>
      </c>
      <c r="C156" s="340">
        <v>1</v>
      </c>
      <c r="D156" s="18">
        <v>13.6</v>
      </c>
      <c r="E156" s="44">
        <v>23</v>
      </c>
      <c r="F156" s="141">
        <f t="shared" si="9"/>
        <v>0.40869565217391307</v>
      </c>
      <c r="G156" s="142">
        <f t="shared" si="10"/>
        <v>13.6</v>
      </c>
      <c r="H156" s="143">
        <f t="shared" si="11"/>
        <v>23</v>
      </c>
    </row>
    <row r="157" spans="1:9" x14ac:dyDescent="0.25">
      <c r="A157" s="315">
        <f t="shared" si="8"/>
        <v>156</v>
      </c>
      <c r="B157" s="314" t="s">
        <v>596</v>
      </c>
      <c r="C157" s="340">
        <v>1</v>
      </c>
      <c r="D157" s="18">
        <v>13.6</v>
      </c>
      <c r="E157" s="44">
        <v>23</v>
      </c>
      <c r="F157" s="141">
        <f t="shared" si="9"/>
        <v>0.40869565217391307</v>
      </c>
      <c r="G157" s="142">
        <f t="shared" si="10"/>
        <v>13.6</v>
      </c>
      <c r="H157" s="143">
        <f t="shared" si="11"/>
        <v>23</v>
      </c>
    </row>
    <row r="158" spans="1:9" x14ac:dyDescent="0.25">
      <c r="A158" s="315">
        <f t="shared" si="8"/>
        <v>157</v>
      </c>
      <c r="B158" s="314" t="s">
        <v>255</v>
      </c>
      <c r="C158" s="340">
        <v>1</v>
      </c>
      <c r="D158" s="10">
        <v>9.4499999999999993</v>
      </c>
      <c r="E158" s="7">
        <v>15</v>
      </c>
      <c r="F158" s="141">
        <f t="shared" si="9"/>
        <v>0.37000000000000005</v>
      </c>
      <c r="G158" s="142">
        <f t="shared" si="10"/>
        <v>9.4499999999999993</v>
      </c>
      <c r="H158" s="143">
        <f t="shared" si="11"/>
        <v>15</v>
      </c>
      <c r="I158" s="85"/>
    </row>
    <row r="159" spans="1:9" x14ac:dyDescent="0.25">
      <c r="A159" s="315">
        <f t="shared" si="8"/>
        <v>158</v>
      </c>
      <c r="B159" s="314" t="s">
        <v>333</v>
      </c>
      <c r="C159" s="340">
        <v>1</v>
      </c>
      <c r="D159" s="10">
        <v>9.4499999999999993</v>
      </c>
      <c r="E159" s="7">
        <v>15</v>
      </c>
      <c r="F159" s="141">
        <f t="shared" si="9"/>
        <v>0.37000000000000005</v>
      </c>
      <c r="G159" s="142">
        <f t="shared" si="10"/>
        <v>9.4499999999999993</v>
      </c>
      <c r="H159" s="143">
        <f t="shared" si="11"/>
        <v>15</v>
      </c>
    </row>
    <row r="160" spans="1:9" x14ac:dyDescent="0.25">
      <c r="A160" s="315">
        <f t="shared" si="8"/>
        <v>159</v>
      </c>
      <c r="B160" s="314" t="s">
        <v>254</v>
      </c>
      <c r="C160" s="340">
        <v>1</v>
      </c>
      <c r="D160" s="10">
        <v>9.4499999999999993</v>
      </c>
      <c r="E160" s="7">
        <v>15</v>
      </c>
      <c r="F160" s="141">
        <f t="shared" si="9"/>
        <v>0.37000000000000005</v>
      </c>
      <c r="G160" s="142">
        <f t="shared" si="10"/>
        <v>9.4499999999999993</v>
      </c>
      <c r="H160" s="143">
        <f t="shared" si="11"/>
        <v>15</v>
      </c>
    </row>
    <row r="161" spans="1:8" x14ac:dyDescent="0.25">
      <c r="A161" s="315">
        <f t="shared" si="8"/>
        <v>160</v>
      </c>
      <c r="B161" s="314" t="s">
        <v>301</v>
      </c>
      <c r="C161" s="340">
        <v>2</v>
      </c>
      <c r="D161" s="10">
        <v>9.4499999999999993</v>
      </c>
      <c r="E161" s="7">
        <v>15</v>
      </c>
      <c r="F161" s="141">
        <f t="shared" si="9"/>
        <v>0.37000000000000005</v>
      </c>
      <c r="G161" s="142">
        <f t="shared" si="10"/>
        <v>18.899999999999999</v>
      </c>
      <c r="H161" s="143">
        <f t="shared" si="11"/>
        <v>30</v>
      </c>
    </row>
    <row r="162" spans="1:8" x14ac:dyDescent="0.25">
      <c r="A162" s="315">
        <f t="shared" si="8"/>
        <v>161</v>
      </c>
      <c r="B162" s="314" t="s">
        <v>1381</v>
      </c>
      <c r="C162" s="340">
        <v>1</v>
      </c>
      <c r="D162" s="10">
        <v>17.45</v>
      </c>
      <c r="E162" s="7">
        <v>29</v>
      </c>
      <c r="F162" s="141">
        <f t="shared" si="9"/>
        <v>0.39827586206896554</v>
      </c>
      <c r="G162" s="142">
        <f t="shared" si="10"/>
        <v>17.45</v>
      </c>
      <c r="H162" s="143">
        <f t="shared" si="11"/>
        <v>29</v>
      </c>
    </row>
    <row r="163" spans="1:8" x14ac:dyDescent="0.25">
      <c r="A163" s="315">
        <f t="shared" si="8"/>
        <v>162</v>
      </c>
      <c r="B163" s="314" t="s">
        <v>1382</v>
      </c>
      <c r="C163" s="340">
        <v>1</v>
      </c>
      <c r="D163" s="10">
        <v>17.45</v>
      </c>
      <c r="E163" s="7">
        <v>29</v>
      </c>
      <c r="F163" s="141">
        <f t="shared" si="9"/>
        <v>0.39827586206896554</v>
      </c>
      <c r="G163" s="142">
        <f t="shared" si="10"/>
        <v>17.45</v>
      </c>
      <c r="H163" s="143">
        <f t="shared" si="11"/>
        <v>29</v>
      </c>
    </row>
    <row r="164" spans="1:8" x14ac:dyDescent="0.25">
      <c r="A164" s="315">
        <f t="shared" si="8"/>
        <v>163</v>
      </c>
      <c r="B164" s="314" t="s">
        <v>1383</v>
      </c>
      <c r="C164" s="340">
        <v>1</v>
      </c>
      <c r="D164" s="10">
        <v>17.45</v>
      </c>
      <c r="E164" s="7">
        <v>29</v>
      </c>
      <c r="F164" s="141">
        <f t="shared" si="9"/>
        <v>0.39827586206896554</v>
      </c>
      <c r="G164" s="142">
        <f t="shared" si="10"/>
        <v>17.45</v>
      </c>
      <c r="H164" s="143">
        <f t="shared" si="11"/>
        <v>29</v>
      </c>
    </row>
    <row r="165" spans="1:8" x14ac:dyDescent="0.25">
      <c r="A165" s="315">
        <f t="shared" si="8"/>
        <v>164</v>
      </c>
      <c r="B165" s="314" t="s">
        <v>1475</v>
      </c>
      <c r="C165" s="340">
        <v>1</v>
      </c>
      <c r="D165" s="10">
        <v>17.45</v>
      </c>
      <c r="E165" s="7">
        <v>29</v>
      </c>
      <c r="F165" s="141">
        <f t="shared" si="9"/>
        <v>0.39827586206896554</v>
      </c>
      <c r="G165" s="142">
        <f t="shared" si="10"/>
        <v>17.45</v>
      </c>
      <c r="H165" s="143">
        <f t="shared" si="11"/>
        <v>29</v>
      </c>
    </row>
    <row r="166" spans="1:8" x14ac:dyDescent="0.25">
      <c r="A166" s="315">
        <f t="shared" si="8"/>
        <v>165</v>
      </c>
      <c r="B166" s="314" t="s">
        <v>751</v>
      </c>
      <c r="C166" s="340">
        <v>17</v>
      </c>
      <c r="D166" s="10">
        <v>2</v>
      </c>
      <c r="E166" s="7">
        <v>6</v>
      </c>
      <c r="F166" s="141">
        <f t="shared" si="9"/>
        <v>0.66666666666666663</v>
      </c>
      <c r="G166" s="142">
        <f t="shared" si="10"/>
        <v>34</v>
      </c>
      <c r="H166" s="143">
        <f t="shared" si="11"/>
        <v>102</v>
      </c>
    </row>
    <row r="167" spans="1:8" x14ac:dyDescent="0.25">
      <c r="A167" s="315">
        <f t="shared" si="8"/>
        <v>166</v>
      </c>
      <c r="B167" s="314" t="s">
        <v>27</v>
      </c>
      <c r="C167" s="340">
        <v>1</v>
      </c>
      <c r="D167" s="10">
        <v>5.75</v>
      </c>
      <c r="E167" s="7">
        <v>11</v>
      </c>
      <c r="F167" s="141">
        <f t="shared" si="9"/>
        <v>0.47727272727272729</v>
      </c>
      <c r="G167" s="142">
        <f t="shared" si="10"/>
        <v>5.75</v>
      </c>
      <c r="H167" s="143">
        <f t="shared" si="11"/>
        <v>11</v>
      </c>
    </row>
    <row r="168" spans="1:8" x14ac:dyDescent="0.25">
      <c r="A168" s="315">
        <f t="shared" si="8"/>
        <v>167</v>
      </c>
      <c r="B168" s="314" t="s">
        <v>406</v>
      </c>
      <c r="C168" s="340">
        <v>5</v>
      </c>
      <c r="D168" s="10">
        <v>5.3</v>
      </c>
      <c r="E168" s="7">
        <v>9</v>
      </c>
      <c r="F168" s="141">
        <f t="shared" si="9"/>
        <v>0.41111111111111115</v>
      </c>
      <c r="G168" s="142">
        <f t="shared" si="10"/>
        <v>26.5</v>
      </c>
      <c r="H168" s="143">
        <f t="shared" si="11"/>
        <v>45</v>
      </c>
    </row>
    <row r="169" spans="1:8" x14ac:dyDescent="0.25">
      <c r="A169" s="315">
        <f t="shared" si="8"/>
        <v>168</v>
      </c>
      <c r="B169" s="314" t="s">
        <v>413</v>
      </c>
      <c r="C169" s="340">
        <v>16</v>
      </c>
      <c r="D169" s="10">
        <v>7.23</v>
      </c>
      <c r="E169" s="7">
        <v>17</v>
      </c>
      <c r="F169" s="141">
        <f t="shared" si="9"/>
        <v>0.57470588235294118</v>
      </c>
      <c r="G169" s="142">
        <f t="shared" si="10"/>
        <v>115.68</v>
      </c>
      <c r="H169" s="143">
        <f t="shared" si="11"/>
        <v>272</v>
      </c>
    </row>
    <row r="170" spans="1:8" x14ac:dyDescent="0.25">
      <c r="A170" s="315">
        <f t="shared" ref="A170:A179" si="12">A169+1</f>
        <v>169</v>
      </c>
      <c r="B170" s="314" t="s">
        <v>109</v>
      </c>
      <c r="C170" s="340">
        <v>3</v>
      </c>
      <c r="D170" s="10">
        <v>12.4</v>
      </c>
      <c r="E170" s="7">
        <v>25</v>
      </c>
      <c r="F170" s="141">
        <f t="shared" si="9"/>
        <v>0.504</v>
      </c>
      <c r="G170" s="142">
        <f t="shared" si="10"/>
        <v>37.200000000000003</v>
      </c>
      <c r="H170" s="143">
        <f t="shared" si="11"/>
        <v>75</v>
      </c>
    </row>
    <row r="171" spans="1:8" x14ac:dyDescent="0.25">
      <c r="A171" s="315">
        <f t="shared" si="12"/>
        <v>170</v>
      </c>
      <c r="B171" s="314" t="s">
        <v>214</v>
      </c>
      <c r="C171" s="340">
        <v>90</v>
      </c>
      <c r="D171" s="10">
        <v>0.4</v>
      </c>
      <c r="E171" s="7">
        <v>0.7</v>
      </c>
      <c r="F171" s="141">
        <f t="shared" si="9"/>
        <v>0.42857142857142849</v>
      </c>
      <c r="G171" s="142">
        <f t="shared" si="10"/>
        <v>36</v>
      </c>
      <c r="H171" s="143">
        <f t="shared" si="11"/>
        <v>62.999999999999993</v>
      </c>
    </row>
    <row r="172" spans="1:8" x14ac:dyDescent="0.25">
      <c r="A172" s="315">
        <f t="shared" si="12"/>
        <v>171</v>
      </c>
      <c r="B172" s="314" t="s">
        <v>410</v>
      </c>
      <c r="C172" s="340">
        <v>2</v>
      </c>
      <c r="D172" s="18">
        <v>18</v>
      </c>
      <c r="E172" s="44">
        <v>30</v>
      </c>
      <c r="F172" s="141">
        <f t="shared" si="9"/>
        <v>0.4</v>
      </c>
      <c r="G172" s="142">
        <f t="shared" si="10"/>
        <v>36</v>
      </c>
      <c r="H172" s="143">
        <f t="shared" si="11"/>
        <v>60</v>
      </c>
    </row>
    <row r="173" spans="1:8" x14ac:dyDescent="0.25">
      <c r="A173" s="315">
        <f t="shared" si="12"/>
        <v>172</v>
      </c>
      <c r="B173" s="105" t="s">
        <v>874</v>
      </c>
      <c r="C173" s="340">
        <v>10</v>
      </c>
      <c r="D173" s="10">
        <v>2.16</v>
      </c>
      <c r="E173" s="7">
        <v>4</v>
      </c>
      <c r="F173" s="141">
        <f t="shared" si="9"/>
        <v>0.45999999999999996</v>
      </c>
      <c r="G173" s="142">
        <f t="shared" si="10"/>
        <v>21.6</v>
      </c>
      <c r="H173" s="143">
        <f t="shared" si="11"/>
        <v>40</v>
      </c>
    </row>
    <row r="174" spans="1:8" x14ac:dyDescent="0.25">
      <c r="A174" s="315">
        <f t="shared" si="12"/>
        <v>173</v>
      </c>
      <c r="B174" s="314" t="s">
        <v>28</v>
      </c>
      <c r="C174" s="340">
        <v>1</v>
      </c>
      <c r="D174" s="10">
        <v>12.3</v>
      </c>
      <c r="E174" s="7">
        <v>20</v>
      </c>
      <c r="F174" s="141">
        <f t="shared" si="9"/>
        <v>0.38499999999999995</v>
      </c>
      <c r="G174" s="142">
        <f t="shared" si="10"/>
        <v>12.3</v>
      </c>
      <c r="H174" s="143">
        <f t="shared" si="11"/>
        <v>20</v>
      </c>
    </row>
    <row r="175" spans="1:8" x14ac:dyDescent="0.25">
      <c r="A175" s="315">
        <f t="shared" si="12"/>
        <v>174</v>
      </c>
      <c r="B175" s="314" t="s">
        <v>1183</v>
      </c>
      <c r="C175" s="340">
        <v>8</v>
      </c>
      <c r="D175" s="10">
        <v>2.46</v>
      </c>
      <c r="E175" s="7">
        <v>9</v>
      </c>
      <c r="F175" s="141">
        <f t="shared" si="9"/>
        <v>0.72666666666666668</v>
      </c>
      <c r="G175" s="142">
        <f t="shared" si="10"/>
        <v>19.68</v>
      </c>
      <c r="H175" s="143">
        <f t="shared" si="11"/>
        <v>72</v>
      </c>
    </row>
    <row r="176" spans="1:8" x14ac:dyDescent="0.25">
      <c r="A176" s="315">
        <f t="shared" si="12"/>
        <v>175</v>
      </c>
      <c r="B176" s="314" t="s">
        <v>297</v>
      </c>
      <c r="C176" s="340">
        <v>35</v>
      </c>
      <c r="D176" s="10">
        <v>0.36</v>
      </c>
      <c r="E176" s="7">
        <v>1.5</v>
      </c>
      <c r="F176" s="141">
        <f t="shared" si="9"/>
        <v>0.76000000000000012</v>
      </c>
      <c r="G176" s="142">
        <f t="shared" si="10"/>
        <v>12.6</v>
      </c>
      <c r="H176" s="143">
        <f t="shared" si="11"/>
        <v>52.5</v>
      </c>
    </row>
    <row r="177" spans="1:8" x14ac:dyDescent="0.25">
      <c r="A177" s="315">
        <f t="shared" si="12"/>
        <v>176</v>
      </c>
      <c r="B177" s="314" t="s">
        <v>467</v>
      </c>
      <c r="C177" s="340">
        <v>22</v>
      </c>
      <c r="D177" s="10">
        <v>4.2850000000000001</v>
      </c>
      <c r="E177" s="7">
        <v>8</v>
      </c>
      <c r="F177" s="141">
        <f t="shared" si="9"/>
        <v>0.46437499999999998</v>
      </c>
      <c r="G177" s="142">
        <f t="shared" si="10"/>
        <v>94.27000000000001</v>
      </c>
      <c r="H177" s="143">
        <f t="shared" si="11"/>
        <v>176</v>
      </c>
    </row>
    <row r="178" spans="1:8" x14ac:dyDescent="0.25">
      <c r="A178" s="315">
        <f t="shared" si="12"/>
        <v>177</v>
      </c>
      <c r="B178" s="314" t="s">
        <v>1138</v>
      </c>
      <c r="C178" s="340">
        <v>9</v>
      </c>
      <c r="D178" s="10">
        <v>3.12</v>
      </c>
      <c r="E178" s="7">
        <v>6</v>
      </c>
      <c r="F178" s="141">
        <f t="shared" si="9"/>
        <v>0.48</v>
      </c>
      <c r="G178" s="142">
        <f t="shared" si="10"/>
        <v>28.080000000000002</v>
      </c>
      <c r="H178" s="143">
        <f t="shared" si="11"/>
        <v>54</v>
      </c>
    </row>
    <row r="179" spans="1:8" x14ac:dyDescent="0.25">
      <c r="A179" s="315">
        <f t="shared" si="12"/>
        <v>178</v>
      </c>
      <c r="B179" s="314" t="s">
        <v>266</v>
      </c>
      <c r="C179" s="413">
        <v>225</v>
      </c>
      <c r="D179" s="406">
        <v>7.8E-2</v>
      </c>
      <c r="E179" s="7">
        <v>0.25</v>
      </c>
      <c r="F179" s="141">
        <f t="shared" si="9"/>
        <v>0.68799999999999994</v>
      </c>
      <c r="G179" s="142">
        <f t="shared" si="10"/>
        <v>17.55</v>
      </c>
      <c r="H179" s="143">
        <f t="shared" si="11"/>
        <v>56.25</v>
      </c>
    </row>
    <row r="180" spans="1:8" x14ac:dyDescent="0.25">
      <c r="A180" s="315">
        <f>A179+1</f>
        <v>179</v>
      </c>
      <c r="B180" s="314" t="s">
        <v>328</v>
      </c>
      <c r="C180" s="340">
        <v>4</v>
      </c>
      <c r="D180" s="10">
        <v>21</v>
      </c>
      <c r="E180" s="7">
        <v>37</v>
      </c>
      <c r="F180" s="141">
        <f t="shared" si="9"/>
        <v>0.43243243243243246</v>
      </c>
      <c r="G180" s="142">
        <f t="shared" si="10"/>
        <v>84</v>
      </c>
      <c r="H180" s="143">
        <f t="shared" si="11"/>
        <v>148</v>
      </c>
    </row>
    <row r="181" spans="1:8" x14ac:dyDescent="0.25">
      <c r="A181" s="315">
        <f>A180+1</f>
        <v>180</v>
      </c>
      <c r="B181" s="314" t="s">
        <v>731</v>
      </c>
      <c r="C181" s="340">
        <v>90</v>
      </c>
      <c r="D181" s="10">
        <v>0.3</v>
      </c>
      <c r="E181" s="7">
        <v>0.5</v>
      </c>
      <c r="F181" s="141">
        <f t="shared" si="9"/>
        <v>0.4</v>
      </c>
      <c r="G181" s="142">
        <f t="shared" si="10"/>
        <v>27</v>
      </c>
      <c r="H181" s="143">
        <f t="shared" si="11"/>
        <v>45</v>
      </c>
    </row>
    <row r="182" spans="1:8" x14ac:dyDescent="0.25">
      <c r="A182" s="315">
        <f>A181+1</f>
        <v>181</v>
      </c>
      <c r="B182" s="314" t="s">
        <v>1184</v>
      </c>
      <c r="C182" s="340">
        <v>24.3</v>
      </c>
      <c r="D182" s="10">
        <v>6.6</v>
      </c>
      <c r="E182" s="7">
        <v>12</v>
      </c>
      <c r="F182" s="141">
        <f t="shared" si="9"/>
        <v>0.45</v>
      </c>
      <c r="G182" s="142">
        <f t="shared" si="10"/>
        <v>160.38</v>
      </c>
      <c r="H182" s="143">
        <f t="shared" si="11"/>
        <v>291.60000000000002</v>
      </c>
    </row>
    <row r="183" spans="1:8" x14ac:dyDescent="0.25">
      <c r="A183" s="315">
        <f>A182+1</f>
        <v>182</v>
      </c>
      <c r="B183" s="314" t="s">
        <v>1431</v>
      </c>
      <c r="C183" s="340">
        <v>9</v>
      </c>
      <c r="D183" s="10">
        <v>3.86</v>
      </c>
      <c r="E183" s="7">
        <v>9</v>
      </c>
      <c r="F183" s="141">
        <f t="shared" si="9"/>
        <v>0.57111111111111112</v>
      </c>
      <c r="G183" s="142">
        <f t="shared" si="10"/>
        <v>34.74</v>
      </c>
      <c r="H183" s="143">
        <f t="shared" si="11"/>
        <v>81</v>
      </c>
    </row>
    <row r="184" spans="1:8" x14ac:dyDescent="0.25">
      <c r="A184" s="315">
        <f>A183+1</f>
        <v>183</v>
      </c>
      <c r="B184" s="314" t="s">
        <v>145</v>
      </c>
      <c r="C184" s="340">
        <v>1</v>
      </c>
      <c r="D184" s="10">
        <v>14.8</v>
      </c>
      <c r="E184" s="7">
        <v>25</v>
      </c>
      <c r="F184" s="141">
        <f t="shared" si="9"/>
        <v>0.40799999999999997</v>
      </c>
      <c r="G184" s="142">
        <f t="shared" si="10"/>
        <v>14.8</v>
      </c>
      <c r="H184" s="143">
        <f t="shared" si="11"/>
        <v>25</v>
      </c>
    </row>
    <row r="185" spans="1:8" x14ac:dyDescent="0.25">
      <c r="A185" s="315">
        <f t="shared" ref="A185:A190" si="13">A184+1</f>
        <v>184</v>
      </c>
      <c r="B185" s="314" t="s">
        <v>313</v>
      </c>
      <c r="C185" s="340">
        <v>4</v>
      </c>
      <c r="D185" s="10">
        <v>11.6</v>
      </c>
      <c r="E185" s="7">
        <v>20</v>
      </c>
      <c r="F185" s="141">
        <f t="shared" si="9"/>
        <v>0.42000000000000004</v>
      </c>
      <c r="G185" s="142">
        <f t="shared" si="10"/>
        <v>46.4</v>
      </c>
      <c r="H185" s="143">
        <f t="shared" si="11"/>
        <v>80</v>
      </c>
    </row>
    <row r="186" spans="1:8" x14ac:dyDescent="0.25">
      <c r="A186" s="315">
        <f t="shared" si="13"/>
        <v>185</v>
      </c>
      <c r="B186" s="314" t="s">
        <v>125</v>
      </c>
      <c r="C186" s="340">
        <v>3</v>
      </c>
      <c r="D186" s="10">
        <v>16.8</v>
      </c>
      <c r="E186" s="7">
        <v>28</v>
      </c>
      <c r="F186" s="141">
        <f t="shared" si="9"/>
        <v>0.39999999999999997</v>
      </c>
      <c r="G186" s="142">
        <f t="shared" si="10"/>
        <v>50.400000000000006</v>
      </c>
      <c r="H186" s="143">
        <f t="shared" si="11"/>
        <v>84</v>
      </c>
    </row>
    <row r="187" spans="1:8" x14ac:dyDescent="0.25">
      <c r="A187" s="315">
        <f t="shared" si="13"/>
        <v>186</v>
      </c>
      <c r="B187" s="314" t="s">
        <v>257</v>
      </c>
      <c r="C187" s="340">
        <v>4</v>
      </c>
      <c r="D187" s="10">
        <v>9.85</v>
      </c>
      <c r="E187" s="7">
        <v>16</v>
      </c>
      <c r="F187" s="141">
        <f t="shared" si="9"/>
        <v>0.38437500000000002</v>
      </c>
      <c r="G187" s="142">
        <f t="shared" si="10"/>
        <v>39.4</v>
      </c>
      <c r="H187" s="143">
        <f t="shared" si="11"/>
        <v>64</v>
      </c>
    </row>
    <row r="188" spans="1:8" x14ac:dyDescent="0.25">
      <c r="A188" s="315">
        <f t="shared" si="13"/>
        <v>187</v>
      </c>
      <c r="B188" s="314" t="s">
        <v>1478</v>
      </c>
      <c r="C188" s="340">
        <v>20</v>
      </c>
      <c r="D188" s="10">
        <v>3.36</v>
      </c>
      <c r="E188" s="7">
        <v>6</v>
      </c>
      <c r="F188" s="141">
        <f t="shared" si="9"/>
        <v>0.44</v>
      </c>
      <c r="G188" s="142">
        <f t="shared" si="10"/>
        <v>67.2</v>
      </c>
      <c r="H188" s="143">
        <f t="shared" si="11"/>
        <v>120</v>
      </c>
    </row>
    <row r="189" spans="1:8" x14ac:dyDescent="0.25">
      <c r="A189" s="315">
        <f t="shared" si="13"/>
        <v>188</v>
      </c>
      <c r="B189" s="314" t="s">
        <v>712</v>
      </c>
      <c r="C189" s="340">
        <v>2</v>
      </c>
      <c r="D189" s="10">
        <v>26.4</v>
      </c>
      <c r="E189" s="7">
        <v>43</v>
      </c>
      <c r="F189" s="141">
        <f t="shared" si="9"/>
        <v>0.38604651162790699</v>
      </c>
      <c r="G189" s="142">
        <f t="shared" si="10"/>
        <v>52.8</v>
      </c>
      <c r="H189" s="143">
        <f t="shared" si="11"/>
        <v>86</v>
      </c>
    </row>
    <row r="190" spans="1:8" x14ac:dyDescent="0.25">
      <c r="A190" s="315">
        <f t="shared" si="13"/>
        <v>189</v>
      </c>
      <c r="B190" s="314" t="s">
        <v>51</v>
      </c>
      <c r="C190" s="340">
        <v>2</v>
      </c>
      <c r="D190" s="10">
        <v>25.95</v>
      </c>
      <c r="E190" s="7">
        <v>47</v>
      </c>
      <c r="F190" s="141">
        <f t="shared" si="9"/>
        <v>0.44787234042553192</v>
      </c>
      <c r="G190" s="142">
        <f t="shared" si="10"/>
        <v>51.9</v>
      </c>
      <c r="H190" s="143">
        <f t="shared" si="11"/>
        <v>94</v>
      </c>
    </row>
    <row r="191" spans="1:8" x14ac:dyDescent="0.25">
      <c r="A191" s="315">
        <f>A190+1</f>
        <v>190</v>
      </c>
      <c r="B191" s="314" t="s">
        <v>446</v>
      </c>
      <c r="C191" s="340">
        <v>0</v>
      </c>
      <c r="D191" s="10">
        <v>0</v>
      </c>
      <c r="E191" s="44">
        <v>0</v>
      </c>
      <c r="F191" s="141" t="e">
        <f t="shared" si="9"/>
        <v>#DIV/0!</v>
      </c>
      <c r="G191" s="142">
        <f t="shared" si="10"/>
        <v>0</v>
      </c>
      <c r="H191" s="143">
        <f t="shared" si="11"/>
        <v>0</v>
      </c>
    </row>
    <row r="192" spans="1:8" x14ac:dyDescent="0.25">
      <c r="A192" s="315">
        <f t="shared" ref="A192:A219" si="14">A191+1</f>
        <v>191</v>
      </c>
      <c r="B192" s="651" t="s">
        <v>703</v>
      </c>
      <c r="C192" s="653">
        <v>4</v>
      </c>
      <c r="D192" s="10">
        <v>18</v>
      </c>
      <c r="E192" s="7">
        <v>35</v>
      </c>
      <c r="F192" s="141">
        <f t="shared" si="9"/>
        <v>0.48571428571428571</v>
      </c>
      <c r="G192" s="142">
        <f t="shared" si="10"/>
        <v>72</v>
      </c>
      <c r="H192" s="143">
        <f t="shared" si="11"/>
        <v>140</v>
      </c>
    </row>
    <row r="193" spans="1:8" x14ac:dyDescent="0.25">
      <c r="A193" s="315">
        <f t="shared" si="14"/>
        <v>192</v>
      </c>
      <c r="B193" s="314" t="s">
        <v>464</v>
      </c>
      <c r="C193" s="340">
        <v>3</v>
      </c>
      <c r="D193" s="10">
        <v>2.7</v>
      </c>
      <c r="E193" s="7">
        <v>6</v>
      </c>
      <c r="F193" s="141">
        <f t="shared" si="9"/>
        <v>0.54999999999999993</v>
      </c>
      <c r="G193" s="142">
        <f t="shared" si="10"/>
        <v>8.1000000000000014</v>
      </c>
      <c r="H193" s="143">
        <f t="shared" si="11"/>
        <v>18</v>
      </c>
    </row>
    <row r="194" spans="1:8" x14ac:dyDescent="0.25">
      <c r="A194" s="315">
        <f t="shared" si="14"/>
        <v>193</v>
      </c>
      <c r="B194" s="314" t="s">
        <v>461</v>
      </c>
      <c r="C194" s="340">
        <v>2</v>
      </c>
      <c r="D194" s="10">
        <v>3.9</v>
      </c>
      <c r="E194" s="7">
        <v>8</v>
      </c>
      <c r="F194" s="141">
        <f t="shared" ref="F194:F202" si="15">(E194-D194)/(E194)</f>
        <v>0.51249999999999996</v>
      </c>
      <c r="G194" s="142">
        <f t="shared" ref="G194:G202" si="16">D194*C194</f>
        <v>7.8</v>
      </c>
      <c r="H194" s="143">
        <f t="shared" ref="H194:H202" si="17">E194*C194</f>
        <v>16</v>
      </c>
    </row>
    <row r="195" spans="1:8" x14ac:dyDescent="0.25">
      <c r="A195" s="315">
        <f t="shared" si="14"/>
        <v>194</v>
      </c>
      <c r="B195" s="314" t="s">
        <v>463</v>
      </c>
      <c r="C195" s="340">
        <v>2</v>
      </c>
      <c r="D195" s="18">
        <v>5.4</v>
      </c>
      <c r="E195" s="44">
        <v>11</v>
      </c>
      <c r="F195" s="141">
        <f t="shared" si="15"/>
        <v>0.50909090909090904</v>
      </c>
      <c r="G195" s="142">
        <f t="shared" si="16"/>
        <v>10.8</v>
      </c>
      <c r="H195" s="143">
        <f t="shared" si="17"/>
        <v>22</v>
      </c>
    </row>
    <row r="196" spans="1:8" x14ac:dyDescent="0.25">
      <c r="A196" s="315">
        <f t="shared" si="14"/>
        <v>195</v>
      </c>
      <c r="B196" s="314" t="s">
        <v>462</v>
      </c>
      <c r="C196" s="340">
        <v>1</v>
      </c>
      <c r="D196" s="10">
        <v>7.2</v>
      </c>
      <c r="E196" s="7">
        <v>15</v>
      </c>
      <c r="F196" s="141">
        <f t="shared" si="15"/>
        <v>0.52</v>
      </c>
      <c r="G196" s="142">
        <f t="shared" si="16"/>
        <v>7.2</v>
      </c>
      <c r="H196" s="143">
        <f t="shared" si="17"/>
        <v>15</v>
      </c>
    </row>
    <row r="197" spans="1:8" x14ac:dyDescent="0.25">
      <c r="A197" s="315">
        <f t="shared" si="14"/>
        <v>196</v>
      </c>
      <c r="B197" s="314" t="s">
        <v>248</v>
      </c>
      <c r="C197" s="340">
        <v>3</v>
      </c>
      <c r="D197" s="10">
        <v>9.6999999999999993</v>
      </c>
      <c r="E197" s="7">
        <v>16</v>
      </c>
      <c r="F197" s="141">
        <f t="shared" si="15"/>
        <v>0.39375000000000004</v>
      </c>
      <c r="G197" s="142">
        <f t="shared" si="16"/>
        <v>29.099999999999998</v>
      </c>
      <c r="H197" s="143">
        <f t="shared" si="17"/>
        <v>48</v>
      </c>
    </row>
    <row r="198" spans="1:8" x14ac:dyDescent="0.25">
      <c r="A198" s="315">
        <f t="shared" si="14"/>
        <v>197</v>
      </c>
      <c r="B198" s="314" t="s">
        <v>1139</v>
      </c>
      <c r="C198" s="340">
        <v>6</v>
      </c>
      <c r="D198" s="10">
        <v>4.45</v>
      </c>
      <c r="E198" s="7">
        <v>8</v>
      </c>
      <c r="F198" s="141">
        <f t="shared" si="15"/>
        <v>0.44374999999999998</v>
      </c>
      <c r="G198" s="142">
        <f t="shared" si="16"/>
        <v>26.700000000000003</v>
      </c>
      <c r="H198" s="143">
        <f t="shared" si="17"/>
        <v>48</v>
      </c>
    </row>
    <row r="199" spans="1:8" x14ac:dyDescent="0.25">
      <c r="A199" s="315">
        <f t="shared" si="14"/>
        <v>198</v>
      </c>
      <c r="B199" s="314" t="s">
        <v>1140</v>
      </c>
      <c r="C199" s="340">
        <v>4</v>
      </c>
      <c r="D199" s="18">
        <v>5.4</v>
      </c>
      <c r="E199" s="44">
        <v>10</v>
      </c>
      <c r="F199" s="141">
        <f t="shared" si="15"/>
        <v>0.45999999999999996</v>
      </c>
      <c r="G199" s="142">
        <f t="shared" si="16"/>
        <v>21.6</v>
      </c>
      <c r="H199" s="143">
        <f t="shared" si="17"/>
        <v>40</v>
      </c>
    </row>
    <row r="200" spans="1:8" x14ac:dyDescent="0.25">
      <c r="A200" s="315">
        <f t="shared" si="14"/>
        <v>199</v>
      </c>
      <c r="B200" s="314" t="s">
        <v>400</v>
      </c>
      <c r="C200" s="340">
        <v>8</v>
      </c>
      <c r="D200" s="10">
        <v>12.6</v>
      </c>
      <c r="E200" s="7">
        <v>26</v>
      </c>
      <c r="F200" s="141">
        <f t="shared" si="15"/>
        <v>0.51538461538461544</v>
      </c>
      <c r="G200" s="142">
        <f t="shared" si="16"/>
        <v>100.8</v>
      </c>
      <c r="H200" s="143">
        <f t="shared" si="17"/>
        <v>208</v>
      </c>
    </row>
    <row r="201" spans="1:8" x14ac:dyDescent="0.25">
      <c r="A201" s="315">
        <f t="shared" si="14"/>
        <v>200</v>
      </c>
      <c r="B201" s="314" t="s">
        <v>884</v>
      </c>
      <c r="C201" s="340">
        <v>58</v>
      </c>
      <c r="D201" s="10">
        <v>0.76</v>
      </c>
      <c r="E201" s="7">
        <v>1.5</v>
      </c>
      <c r="F201" s="141">
        <f t="shared" si="15"/>
        <v>0.49333333333333335</v>
      </c>
      <c r="G201" s="142">
        <f t="shared" si="16"/>
        <v>44.08</v>
      </c>
      <c r="H201" s="143">
        <f t="shared" si="17"/>
        <v>87</v>
      </c>
    </row>
    <row r="202" spans="1:8" x14ac:dyDescent="0.25">
      <c r="A202" s="315">
        <f t="shared" si="14"/>
        <v>201</v>
      </c>
      <c r="B202" s="314" t="s">
        <v>1141</v>
      </c>
      <c r="C202" s="340">
        <v>20</v>
      </c>
      <c r="D202" s="10">
        <v>1.44</v>
      </c>
      <c r="E202" s="7">
        <v>2.2999999999999998</v>
      </c>
      <c r="F202" s="141">
        <f t="shared" si="15"/>
        <v>0.37391304347826082</v>
      </c>
      <c r="G202" s="142">
        <f t="shared" si="16"/>
        <v>28.799999999999997</v>
      </c>
      <c r="H202" s="143">
        <f t="shared" si="17"/>
        <v>46</v>
      </c>
    </row>
    <row r="203" spans="1:8" x14ac:dyDescent="0.25">
      <c r="A203" s="315">
        <f t="shared" si="14"/>
        <v>202</v>
      </c>
      <c r="B203" s="314"/>
      <c r="C203" s="340"/>
      <c r="D203" s="10"/>
      <c r="E203" s="7"/>
      <c r="F203" s="141" t="e">
        <f>(E203-D203)/(E203)</f>
        <v>#DIV/0!</v>
      </c>
      <c r="G203" s="142">
        <f>D203*C203</f>
        <v>0</v>
      </c>
      <c r="H203" s="143">
        <f>E203*C203</f>
        <v>0</v>
      </c>
    </row>
    <row r="204" spans="1:8" x14ac:dyDescent="0.25">
      <c r="A204" s="315">
        <f t="shared" si="14"/>
        <v>203</v>
      </c>
      <c r="B204" s="314"/>
      <c r="C204" s="340"/>
      <c r="D204" s="10"/>
      <c r="E204" s="7"/>
      <c r="F204" s="141" t="e">
        <f>(E204-D204)/(E204)</f>
        <v>#DIV/0!</v>
      </c>
      <c r="G204" s="142">
        <f>D204*C204</f>
        <v>0</v>
      </c>
      <c r="H204" s="143">
        <f>E204*C204</f>
        <v>0</v>
      </c>
    </row>
    <row r="205" spans="1:8" x14ac:dyDescent="0.25">
      <c r="A205" s="315">
        <f t="shared" si="14"/>
        <v>204</v>
      </c>
      <c r="B205" s="314"/>
      <c r="C205" s="340"/>
      <c r="D205" s="10"/>
      <c r="E205" s="7"/>
      <c r="F205" s="141" t="e">
        <f>(E205-D205)/(E205)</f>
        <v>#DIV/0!</v>
      </c>
      <c r="G205" s="142">
        <f>D205*C205</f>
        <v>0</v>
      </c>
      <c r="H205" s="143">
        <f>E205*C205</f>
        <v>0</v>
      </c>
    </row>
    <row r="206" spans="1:8" x14ac:dyDescent="0.25">
      <c r="A206" s="315">
        <f t="shared" si="14"/>
        <v>205</v>
      </c>
      <c r="B206" s="314"/>
      <c r="C206" s="340"/>
      <c r="D206" s="10"/>
      <c r="E206" s="7"/>
      <c r="F206" s="141" t="e">
        <f>(E206-D206)/(E206)</f>
        <v>#DIV/0!</v>
      </c>
      <c r="G206" s="142">
        <f>D206*C206</f>
        <v>0</v>
      </c>
      <c r="H206" s="143">
        <f>E206*C206</f>
        <v>0</v>
      </c>
    </row>
    <row r="207" spans="1:8" x14ac:dyDescent="0.25">
      <c r="A207" s="315">
        <f t="shared" si="14"/>
        <v>206</v>
      </c>
      <c r="B207" s="314"/>
      <c r="C207" s="340"/>
      <c r="D207" s="10"/>
      <c r="E207" s="7"/>
      <c r="F207" s="141" t="e">
        <f>(E207-D207)/(E207)</f>
        <v>#DIV/0!</v>
      </c>
      <c r="G207" s="142">
        <f>D207*C207</f>
        <v>0</v>
      </c>
      <c r="H207" s="143">
        <f>E207*C207</f>
        <v>0</v>
      </c>
    </row>
    <row r="208" spans="1:8" x14ac:dyDescent="0.25">
      <c r="A208" s="315">
        <f t="shared" si="14"/>
        <v>207</v>
      </c>
      <c r="B208" s="314"/>
      <c r="C208" s="338"/>
      <c r="D208" s="10"/>
      <c r="E208" s="7"/>
      <c r="F208" s="141"/>
      <c r="G208" s="142"/>
      <c r="H208" s="143"/>
    </row>
    <row r="209" spans="1:8" x14ac:dyDescent="0.25">
      <c r="A209" s="315">
        <f t="shared" si="14"/>
        <v>208</v>
      </c>
      <c r="B209" s="3"/>
      <c r="C209" s="47"/>
      <c r="D209" s="15"/>
      <c r="E209" s="7"/>
      <c r="G209" s="30">
        <f>SUM(G2:G208)</f>
        <v>7191.8630000000012</v>
      </c>
      <c r="H209" s="25">
        <f>SUM(H2:H208)</f>
        <v>13466.910000000002</v>
      </c>
    </row>
    <row r="210" spans="1:8" x14ac:dyDescent="0.25">
      <c r="A210" s="315">
        <f t="shared" si="14"/>
        <v>209</v>
      </c>
      <c r="B210" s="3"/>
      <c r="C210" s="47"/>
      <c r="D210" s="15"/>
      <c r="E210" s="7"/>
      <c r="G210" s="30"/>
      <c r="H210" s="25">
        <f>H209-G209</f>
        <v>6275.0470000000005</v>
      </c>
    </row>
    <row r="211" spans="1:8" x14ac:dyDescent="0.25">
      <c r="A211" s="315">
        <f t="shared" si="14"/>
        <v>210</v>
      </c>
      <c r="B211" s="3"/>
      <c r="C211" s="47"/>
      <c r="D211" s="15"/>
      <c r="E211" s="7"/>
      <c r="G211" s="30"/>
      <c r="H211" s="98">
        <f>H210/H209</f>
        <v>0.46596041705187008</v>
      </c>
    </row>
    <row r="212" spans="1:8" x14ac:dyDescent="0.25">
      <c r="A212" s="315">
        <f t="shared" si="14"/>
        <v>211</v>
      </c>
      <c r="B212" s="3"/>
      <c r="C212" s="48"/>
      <c r="D212" s="15"/>
      <c r="E212" s="7"/>
      <c r="G212" s="30"/>
      <c r="H212" s="25"/>
    </row>
    <row r="213" spans="1:8" x14ac:dyDescent="0.25">
      <c r="A213" s="315">
        <f t="shared" si="14"/>
        <v>212</v>
      </c>
      <c r="B213" s="3"/>
      <c r="C213" s="47"/>
      <c r="D213" s="15"/>
      <c r="E213" s="7"/>
      <c r="G213" s="30"/>
      <c r="H213" s="25"/>
    </row>
    <row r="214" spans="1:8" x14ac:dyDescent="0.25">
      <c r="A214" s="315">
        <f t="shared" si="14"/>
        <v>213</v>
      </c>
      <c r="B214" s="3"/>
      <c r="C214" s="47"/>
      <c r="D214" s="15"/>
      <c r="E214" s="7"/>
      <c r="G214" s="30"/>
      <c r="H214" s="25"/>
    </row>
    <row r="215" spans="1:8" x14ac:dyDescent="0.25">
      <c r="A215" s="315">
        <f t="shared" si="14"/>
        <v>214</v>
      </c>
      <c r="B215" s="3"/>
      <c r="C215" s="47"/>
      <c r="D215" s="15"/>
      <c r="E215" s="7"/>
      <c r="G215" s="30"/>
      <c r="H215" s="25"/>
    </row>
    <row r="216" spans="1:8" x14ac:dyDescent="0.25">
      <c r="A216" s="315">
        <f t="shared" si="14"/>
        <v>215</v>
      </c>
      <c r="B216" s="3"/>
      <c r="C216" s="47"/>
      <c r="D216" s="15"/>
      <c r="E216" s="7"/>
      <c r="G216" s="30"/>
      <c r="H216" s="25"/>
    </row>
    <row r="217" spans="1:8" x14ac:dyDescent="0.25">
      <c r="A217" s="315">
        <f t="shared" si="14"/>
        <v>216</v>
      </c>
      <c r="B217" s="3"/>
      <c r="C217" s="47"/>
      <c r="D217" s="15"/>
      <c r="E217" s="7"/>
      <c r="G217" s="30"/>
      <c r="H217" s="25"/>
    </row>
    <row r="218" spans="1:8" x14ac:dyDescent="0.25">
      <c r="A218" s="315">
        <f t="shared" si="14"/>
        <v>217</v>
      </c>
      <c r="B218" s="3"/>
      <c r="C218" s="47"/>
      <c r="D218" s="15"/>
      <c r="E218" s="7"/>
      <c r="G218" s="30"/>
      <c r="H218" s="25"/>
    </row>
    <row r="219" spans="1:8" x14ac:dyDescent="0.25">
      <c r="A219" s="315">
        <f t="shared" si="14"/>
        <v>218</v>
      </c>
      <c r="B219" s="3"/>
      <c r="C219" s="47"/>
      <c r="D219" s="15"/>
      <c r="E219" s="7"/>
      <c r="G219" s="30"/>
      <c r="H219" s="25"/>
    </row>
    <row r="220" spans="1:8" x14ac:dyDescent="0.25">
      <c r="A220" s="315"/>
    </row>
    <row r="221" spans="1:8" x14ac:dyDescent="0.25">
      <c r="A221" s="315"/>
      <c r="B221" s="3"/>
      <c r="C221" s="47"/>
      <c r="D221" s="15"/>
      <c r="E221" s="7"/>
      <c r="G221" s="30"/>
      <c r="H221" s="25"/>
    </row>
    <row r="222" spans="1:8" x14ac:dyDescent="0.25">
      <c r="B222" s="3"/>
      <c r="C222" s="47"/>
      <c r="D222" s="15"/>
      <c r="E222" s="7"/>
      <c r="G222" s="30"/>
      <c r="H222" s="25"/>
    </row>
    <row r="223" spans="1:8" x14ac:dyDescent="0.25">
      <c r="B223" s="3"/>
      <c r="C223" s="47"/>
      <c r="D223" s="15"/>
      <c r="E223" s="7"/>
      <c r="G223" s="30"/>
      <c r="H223" s="25"/>
    </row>
    <row r="224" spans="1:8" x14ac:dyDescent="0.25">
      <c r="B224" s="3"/>
      <c r="C224" s="47"/>
      <c r="D224" s="15"/>
      <c r="E224" s="7"/>
      <c r="G224" s="30"/>
      <c r="H224" s="25"/>
    </row>
    <row r="225" spans="2:8" x14ac:dyDescent="0.25">
      <c r="B225" s="3"/>
      <c r="C225" s="47"/>
      <c r="D225" s="15"/>
      <c r="E225" s="7"/>
      <c r="G225" s="30"/>
      <c r="H225" s="25"/>
    </row>
    <row r="226" spans="2:8" x14ac:dyDescent="0.25">
      <c r="B226" s="3"/>
      <c r="C226" s="47"/>
      <c r="D226" s="15"/>
      <c r="E226" s="7"/>
      <c r="G226" s="30"/>
      <c r="H226" s="25"/>
    </row>
    <row r="227" spans="2:8" x14ac:dyDescent="0.25">
      <c r="B227" s="3"/>
      <c r="C227" s="47"/>
      <c r="D227" s="15"/>
      <c r="E227" s="7"/>
      <c r="G227" s="30"/>
      <c r="H227" s="25"/>
    </row>
    <row r="228" spans="2:8" x14ac:dyDescent="0.25">
      <c r="B228" s="3"/>
      <c r="C228" s="47"/>
      <c r="D228" s="15"/>
      <c r="E228" s="7"/>
      <c r="G228" s="30"/>
      <c r="H228" s="25"/>
    </row>
    <row r="229" spans="2:8" x14ac:dyDescent="0.25">
      <c r="B229" s="3"/>
      <c r="C229" s="47"/>
      <c r="D229" s="15"/>
      <c r="E229" s="7"/>
      <c r="G229" s="30"/>
      <c r="H229" s="25"/>
    </row>
    <row r="230" spans="2:8" x14ac:dyDescent="0.25">
      <c r="B230" s="3"/>
      <c r="C230" s="47"/>
      <c r="D230" s="15"/>
      <c r="E230" s="7"/>
      <c r="G230" s="30"/>
      <c r="H230" s="25"/>
    </row>
    <row r="231" spans="2:8" x14ac:dyDescent="0.25">
      <c r="B231" s="3"/>
      <c r="C231" s="47"/>
      <c r="D231" s="15"/>
      <c r="E231" s="7"/>
      <c r="G231" s="30"/>
      <c r="H231" s="25"/>
    </row>
    <row r="232" spans="2:8" x14ac:dyDescent="0.25">
      <c r="B232" s="3"/>
      <c r="C232" s="47"/>
      <c r="D232" s="15"/>
      <c r="E232" s="7"/>
      <c r="G232" s="30"/>
      <c r="H232" s="25"/>
    </row>
    <row r="233" spans="2:8" x14ac:dyDescent="0.25">
      <c r="B233" s="3"/>
      <c r="C233" s="47"/>
      <c r="D233" s="15"/>
      <c r="E233" s="7"/>
      <c r="G233" s="30"/>
      <c r="H233" s="25"/>
    </row>
    <row r="234" spans="2:8" x14ac:dyDescent="0.25">
      <c r="B234" s="3"/>
      <c r="C234" s="47"/>
      <c r="D234" s="15"/>
      <c r="E234" s="7"/>
      <c r="G234" s="30"/>
      <c r="H234" s="25"/>
    </row>
    <row r="235" spans="2:8" x14ac:dyDescent="0.25">
      <c r="B235" s="3"/>
      <c r="C235" s="47"/>
      <c r="D235" s="15"/>
      <c r="E235" s="7"/>
      <c r="G235" s="30"/>
      <c r="H235" s="25"/>
    </row>
    <row r="236" spans="2:8" x14ac:dyDescent="0.25">
      <c r="B236" s="3"/>
      <c r="C236" s="47"/>
      <c r="D236" s="15"/>
      <c r="E236" s="7"/>
      <c r="G236" s="30"/>
      <c r="H236" s="25"/>
    </row>
    <row r="237" spans="2:8" x14ac:dyDescent="0.25">
      <c r="B237" s="3"/>
      <c r="C237" s="47"/>
      <c r="D237" s="15"/>
      <c r="E237" s="7"/>
      <c r="G237" s="30"/>
      <c r="H237" s="25"/>
    </row>
    <row r="238" spans="2:8" x14ac:dyDescent="0.25">
      <c r="B238" s="3"/>
      <c r="C238" s="47"/>
      <c r="D238" s="15"/>
      <c r="E238" s="7"/>
      <c r="G238" s="30"/>
      <c r="H238" s="25"/>
    </row>
    <row r="239" spans="2:8" x14ac:dyDescent="0.25">
      <c r="B239" s="3"/>
      <c r="C239" s="48"/>
      <c r="D239" s="10"/>
      <c r="E239" s="7"/>
      <c r="G239" s="30"/>
      <c r="H239" s="25"/>
    </row>
    <row r="240" spans="2:8" x14ac:dyDescent="0.25">
      <c r="B240" s="3"/>
      <c r="C240" s="47"/>
      <c r="D240" s="15"/>
      <c r="E240" s="7"/>
      <c r="G240" s="30"/>
      <c r="H240" s="25"/>
    </row>
    <row r="241" spans="2:8" x14ac:dyDescent="0.25">
      <c r="B241" s="3"/>
      <c r="C241" s="47"/>
      <c r="D241" s="15"/>
      <c r="E241" s="7"/>
      <c r="G241" s="30"/>
      <c r="H241" s="25"/>
    </row>
    <row r="242" spans="2:8" x14ac:dyDescent="0.25">
      <c r="B242" s="3"/>
      <c r="C242" s="47"/>
      <c r="D242" s="15"/>
      <c r="E242" s="7"/>
      <c r="G242" s="30"/>
      <c r="H242" s="25"/>
    </row>
    <row r="243" spans="2:8" x14ac:dyDescent="0.25">
      <c r="B243" s="3"/>
      <c r="C243" s="47"/>
      <c r="D243" s="15"/>
      <c r="E243" s="7"/>
      <c r="G243" s="30"/>
      <c r="H243" s="25"/>
    </row>
    <row r="244" spans="2:8" x14ac:dyDescent="0.25">
      <c r="B244" s="3"/>
      <c r="C244" s="47"/>
      <c r="D244" s="15"/>
      <c r="E244" s="7"/>
      <c r="G244" s="30"/>
      <c r="H244" s="25"/>
    </row>
    <row r="245" spans="2:8" x14ac:dyDescent="0.25">
      <c r="B245" s="3"/>
      <c r="C245" s="47"/>
      <c r="D245" s="15"/>
      <c r="E245" s="7"/>
      <c r="G245" s="30"/>
      <c r="H245" s="25"/>
    </row>
    <row r="246" spans="2:8" x14ac:dyDescent="0.25">
      <c r="B246" s="3"/>
      <c r="C246" s="47"/>
      <c r="D246" s="15"/>
      <c r="E246" s="7"/>
      <c r="G246" s="30"/>
      <c r="H246" s="25"/>
    </row>
    <row r="247" spans="2:8" x14ac:dyDescent="0.25">
      <c r="B247" s="3"/>
      <c r="C247" s="47"/>
      <c r="D247" s="15"/>
      <c r="E247" s="7"/>
      <c r="G247" s="30"/>
      <c r="H247" s="25"/>
    </row>
    <row r="248" spans="2:8" x14ac:dyDescent="0.25">
      <c r="B248" s="3"/>
      <c r="C248" s="47"/>
      <c r="D248" s="15"/>
      <c r="E248" s="7"/>
      <c r="G248" s="30"/>
      <c r="H248" s="25"/>
    </row>
    <row r="249" spans="2:8" x14ac:dyDescent="0.25">
      <c r="B249" s="3"/>
      <c r="C249" s="47"/>
      <c r="D249" s="15"/>
      <c r="E249" s="7"/>
      <c r="G249" s="30"/>
      <c r="H249" s="25"/>
    </row>
    <row r="250" spans="2:8" x14ac:dyDescent="0.25">
      <c r="B250" s="3"/>
      <c r="C250" s="47"/>
      <c r="D250" s="15"/>
      <c r="E250" s="7"/>
      <c r="G250" s="30"/>
      <c r="H250" s="25"/>
    </row>
    <row r="251" spans="2:8" x14ac:dyDescent="0.25">
      <c r="B251" s="3"/>
      <c r="C251" s="47"/>
      <c r="D251" s="15"/>
      <c r="E251" s="7"/>
      <c r="G251" s="30"/>
      <c r="H251" s="25"/>
    </row>
    <row r="252" spans="2:8" x14ac:dyDescent="0.25">
      <c r="B252" s="3"/>
      <c r="C252" s="47"/>
      <c r="D252" s="15"/>
      <c r="E252" s="7"/>
      <c r="G252" s="30"/>
      <c r="H252" s="25"/>
    </row>
    <row r="253" spans="2:8" x14ac:dyDescent="0.25">
      <c r="B253" s="3"/>
      <c r="C253" s="47"/>
      <c r="D253" s="15"/>
      <c r="E253" s="7"/>
      <c r="G253" s="30"/>
      <c r="H253" s="25"/>
    </row>
    <row r="254" spans="2:8" x14ac:dyDescent="0.25">
      <c r="B254" s="3"/>
      <c r="C254" s="47"/>
      <c r="D254" s="15"/>
      <c r="E254" s="7"/>
      <c r="G254" s="30"/>
      <c r="H254" s="25"/>
    </row>
    <row r="255" spans="2:8" x14ac:dyDescent="0.25">
      <c r="B255" s="3"/>
      <c r="C255" s="47"/>
      <c r="D255" s="15"/>
      <c r="E255" s="7"/>
      <c r="G255" s="30"/>
      <c r="H255" s="25"/>
    </row>
    <row r="256" spans="2:8" x14ac:dyDescent="0.25">
      <c r="B256" s="3"/>
      <c r="C256" s="47"/>
      <c r="D256" s="15"/>
      <c r="E256" s="7"/>
      <c r="G256" s="30"/>
      <c r="H256" s="25"/>
    </row>
    <row r="257" spans="2:8" x14ac:dyDescent="0.25">
      <c r="B257" s="3"/>
      <c r="C257" s="47"/>
      <c r="D257" s="15"/>
      <c r="E257" s="7"/>
      <c r="G257" s="30"/>
      <c r="H257" s="25"/>
    </row>
    <row r="258" spans="2:8" x14ac:dyDescent="0.25">
      <c r="B258" s="3"/>
      <c r="C258" s="47"/>
      <c r="D258" s="15"/>
      <c r="E258" s="7"/>
      <c r="G258" s="30"/>
      <c r="H258" s="25"/>
    </row>
    <row r="259" spans="2:8" x14ac:dyDescent="0.25">
      <c r="B259" s="3"/>
      <c r="C259" s="47"/>
      <c r="D259" s="15"/>
      <c r="E259" s="7"/>
      <c r="G259" s="30"/>
      <c r="H259" s="25"/>
    </row>
    <row r="260" spans="2:8" x14ac:dyDescent="0.25">
      <c r="B260" s="3"/>
      <c r="C260" s="47"/>
      <c r="D260" s="15"/>
      <c r="E260" s="7"/>
      <c r="G260" s="30"/>
      <c r="H260" s="25"/>
    </row>
    <row r="261" spans="2:8" x14ac:dyDescent="0.25">
      <c r="B261" s="3"/>
      <c r="C261" s="47"/>
      <c r="D261" s="15"/>
      <c r="E261" s="7"/>
      <c r="G261" s="30"/>
      <c r="H261" s="25"/>
    </row>
    <row r="262" spans="2:8" x14ac:dyDescent="0.25">
      <c r="B262" s="3"/>
      <c r="C262" s="47"/>
      <c r="D262" s="15"/>
      <c r="E262" s="7"/>
      <c r="G262" s="30"/>
      <c r="H262" s="25"/>
    </row>
    <row r="263" spans="2:8" x14ac:dyDescent="0.25">
      <c r="B263" s="3"/>
      <c r="C263" s="47"/>
      <c r="D263" s="15"/>
      <c r="E263" s="7"/>
      <c r="G263" s="30"/>
      <c r="H263" s="25"/>
    </row>
    <row r="264" spans="2:8" x14ac:dyDescent="0.25">
      <c r="B264" s="3"/>
      <c r="C264" s="47"/>
      <c r="D264" s="15"/>
      <c r="E264" s="7"/>
      <c r="G264" s="30"/>
      <c r="H264" s="25"/>
    </row>
    <row r="265" spans="2:8" x14ac:dyDescent="0.25">
      <c r="B265" s="3"/>
      <c r="C265" s="47"/>
      <c r="D265" s="15"/>
      <c r="E265" s="7"/>
      <c r="G265" s="30"/>
      <c r="H265" s="25"/>
    </row>
    <row r="266" spans="2:8" x14ac:dyDescent="0.25">
      <c r="B266" s="3"/>
      <c r="C266" s="47"/>
      <c r="D266" s="15"/>
      <c r="E266" s="7"/>
      <c r="G266" s="30"/>
      <c r="H266" s="25"/>
    </row>
    <row r="267" spans="2:8" x14ac:dyDescent="0.25">
      <c r="B267" s="3"/>
      <c r="C267" s="47"/>
      <c r="D267" s="15"/>
      <c r="E267" s="7"/>
      <c r="G267" s="30"/>
      <c r="H267" s="25"/>
    </row>
    <row r="268" spans="2:8" x14ac:dyDescent="0.25">
      <c r="B268" s="3"/>
      <c r="C268" s="47"/>
      <c r="D268" s="15"/>
      <c r="E268" s="7"/>
      <c r="G268" s="30"/>
      <c r="H268" s="25"/>
    </row>
    <row r="269" spans="2:8" x14ac:dyDescent="0.25">
      <c r="B269" s="3"/>
      <c r="C269" s="47"/>
      <c r="D269" s="15"/>
      <c r="E269" s="7"/>
      <c r="G269" s="30"/>
      <c r="H269" s="25"/>
    </row>
    <row r="270" spans="2:8" x14ac:dyDescent="0.25">
      <c r="B270" s="3"/>
      <c r="C270" s="47"/>
      <c r="D270" s="15"/>
      <c r="E270" s="7"/>
      <c r="G270" s="30"/>
      <c r="H270" s="25"/>
    </row>
    <row r="271" spans="2:8" x14ac:dyDescent="0.25">
      <c r="B271" s="3"/>
      <c r="C271" s="47"/>
      <c r="D271" s="15"/>
      <c r="E271" s="7"/>
      <c r="G271" s="30"/>
      <c r="H271" s="25"/>
    </row>
    <row r="272" spans="2:8" x14ac:dyDescent="0.25">
      <c r="B272" s="3"/>
      <c r="C272" s="47"/>
      <c r="D272" s="15"/>
      <c r="E272" s="7"/>
      <c r="G272" s="30"/>
      <c r="H272" s="25"/>
    </row>
    <row r="273" spans="2:8" x14ac:dyDescent="0.25">
      <c r="B273" s="3"/>
      <c r="C273" s="47"/>
      <c r="D273" s="15"/>
      <c r="E273" s="7"/>
      <c r="G273" s="30"/>
      <c r="H273" s="25"/>
    </row>
    <row r="274" spans="2:8" x14ac:dyDescent="0.25">
      <c r="B274" s="3"/>
      <c r="C274" s="47"/>
      <c r="D274" s="15"/>
      <c r="E274" s="7"/>
      <c r="G274" s="30"/>
      <c r="H274" s="25"/>
    </row>
    <row r="275" spans="2:8" x14ac:dyDescent="0.25">
      <c r="B275" s="3"/>
      <c r="C275" s="47"/>
      <c r="D275" s="15"/>
      <c r="E275" s="7"/>
      <c r="G275" s="30"/>
      <c r="H275" s="25"/>
    </row>
    <row r="276" spans="2:8" x14ac:dyDescent="0.25">
      <c r="B276" s="3"/>
      <c r="C276" s="47"/>
      <c r="D276" s="15"/>
      <c r="E276" s="7"/>
      <c r="G276" s="30"/>
      <c r="H276" s="25"/>
    </row>
    <row r="277" spans="2:8" x14ac:dyDescent="0.25">
      <c r="B277" s="3"/>
      <c r="C277" s="47"/>
      <c r="D277" s="15"/>
      <c r="E277" s="7"/>
      <c r="G277" s="30"/>
      <c r="H277" s="25"/>
    </row>
    <row r="278" spans="2:8" x14ac:dyDescent="0.25">
      <c r="B278" s="3"/>
      <c r="C278" s="47"/>
      <c r="D278" s="15"/>
      <c r="E278" s="7"/>
      <c r="G278" s="30"/>
      <c r="H278" s="25"/>
    </row>
    <row r="279" spans="2:8" x14ac:dyDescent="0.25">
      <c r="B279" s="3"/>
      <c r="C279" s="47"/>
      <c r="D279" s="15"/>
      <c r="E279" s="7"/>
      <c r="G279" s="30"/>
      <c r="H279" s="25"/>
    </row>
    <row r="280" spans="2:8" x14ac:dyDescent="0.25">
      <c r="B280" s="3"/>
      <c r="C280" s="47"/>
      <c r="D280" s="15"/>
      <c r="E280" s="7"/>
      <c r="G280" s="30"/>
      <c r="H280" s="25"/>
    </row>
    <row r="281" spans="2:8" x14ac:dyDescent="0.25">
      <c r="B281" s="3"/>
      <c r="C281" s="47"/>
      <c r="D281" s="15"/>
      <c r="E281" s="7"/>
      <c r="G281" s="30"/>
      <c r="H281" s="25"/>
    </row>
    <row r="282" spans="2:8" x14ac:dyDescent="0.25">
      <c r="B282" s="3"/>
      <c r="C282" s="47"/>
      <c r="D282" s="15"/>
      <c r="E282" s="7"/>
      <c r="G282" s="30"/>
      <c r="H282" s="25"/>
    </row>
    <row r="283" spans="2:8" x14ac:dyDescent="0.25">
      <c r="B283" s="3"/>
      <c r="C283" s="47"/>
      <c r="D283" s="15"/>
      <c r="E283" s="7"/>
      <c r="G283" s="30"/>
      <c r="H283" s="25"/>
    </row>
    <row r="284" spans="2:8" x14ac:dyDescent="0.25">
      <c r="B284" s="3"/>
      <c r="C284" s="47"/>
      <c r="D284" s="15"/>
      <c r="E284" s="7"/>
      <c r="G284" s="30"/>
      <c r="H284" s="25"/>
    </row>
    <row r="285" spans="2:8" x14ac:dyDescent="0.25">
      <c r="B285" s="3"/>
      <c r="C285" s="47"/>
      <c r="D285" s="15"/>
      <c r="E285" s="7"/>
      <c r="G285" s="30"/>
      <c r="H285" s="25"/>
    </row>
    <row r="286" spans="2:8" x14ac:dyDescent="0.25">
      <c r="B286" s="3"/>
      <c r="C286" s="47"/>
      <c r="D286" s="15"/>
      <c r="E286" s="7"/>
      <c r="G286" s="30"/>
      <c r="H286" s="25"/>
    </row>
    <row r="287" spans="2:8" x14ac:dyDescent="0.25">
      <c r="B287" s="3"/>
      <c r="C287" s="47"/>
      <c r="D287" s="15"/>
      <c r="E287" s="7"/>
      <c r="G287" s="30"/>
      <c r="H287" s="25"/>
    </row>
    <row r="288" spans="2:8" x14ac:dyDescent="0.25">
      <c r="B288" s="3"/>
      <c r="C288" s="47"/>
      <c r="D288" s="15"/>
      <c r="E288" s="7"/>
      <c r="G288" s="30"/>
      <c r="H288" s="25"/>
    </row>
    <row r="289" spans="2:8" x14ac:dyDescent="0.25">
      <c r="B289" s="3"/>
      <c r="C289" s="47"/>
      <c r="D289" s="15"/>
      <c r="E289" s="7"/>
      <c r="G289" s="30"/>
      <c r="H289" s="25"/>
    </row>
    <row r="290" spans="2:8" x14ac:dyDescent="0.25">
      <c r="B290" s="3"/>
      <c r="C290" s="47"/>
      <c r="D290" s="15"/>
      <c r="E290" s="7"/>
      <c r="G290" s="30"/>
      <c r="H290" s="25"/>
    </row>
    <row r="291" spans="2:8" x14ac:dyDescent="0.25">
      <c r="B291" s="3"/>
      <c r="C291" s="47"/>
      <c r="D291" s="15"/>
      <c r="E291" s="7"/>
      <c r="G291" s="30"/>
      <c r="H291" s="25"/>
    </row>
    <row r="292" spans="2:8" x14ac:dyDescent="0.25">
      <c r="B292" s="3"/>
      <c r="C292" s="47"/>
      <c r="D292" s="15"/>
      <c r="E292" s="7"/>
      <c r="G292" s="30"/>
      <c r="H292" s="25"/>
    </row>
    <row r="293" spans="2:8" x14ac:dyDescent="0.25">
      <c r="B293" s="3"/>
      <c r="C293" s="47"/>
      <c r="D293" s="15"/>
      <c r="E293" s="7"/>
      <c r="G293" s="30"/>
      <c r="H293" s="25"/>
    </row>
    <row r="294" spans="2:8" x14ac:dyDescent="0.25">
      <c r="B294" s="3"/>
      <c r="C294" s="47"/>
      <c r="D294" s="15"/>
      <c r="E294" s="7"/>
      <c r="G294" s="30"/>
      <c r="H294" s="25"/>
    </row>
    <row r="295" spans="2:8" x14ac:dyDescent="0.25">
      <c r="B295" s="3"/>
      <c r="C295" s="47"/>
      <c r="D295" s="15"/>
      <c r="E295" s="7"/>
      <c r="G295" s="30"/>
      <c r="H295" s="25"/>
    </row>
    <row r="296" spans="2:8" ht="13.5" customHeight="1" x14ac:dyDescent="0.25">
      <c r="B296" s="3"/>
      <c r="C296" s="47"/>
      <c r="D296" s="15"/>
      <c r="E296" s="7"/>
      <c r="G296" s="30"/>
      <c r="H296" s="25"/>
    </row>
    <row r="297" spans="2:8" ht="13.5" customHeight="1" x14ac:dyDescent="0.25">
      <c r="B297" s="3"/>
      <c r="C297" s="47"/>
      <c r="D297" s="15"/>
      <c r="E297" s="7"/>
      <c r="G297" s="30"/>
      <c r="H297" s="25"/>
    </row>
    <row r="298" spans="2:8" ht="13.5" customHeight="1" x14ac:dyDescent="0.25">
      <c r="B298" s="3"/>
      <c r="C298" s="48"/>
      <c r="D298" s="15"/>
      <c r="E298" s="7"/>
      <c r="G298" s="30"/>
      <c r="H298" s="25"/>
    </row>
    <row r="299" spans="2:8" ht="13.5" customHeight="1" x14ac:dyDescent="0.25">
      <c r="B299" s="3"/>
      <c r="C299" s="9"/>
      <c r="D299" s="15"/>
      <c r="E299" s="7"/>
      <c r="G299" s="30"/>
      <c r="H299" s="25"/>
    </row>
    <row r="300" spans="2:8" ht="13.5" customHeight="1" x14ac:dyDescent="0.25">
      <c r="B300" s="3"/>
      <c r="C300" s="9"/>
      <c r="D300" s="15"/>
      <c r="E300" s="7"/>
      <c r="G300" s="30"/>
      <c r="H300" s="25"/>
    </row>
    <row r="301" spans="2:8" ht="13.5" customHeight="1" x14ac:dyDescent="0.25">
      <c r="B301" s="3"/>
      <c r="C301" s="8"/>
      <c r="D301" s="15"/>
      <c r="E301" s="7"/>
      <c r="G301" s="30"/>
      <c r="H301" s="25"/>
    </row>
    <row r="302" spans="2:8" ht="13.5" customHeight="1" x14ac:dyDescent="0.25">
      <c r="B302" s="3"/>
      <c r="C302" s="9"/>
      <c r="D302" s="15"/>
      <c r="E302" s="7"/>
      <c r="G302" s="30"/>
      <c r="H302" s="25"/>
    </row>
    <row r="303" spans="2:8" ht="13.5" customHeight="1" x14ac:dyDescent="0.25">
      <c r="B303" s="3"/>
      <c r="C303" s="9"/>
      <c r="D303" s="15"/>
      <c r="E303" s="7"/>
      <c r="G303" s="30"/>
      <c r="H303" s="25"/>
    </row>
    <row r="304" spans="2:8" ht="13.5" customHeight="1" x14ac:dyDescent="0.25">
      <c r="B304" s="3"/>
      <c r="C304" s="9"/>
      <c r="D304" s="15"/>
      <c r="E304" s="7"/>
      <c r="G304" s="30"/>
      <c r="H304" s="25"/>
    </row>
    <row r="305" spans="2:8" ht="13.5" customHeight="1" x14ac:dyDescent="0.25">
      <c r="B305" s="3"/>
      <c r="C305" s="9"/>
      <c r="D305" s="15"/>
      <c r="E305" s="7"/>
      <c r="G305" s="30"/>
      <c r="H305" s="25"/>
    </row>
    <row r="306" spans="2:8" ht="13.5" customHeight="1" x14ac:dyDescent="0.25">
      <c r="B306" s="3"/>
      <c r="C306" s="9"/>
      <c r="D306" s="15"/>
      <c r="E306" s="7"/>
      <c r="G306" s="30"/>
      <c r="H306" s="25"/>
    </row>
    <row r="307" spans="2:8" ht="13.5" customHeight="1" x14ac:dyDescent="0.25">
      <c r="B307" s="3"/>
      <c r="C307" s="9"/>
      <c r="D307" s="15"/>
      <c r="E307" s="7"/>
      <c r="G307" s="30"/>
      <c r="H307" s="25"/>
    </row>
    <row r="308" spans="2:8" ht="13.5" customHeight="1" x14ac:dyDescent="0.25">
      <c r="B308" s="3"/>
      <c r="C308" s="9"/>
      <c r="D308" s="15"/>
      <c r="E308" s="7"/>
      <c r="G308" s="30"/>
      <c r="H308" s="25"/>
    </row>
    <row r="309" spans="2:8" ht="13.5" customHeight="1" x14ac:dyDescent="0.25">
      <c r="B309" s="3"/>
      <c r="C309" s="8"/>
      <c r="D309" s="15"/>
      <c r="E309" s="7"/>
      <c r="G309" s="30"/>
      <c r="H309" s="25"/>
    </row>
    <row r="310" spans="2:8" ht="13.5" customHeight="1" x14ac:dyDescent="0.25">
      <c r="B310" s="3"/>
      <c r="C310" s="9"/>
      <c r="D310" s="15"/>
      <c r="E310" s="7"/>
      <c r="G310" s="30"/>
      <c r="H310" s="25"/>
    </row>
    <row r="311" spans="2:8" ht="13.5" customHeight="1" x14ac:dyDescent="0.25">
      <c r="B311" s="3"/>
      <c r="C311" s="9"/>
      <c r="D311" s="15"/>
      <c r="E311" s="7"/>
      <c r="G311" s="30"/>
      <c r="H311" s="25"/>
    </row>
    <row r="312" spans="2:8" ht="13.5" customHeight="1" x14ac:dyDescent="0.25">
      <c r="B312" s="3"/>
      <c r="C312" s="9"/>
      <c r="D312" s="15"/>
      <c r="E312" s="7"/>
      <c r="G312" s="30"/>
      <c r="H312" s="25"/>
    </row>
    <row r="313" spans="2:8" ht="13.5" customHeight="1" x14ac:dyDescent="0.25">
      <c r="B313" s="3"/>
      <c r="C313" s="9"/>
      <c r="D313" s="15"/>
      <c r="E313" s="7"/>
      <c r="G313" s="30"/>
      <c r="H313" s="25"/>
    </row>
    <row r="314" spans="2:8" ht="13.5" customHeight="1" x14ac:dyDescent="0.25">
      <c r="B314" s="3"/>
      <c r="C314" s="8"/>
      <c r="D314" s="15"/>
      <c r="E314" s="7"/>
      <c r="G314" s="30"/>
      <c r="H314" s="25"/>
    </row>
    <row r="315" spans="2:8" ht="13.5" customHeight="1" x14ac:dyDescent="0.25">
      <c r="B315" s="3"/>
      <c r="C315" s="9"/>
      <c r="D315" s="15"/>
      <c r="E315" s="7"/>
      <c r="G315" s="30"/>
      <c r="H315" s="25"/>
    </row>
    <row r="316" spans="2:8" ht="13.5" customHeight="1" x14ac:dyDescent="0.25">
      <c r="B316" s="3"/>
      <c r="C316" s="9"/>
      <c r="D316" s="15"/>
      <c r="E316" s="7"/>
      <c r="G316" s="30"/>
      <c r="H316" s="25"/>
    </row>
    <row r="317" spans="2:8" ht="13.5" customHeight="1" x14ac:dyDescent="0.25">
      <c r="B317" s="3"/>
      <c r="C317" s="9"/>
      <c r="D317" s="15"/>
      <c r="E317" s="7"/>
      <c r="G317" s="30"/>
      <c r="H317" s="25"/>
    </row>
    <row r="318" spans="2:8" ht="13.5" customHeight="1" x14ac:dyDescent="0.25">
      <c r="B318" s="3"/>
      <c r="C318" s="9"/>
      <c r="D318" s="15"/>
      <c r="E318" s="7"/>
      <c r="G318" s="30"/>
      <c r="H318" s="25"/>
    </row>
    <row r="319" spans="2:8" x14ac:dyDescent="0.25">
      <c r="B319" s="3"/>
      <c r="C319" s="9"/>
      <c r="D319" s="15"/>
      <c r="E319" s="7"/>
      <c r="G319" s="30"/>
      <c r="H319" s="25"/>
    </row>
    <row r="320" spans="2:8" x14ac:dyDescent="0.25">
      <c r="B320" s="3"/>
      <c r="C320" s="9"/>
      <c r="D320" s="15"/>
      <c r="E320" s="7"/>
      <c r="G320" s="30"/>
      <c r="H320" s="25"/>
    </row>
    <row r="321" spans="2:8" x14ac:dyDescent="0.25">
      <c r="C321" s="8"/>
      <c r="D321" s="15"/>
      <c r="E321" s="7"/>
      <c r="G321" s="30"/>
      <c r="H321" s="25"/>
    </row>
    <row r="322" spans="2:8" x14ac:dyDescent="0.25">
      <c r="C322" s="9"/>
      <c r="D322" s="15"/>
      <c r="E322" s="7"/>
      <c r="G322" s="30"/>
      <c r="H322" s="25"/>
    </row>
    <row r="323" spans="2:8" x14ac:dyDescent="0.25">
      <c r="C323" s="9"/>
      <c r="D323" s="15"/>
      <c r="E323" s="7"/>
      <c r="G323" s="30"/>
      <c r="H323" s="25"/>
    </row>
    <row r="324" spans="2:8" x14ac:dyDescent="0.25">
      <c r="C324" s="9"/>
      <c r="D324" s="15"/>
      <c r="E324" s="7"/>
      <c r="G324" s="30"/>
      <c r="H324" s="25"/>
    </row>
    <row r="325" spans="2:8" x14ac:dyDescent="0.25">
      <c r="B325" s="3"/>
      <c r="C325" s="9"/>
      <c r="D325" s="10"/>
      <c r="E325" s="7"/>
      <c r="G325" s="30"/>
      <c r="H325" s="25"/>
    </row>
    <row r="326" spans="2:8" x14ac:dyDescent="0.25">
      <c r="B326" s="3"/>
      <c r="C326" s="9"/>
      <c r="D326" s="15"/>
      <c r="E326" s="7"/>
      <c r="G326" s="30"/>
      <c r="H326" s="25"/>
    </row>
    <row r="327" spans="2:8" x14ac:dyDescent="0.25">
      <c r="B327" s="3"/>
      <c r="C327" s="9"/>
      <c r="D327" s="15"/>
      <c r="E327" s="7"/>
      <c r="G327" s="30"/>
      <c r="H327" s="25"/>
    </row>
    <row r="328" spans="2:8" x14ac:dyDescent="0.25">
      <c r="B328" s="3"/>
      <c r="C328" s="9"/>
      <c r="D328" s="10"/>
      <c r="E328" s="7"/>
      <c r="G328" s="30"/>
      <c r="H328" s="25"/>
    </row>
    <row r="329" spans="2:8" x14ac:dyDescent="0.25">
      <c r="B329" s="3"/>
      <c r="C329" s="9"/>
      <c r="D329" s="10"/>
      <c r="E329" s="7"/>
      <c r="G329" s="30"/>
      <c r="H329" s="25"/>
    </row>
    <row r="330" spans="2:8" x14ac:dyDescent="0.25">
      <c r="B330" s="3"/>
      <c r="C330" s="8"/>
      <c r="D330" s="15"/>
      <c r="E330" s="7"/>
      <c r="G330" s="30"/>
      <c r="H330" s="25"/>
    </row>
    <row r="331" spans="2:8" x14ac:dyDescent="0.25">
      <c r="B331" s="3"/>
      <c r="G331" s="30"/>
      <c r="H331" s="25"/>
    </row>
    <row r="332" spans="2:8" x14ac:dyDescent="0.25">
      <c r="B332" s="3"/>
      <c r="G332" s="30"/>
      <c r="H332" s="25"/>
    </row>
    <row r="333" spans="2:8" x14ac:dyDescent="0.25">
      <c r="B333" s="3"/>
      <c r="G333" s="30"/>
      <c r="H333" s="25"/>
    </row>
    <row r="334" spans="2:8" x14ac:dyDescent="0.25">
      <c r="B334" s="3"/>
      <c r="G334" s="30"/>
      <c r="H334" s="25"/>
    </row>
    <row r="335" spans="2:8" x14ac:dyDescent="0.25">
      <c r="B335" s="3"/>
      <c r="C335" s="9"/>
      <c r="D335" s="15"/>
      <c r="E335" s="7"/>
      <c r="G335" s="30"/>
      <c r="H335" s="25"/>
    </row>
    <row r="336" spans="2:8" x14ac:dyDescent="0.25">
      <c r="B336" s="3"/>
      <c r="C336" s="9"/>
      <c r="D336" s="10"/>
      <c r="E336" s="7"/>
      <c r="H336" s="25"/>
    </row>
    <row r="337" spans="2:8" x14ac:dyDescent="0.25">
      <c r="B337" s="3"/>
      <c r="C337" s="9"/>
      <c r="D337" s="10"/>
      <c r="E337" s="7"/>
      <c r="H337" s="25"/>
    </row>
    <row r="338" spans="2:8" x14ac:dyDescent="0.25">
      <c r="B338" s="3"/>
      <c r="C338" s="8"/>
      <c r="D338" s="10"/>
      <c r="E338" s="7"/>
      <c r="H338" s="25"/>
    </row>
    <row r="339" spans="2:8" x14ac:dyDescent="0.25">
      <c r="B339" s="3"/>
      <c r="C339" s="8"/>
      <c r="D339" s="15"/>
      <c r="E339" s="7"/>
      <c r="H339" s="25"/>
    </row>
    <row r="340" spans="2:8" x14ac:dyDescent="0.25">
      <c r="B340" s="3"/>
      <c r="C340" s="8"/>
      <c r="D340" s="10"/>
      <c r="E340" s="7"/>
      <c r="H340" s="25"/>
    </row>
    <row r="341" spans="2:8" x14ac:dyDescent="0.25">
      <c r="B341" s="3"/>
      <c r="C341" s="8"/>
      <c r="D341" s="10"/>
      <c r="E341" s="7"/>
      <c r="H341" s="25"/>
    </row>
    <row r="342" spans="2:8" x14ac:dyDescent="0.25">
      <c r="B342" s="3"/>
      <c r="C342" s="9"/>
      <c r="D342" s="10"/>
      <c r="E342" s="7"/>
      <c r="H342" s="25"/>
    </row>
    <row r="343" spans="2:8" x14ac:dyDescent="0.25">
      <c r="B343" s="3"/>
      <c r="C343" s="9"/>
      <c r="D343" s="15"/>
      <c r="E343" s="7"/>
      <c r="H343" s="25"/>
    </row>
    <row r="344" spans="2:8" x14ac:dyDescent="0.25">
      <c r="B344" s="3"/>
      <c r="C344" s="8"/>
      <c r="D344" s="15"/>
      <c r="E344" s="7"/>
      <c r="H344" s="25"/>
    </row>
    <row r="345" spans="2:8" x14ac:dyDescent="0.25">
      <c r="B345" s="3"/>
      <c r="C345" s="8"/>
      <c r="D345" s="10"/>
      <c r="E345" s="7"/>
      <c r="H345" s="25"/>
    </row>
    <row r="346" spans="2:8" x14ac:dyDescent="0.25">
      <c r="B346" s="3"/>
      <c r="C346" s="9"/>
      <c r="D346" s="10"/>
      <c r="E346" s="7"/>
      <c r="H346" s="25"/>
    </row>
    <row r="347" spans="2:8" x14ac:dyDescent="0.25">
      <c r="B347" s="3"/>
      <c r="C347" s="9"/>
      <c r="D347" s="15"/>
      <c r="E347" s="7"/>
      <c r="H347" s="25"/>
    </row>
    <row r="348" spans="2:8" x14ac:dyDescent="0.25">
      <c r="B348" s="3"/>
      <c r="C348" s="9"/>
      <c r="D348" s="10"/>
      <c r="E348" s="7"/>
      <c r="H348" s="25"/>
    </row>
    <row r="349" spans="2:8" x14ac:dyDescent="0.25">
      <c r="B349" s="3"/>
      <c r="C349" s="9"/>
      <c r="D349" s="15"/>
      <c r="E349" s="7"/>
      <c r="H349" s="25"/>
    </row>
    <row r="350" spans="2:8" x14ac:dyDescent="0.25">
      <c r="B350" s="3"/>
      <c r="C350" s="9"/>
      <c r="D350" s="10"/>
      <c r="E350" s="7"/>
      <c r="H350" s="25"/>
    </row>
    <row r="351" spans="2:8" x14ac:dyDescent="0.25">
      <c r="B351" s="3"/>
      <c r="C351" s="8"/>
      <c r="D351" s="15"/>
      <c r="E351" s="7"/>
      <c r="H351" s="25"/>
    </row>
    <row r="352" spans="2:8" x14ac:dyDescent="0.25">
      <c r="B352" s="3"/>
      <c r="C352" s="9"/>
      <c r="D352" s="15"/>
      <c r="E352" s="7"/>
      <c r="H352" s="25"/>
    </row>
    <row r="353" spans="2:8" x14ac:dyDescent="0.25">
      <c r="B353" s="3"/>
      <c r="C353" s="9"/>
      <c r="D353" s="10"/>
      <c r="E353" s="7"/>
      <c r="H353" s="25"/>
    </row>
    <row r="354" spans="2:8" x14ac:dyDescent="0.25">
      <c r="B354" s="3"/>
      <c r="C354" s="9"/>
      <c r="D354" s="15"/>
      <c r="E354" s="7"/>
      <c r="H354" s="25"/>
    </row>
    <row r="355" spans="2:8" x14ac:dyDescent="0.25">
      <c r="B355" s="3"/>
      <c r="C355" s="9"/>
      <c r="D355" s="15"/>
      <c r="E355" s="7"/>
      <c r="H355" s="25"/>
    </row>
    <row r="356" spans="2:8" x14ac:dyDescent="0.25">
      <c r="B356" s="3"/>
      <c r="C356" s="9"/>
      <c r="D356" s="10"/>
      <c r="E356" s="7"/>
      <c r="H356" s="25"/>
    </row>
    <row r="357" spans="2:8" x14ac:dyDescent="0.25">
      <c r="B357" s="3"/>
      <c r="C357" s="9"/>
      <c r="D357" s="15"/>
      <c r="E357" s="7"/>
      <c r="H357" s="25"/>
    </row>
    <row r="358" spans="2:8" x14ac:dyDescent="0.25">
      <c r="B358" s="3"/>
      <c r="C358" s="9"/>
      <c r="D358" s="10"/>
      <c r="E358" s="7"/>
      <c r="H358" s="25"/>
    </row>
    <row r="359" spans="2:8" x14ac:dyDescent="0.25">
      <c r="B359" s="3"/>
      <c r="C359" s="9"/>
      <c r="D359" s="10"/>
      <c r="E359" s="7"/>
      <c r="H359" s="25"/>
    </row>
    <row r="360" spans="2:8" x14ac:dyDescent="0.25">
      <c r="B360" s="3"/>
      <c r="C360" s="9"/>
      <c r="D360" s="15"/>
      <c r="E360" s="7"/>
      <c r="H360" s="25"/>
    </row>
    <row r="361" spans="2:8" x14ac:dyDescent="0.25">
      <c r="B361" s="3"/>
      <c r="C361" s="9"/>
      <c r="D361" s="10"/>
      <c r="E361" s="7"/>
      <c r="H361" s="25"/>
    </row>
    <row r="362" spans="2:8" x14ac:dyDescent="0.25">
      <c r="B362" s="3"/>
      <c r="C362" s="8"/>
      <c r="D362" s="10"/>
      <c r="E362" s="7"/>
      <c r="H362" s="25"/>
    </row>
    <row r="363" spans="2:8" x14ac:dyDescent="0.25">
      <c r="B363" s="3"/>
      <c r="C363" s="8"/>
      <c r="D363" s="10"/>
      <c r="E363" s="7"/>
      <c r="H363" s="25"/>
    </row>
    <row r="364" spans="2:8" x14ac:dyDescent="0.25">
      <c r="B364" s="3"/>
      <c r="C364" s="8"/>
      <c r="D364" s="10"/>
      <c r="E364" s="7"/>
      <c r="H364" s="25"/>
    </row>
    <row r="365" spans="2:8" x14ac:dyDescent="0.25">
      <c r="B365" s="3"/>
      <c r="C365" s="9"/>
      <c r="D365" s="10"/>
      <c r="E365" s="7"/>
      <c r="H365" s="25"/>
    </row>
    <row r="366" spans="2:8" x14ac:dyDescent="0.25">
      <c r="B366" s="3"/>
      <c r="C366" s="9"/>
      <c r="D366" s="15"/>
      <c r="E366" s="7"/>
      <c r="H366" s="25"/>
    </row>
    <row r="367" spans="2:8" x14ac:dyDescent="0.25">
      <c r="B367" s="3"/>
      <c r="C367" s="8"/>
      <c r="D367" s="15"/>
      <c r="E367" s="7"/>
      <c r="H367" s="25"/>
    </row>
    <row r="368" spans="2:8" x14ac:dyDescent="0.25">
      <c r="B368" s="3"/>
      <c r="C368" s="9"/>
      <c r="D368" s="10"/>
      <c r="E368" s="7"/>
      <c r="H368" s="25"/>
    </row>
    <row r="369" spans="2:8" x14ac:dyDescent="0.25">
      <c r="B369" s="3"/>
      <c r="C369" s="9"/>
      <c r="D369" s="10"/>
      <c r="E369" s="7"/>
      <c r="H369" s="25"/>
    </row>
    <row r="370" spans="2:8" x14ac:dyDescent="0.25">
      <c r="B370" s="3"/>
      <c r="C370" s="9"/>
      <c r="D370" s="10"/>
      <c r="E370" s="7"/>
      <c r="H370" s="25"/>
    </row>
    <row r="371" spans="2:8" x14ac:dyDescent="0.25">
      <c r="B371" s="3"/>
      <c r="C371" s="9"/>
      <c r="D371" s="15"/>
      <c r="E371" s="7"/>
      <c r="H371" s="25"/>
    </row>
    <row r="372" spans="2:8" x14ac:dyDescent="0.25">
      <c r="B372" s="3"/>
      <c r="C372" s="9"/>
      <c r="D372" s="15"/>
      <c r="E372" s="7"/>
      <c r="H372" s="25"/>
    </row>
    <row r="373" spans="2:8" x14ac:dyDescent="0.25">
      <c r="B373" s="3"/>
      <c r="C373" s="8"/>
      <c r="D373" s="15"/>
      <c r="E373" s="7"/>
      <c r="H373" s="25"/>
    </row>
    <row r="374" spans="2:8" x14ac:dyDescent="0.25">
      <c r="B374" s="3"/>
      <c r="C374" s="9"/>
      <c r="D374" s="10"/>
      <c r="E374" s="7"/>
      <c r="H374" s="25"/>
    </row>
    <row r="375" spans="2:8" x14ac:dyDescent="0.25">
      <c r="B375" s="3"/>
      <c r="C375" s="9"/>
      <c r="D375" s="10"/>
      <c r="E375" s="7"/>
      <c r="H375" s="25"/>
    </row>
    <row r="376" spans="2:8" x14ac:dyDescent="0.25">
      <c r="B376" s="3"/>
      <c r="C376" s="9"/>
      <c r="D376" s="10"/>
      <c r="E376" s="7"/>
      <c r="H376" s="25"/>
    </row>
    <row r="377" spans="2:8" x14ac:dyDescent="0.25">
      <c r="B377" s="3"/>
      <c r="C377" s="9"/>
      <c r="D377" s="10"/>
      <c r="E377" s="7"/>
      <c r="H377" s="25"/>
    </row>
    <row r="378" spans="2:8" x14ac:dyDescent="0.25">
      <c r="B378" s="3"/>
      <c r="C378" s="9"/>
      <c r="D378" s="10"/>
      <c r="E378" s="7"/>
      <c r="H378" s="25"/>
    </row>
    <row r="379" spans="2:8" x14ac:dyDescent="0.25">
      <c r="B379" s="3"/>
      <c r="C379" s="9"/>
      <c r="D379" s="10"/>
      <c r="E379" s="7"/>
      <c r="H379" s="25"/>
    </row>
    <row r="380" spans="2:8" x14ac:dyDescent="0.25">
      <c r="B380" s="3"/>
      <c r="C380" s="9"/>
      <c r="D380" s="15"/>
      <c r="E380" s="7"/>
      <c r="H380" s="25"/>
    </row>
    <row r="381" spans="2:8" x14ac:dyDescent="0.25">
      <c r="B381" s="3"/>
      <c r="C381" s="9"/>
      <c r="D381" s="10"/>
      <c r="E381" s="7"/>
      <c r="H381" s="25"/>
    </row>
    <row r="382" spans="2:8" x14ac:dyDescent="0.25">
      <c r="B382" s="3"/>
      <c r="C382" s="9"/>
      <c r="D382" s="10"/>
      <c r="E382" s="7"/>
      <c r="H382" s="25"/>
    </row>
    <row r="383" spans="2:8" x14ac:dyDescent="0.25">
      <c r="B383" s="3"/>
      <c r="C383" s="8"/>
      <c r="D383" s="15"/>
      <c r="E383" s="7"/>
      <c r="H383" s="25"/>
    </row>
    <row r="384" spans="2:8" x14ac:dyDescent="0.25">
      <c r="B384" s="3"/>
      <c r="C384" s="9"/>
      <c r="D384" s="10"/>
      <c r="E384" s="7"/>
      <c r="H384" s="25"/>
    </row>
    <row r="385" spans="2:8" x14ac:dyDescent="0.25">
      <c r="B385" s="3"/>
      <c r="C385" s="9"/>
      <c r="D385" s="10"/>
      <c r="E385" s="7"/>
      <c r="H385" s="25"/>
    </row>
    <row r="386" spans="2:8" x14ac:dyDescent="0.25">
      <c r="B386" s="3"/>
      <c r="C386" s="8"/>
      <c r="D386" s="10"/>
      <c r="E386" s="7"/>
      <c r="H386" s="25"/>
    </row>
    <row r="387" spans="2:8" x14ac:dyDescent="0.25">
      <c r="B387" s="3"/>
      <c r="C387" s="8"/>
      <c r="D387" s="10"/>
      <c r="E387" s="7"/>
      <c r="H387" s="25"/>
    </row>
    <row r="388" spans="2:8" x14ac:dyDescent="0.25">
      <c r="B388" s="3"/>
      <c r="C388" s="9"/>
      <c r="D388" s="10"/>
      <c r="E388" s="7"/>
      <c r="H388" s="25"/>
    </row>
    <row r="389" spans="2:8" x14ac:dyDescent="0.25">
      <c r="B389" s="3"/>
      <c r="C389" s="9"/>
      <c r="D389" s="10"/>
      <c r="E389" s="7"/>
      <c r="H389" s="25"/>
    </row>
    <row r="390" spans="2:8" x14ac:dyDescent="0.25">
      <c r="B390" s="3"/>
      <c r="C390" s="9"/>
      <c r="D390" s="10"/>
      <c r="E390" s="7"/>
      <c r="H390" s="25"/>
    </row>
    <row r="391" spans="2:8" x14ac:dyDescent="0.25">
      <c r="B391" s="3"/>
      <c r="C391" s="9"/>
      <c r="D391" s="10"/>
      <c r="E391" s="7"/>
      <c r="H391" s="25"/>
    </row>
    <row r="392" spans="2:8" x14ac:dyDescent="0.25">
      <c r="B392" s="3"/>
      <c r="C392" s="8"/>
      <c r="D392" s="10"/>
      <c r="E392" s="7"/>
      <c r="H392" s="25"/>
    </row>
    <row r="393" spans="2:8" x14ac:dyDescent="0.25">
      <c r="B393" s="3"/>
      <c r="C393" s="9"/>
      <c r="D393" s="10"/>
      <c r="E393" s="7"/>
      <c r="H393" s="25"/>
    </row>
    <row r="394" spans="2:8" x14ac:dyDescent="0.25">
      <c r="B394" s="3"/>
      <c r="C394" s="9"/>
      <c r="D394" s="15"/>
      <c r="E394" s="7"/>
      <c r="H394" s="25"/>
    </row>
    <row r="395" spans="2:8" x14ac:dyDescent="0.25">
      <c r="B395" s="3"/>
      <c r="C395" s="8"/>
      <c r="D395" s="15"/>
      <c r="E395" s="7"/>
      <c r="H395" s="25"/>
    </row>
    <row r="396" spans="2:8" x14ac:dyDescent="0.25">
      <c r="B396" s="3"/>
      <c r="C396" s="9"/>
      <c r="D396" s="10"/>
      <c r="E396" s="7"/>
      <c r="H396" s="25"/>
    </row>
    <row r="397" spans="2:8" x14ac:dyDescent="0.25">
      <c r="B397" s="3"/>
      <c r="C397" s="9"/>
      <c r="D397" s="10"/>
      <c r="E397" s="7"/>
      <c r="H397" s="25"/>
    </row>
    <row r="398" spans="2:8" x14ac:dyDescent="0.25">
      <c r="B398" s="3"/>
      <c r="C398" s="8"/>
      <c r="D398" s="10"/>
      <c r="E398" s="7"/>
      <c r="H398" s="25"/>
    </row>
    <row r="399" spans="2:8" x14ac:dyDescent="0.25">
      <c r="B399" s="3"/>
      <c r="C399" s="9"/>
      <c r="D399" s="10"/>
      <c r="E399" s="7"/>
      <c r="H399" s="25"/>
    </row>
    <row r="400" spans="2:8" x14ac:dyDescent="0.25">
      <c r="B400" s="3"/>
      <c r="C400" s="9"/>
      <c r="D400" s="10"/>
      <c r="E400" s="7"/>
      <c r="H400" s="25"/>
    </row>
    <row r="401" spans="2:8" x14ac:dyDescent="0.25">
      <c r="B401" s="3"/>
      <c r="C401" s="8"/>
      <c r="D401" s="15"/>
      <c r="E401" s="7"/>
      <c r="H401" s="25"/>
    </row>
    <row r="402" spans="2:8" x14ac:dyDescent="0.25">
      <c r="B402" s="3"/>
      <c r="C402" s="9"/>
      <c r="D402" s="15"/>
      <c r="E402" s="7"/>
      <c r="H402" s="25"/>
    </row>
    <row r="403" spans="2:8" x14ac:dyDescent="0.25">
      <c r="B403" s="3"/>
      <c r="C403" s="9"/>
      <c r="D403" s="10"/>
      <c r="E403" s="7"/>
      <c r="H403" s="25"/>
    </row>
    <row r="404" spans="2:8" x14ac:dyDescent="0.25">
      <c r="B404" s="3"/>
      <c r="C404" s="9"/>
      <c r="D404" s="15"/>
      <c r="E404" s="7"/>
      <c r="H404" s="25"/>
    </row>
    <row r="405" spans="2:8" x14ac:dyDescent="0.25">
      <c r="B405" s="3"/>
      <c r="C405" s="8"/>
      <c r="D405" s="10"/>
      <c r="E405" s="7"/>
      <c r="H405" s="25"/>
    </row>
    <row r="406" spans="2:8" x14ac:dyDescent="0.25">
      <c r="B406" s="3"/>
      <c r="C406" s="9"/>
      <c r="D406" s="15"/>
      <c r="E406" s="7"/>
      <c r="H406" s="25"/>
    </row>
    <row r="407" spans="2:8" x14ac:dyDescent="0.25">
      <c r="B407" s="3"/>
      <c r="C407" s="9"/>
      <c r="D407" s="10"/>
      <c r="E407" s="7"/>
      <c r="H407" s="25"/>
    </row>
    <row r="408" spans="2:8" x14ac:dyDescent="0.25">
      <c r="B408" s="3"/>
      <c r="C408" s="9"/>
      <c r="D408" s="15"/>
      <c r="E408" s="7"/>
      <c r="H408" s="25"/>
    </row>
    <row r="409" spans="2:8" x14ac:dyDescent="0.25">
      <c r="B409" s="3"/>
      <c r="C409" s="9"/>
      <c r="D409" s="10"/>
      <c r="E409" s="7"/>
      <c r="H409" s="25"/>
    </row>
    <row r="410" spans="2:8" x14ac:dyDescent="0.25">
      <c r="B410" s="3"/>
      <c r="C410" s="9"/>
      <c r="D410" s="10"/>
      <c r="E410" s="7"/>
      <c r="H410" s="25"/>
    </row>
    <row r="411" spans="2:8" x14ac:dyDescent="0.25">
      <c r="B411" s="3"/>
      <c r="C411" s="9"/>
      <c r="D411" s="15"/>
      <c r="E411" s="7"/>
      <c r="H411" s="25"/>
    </row>
    <row r="412" spans="2:8" x14ac:dyDescent="0.25">
      <c r="B412" s="3"/>
      <c r="C412" s="9"/>
      <c r="D412" s="15"/>
      <c r="E412" s="7"/>
      <c r="H412" s="25"/>
    </row>
    <row r="413" spans="2:8" x14ac:dyDescent="0.25">
      <c r="B413" s="3"/>
      <c r="C413" s="9"/>
      <c r="D413" s="15"/>
      <c r="E413" s="7"/>
      <c r="H413" s="25"/>
    </row>
    <row r="414" spans="2:8" x14ac:dyDescent="0.25">
      <c r="B414" s="3"/>
      <c r="C414" s="9"/>
      <c r="D414" s="15"/>
      <c r="E414" s="7"/>
      <c r="H414" s="25"/>
    </row>
    <row r="415" spans="2:8" x14ac:dyDescent="0.25">
      <c r="B415" s="3"/>
      <c r="C415" s="8"/>
      <c r="D415" s="10"/>
      <c r="E415" s="7"/>
      <c r="H415" s="25"/>
    </row>
    <row r="416" spans="2:8" x14ac:dyDescent="0.25">
      <c r="B416" s="3"/>
      <c r="C416" s="9"/>
      <c r="D416" s="15"/>
      <c r="E416" s="7"/>
      <c r="H416" s="25"/>
    </row>
    <row r="417" spans="2:8" x14ac:dyDescent="0.25">
      <c r="B417" s="3"/>
      <c r="C417" s="9"/>
      <c r="D417" s="15"/>
      <c r="E417" s="7"/>
      <c r="H417" s="25"/>
    </row>
    <row r="418" spans="2:8" x14ac:dyDescent="0.25">
      <c r="B418" s="3"/>
      <c r="C418" s="9"/>
      <c r="D418" s="10"/>
      <c r="E418" s="7"/>
      <c r="H418" s="25"/>
    </row>
    <row r="419" spans="2:8" x14ac:dyDescent="0.25">
      <c r="B419" s="3"/>
      <c r="C419" s="9"/>
      <c r="D419" s="15"/>
      <c r="E419" s="7"/>
      <c r="H419" s="25"/>
    </row>
    <row r="420" spans="2:8" x14ac:dyDescent="0.25">
      <c r="B420" s="3"/>
      <c r="C420" s="8"/>
      <c r="D420" s="15"/>
      <c r="E420" s="7"/>
      <c r="H420" s="25"/>
    </row>
    <row r="421" spans="2:8" x14ac:dyDescent="0.25">
      <c r="B421" s="3"/>
      <c r="C421" s="9"/>
      <c r="D421" s="10"/>
      <c r="E421" s="7"/>
      <c r="H421" s="25"/>
    </row>
    <row r="422" spans="2:8" x14ac:dyDescent="0.25">
      <c r="B422" s="3"/>
      <c r="C422" s="9"/>
      <c r="D422" s="10"/>
      <c r="E422" s="7"/>
      <c r="H422" s="25"/>
    </row>
    <row r="423" spans="2:8" x14ac:dyDescent="0.25">
      <c r="B423" s="3"/>
      <c r="C423" s="9"/>
      <c r="D423" s="10"/>
      <c r="E423" s="7"/>
      <c r="H423" s="25"/>
    </row>
    <row r="424" spans="2:8" x14ac:dyDescent="0.25">
      <c r="B424" s="3"/>
      <c r="C424" s="8"/>
      <c r="D424" s="15"/>
      <c r="E424" s="7"/>
      <c r="H424" s="25"/>
    </row>
    <row r="425" spans="2:8" x14ac:dyDescent="0.25">
      <c r="B425" s="3"/>
      <c r="C425" s="9"/>
      <c r="D425" s="10"/>
      <c r="E425" s="7"/>
      <c r="H425" s="25"/>
    </row>
    <row r="426" spans="2:8" x14ac:dyDescent="0.25">
      <c r="B426" s="3"/>
      <c r="C426" s="9"/>
      <c r="D426" s="15"/>
      <c r="E426" s="7"/>
      <c r="H426" s="25"/>
    </row>
    <row r="427" spans="2:8" x14ac:dyDescent="0.25">
      <c r="C427" s="9"/>
      <c r="D427" s="10"/>
      <c r="E427" s="7"/>
      <c r="H427" s="25"/>
    </row>
    <row r="428" spans="2:8" x14ac:dyDescent="0.25">
      <c r="C428" s="9"/>
      <c r="D428" s="10"/>
      <c r="E428" s="7"/>
      <c r="H428" s="25"/>
    </row>
    <row r="429" spans="2:8" x14ac:dyDescent="0.25">
      <c r="C429" s="9"/>
      <c r="D429" s="10"/>
      <c r="E429" s="7"/>
      <c r="H429" s="25"/>
    </row>
    <row r="430" spans="2:8" x14ac:dyDescent="0.25">
      <c r="C430" s="9"/>
      <c r="D430" s="15"/>
      <c r="E430" s="7"/>
      <c r="H430" s="25"/>
    </row>
    <row r="431" spans="2:8" x14ac:dyDescent="0.25">
      <c r="C431" s="9"/>
      <c r="D431" s="10"/>
      <c r="E431" s="7"/>
      <c r="H431" s="25"/>
    </row>
    <row r="432" spans="2:8" x14ac:dyDescent="0.25">
      <c r="C432" s="9"/>
      <c r="D432" s="10"/>
      <c r="E432" s="7"/>
      <c r="H432" s="25"/>
    </row>
    <row r="433" spans="3:8" x14ac:dyDescent="0.25">
      <c r="C433" s="9"/>
      <c r="D433" s="10"/>
      <c r="E433" s="7"/>
      <c r="H433" s="25"/>
    </row>
    <row r="434" spans="3:8" x14ac:dyDescent="0.25">
      <c r="C434" s="8"/>
      <c r="D434" s="10"/>
      <c r="E434" s="7"/>
      <c r="H434" s="25"/>
    </row>
    <row r="435" spans="3:8" x14ac:dyDescent="0.25">
      <c r="C435" s="9"/>
      <c r="D435" s="15"/>
      <c r="E435" s="7"/>
      <c r="H435" s="25"/>
    </row>
    <row r="436" spans="3:8" x14ac:dyDescent="0.25">
      <c r="C436" s="9"/>
      <c r="D436" s="10"/>
      <c r="E436" s="7"/>
      <c r="H436" s="25"/>
    </row>
    <row r="437" spans="3:8" x14ac:dyDescent="0.25">
      <c r="H437" s="25"/>
    </row>
    <row r="438" spans="3:8" x14ac:dyDescent="0.25">
      <c r="H438" s="25"/>
    </row>
    <row r="439" spans="3:8" x14ac:dyDescent="0.25">
      <c r="H439" s="25"/>
    </row>
    <row r="440" spans="3:8" x14ac:dyDescent="0.25">
      <c r="H440" s="29"/>
    </row>
  </sheetData>
  <autoFilter ref="A1:H219"/>
  <sortState ref="B2:H202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CE319"/>
  <sheetViews>
    <sheetView tabSelected="1" zoomScale="95" zoomScaleNormal="95" workbookViewId="0">
      <pane ySplit="1" topLeftCell="A143" activePane="bottomLeft" state="frozen"/>
      <selection activeCell="T161" sqref="T161"/>
      <selection pane="bottomLeft" activeCell="Z163" sqref="Z163"/>
    </sheetView>
  </sheetViews>
  <sheetFormatPr baseColWidth="10" defaultRowHeight="15" x14ac:dyDescent="0.25"/>
  <cols>
    <col min="1" max="1" width="4.42578125" style="130" customWidth="1"/>
    <col min="2" max="2" width="51.28515625" style="157" customWidth="1"/>
    <col min="3" max="3" width="5.140625" style="194" customWidth="1"/>
    <col min="4" max="4" width="3.140625" style="371" customWidth="1"/>
    <col min="5" max="5" width="3.5703125" style="491" customWidth="1"/>
    <col min="6" max="6" width="3.42578125" style="366" customWidth="1"/>
    <col min="7" max="7" width="4" style="501" customWidth="1"/>
    <col min="8" max="8" width="3.5703125" style="366" customWidth="1"/>
    <col min="9" max="9" width="3.7109375" style="501" customWidth="1"/>
    <col min="10" max="10" width="4.140625" style="366" customWidth="1"/>
    <col min="11" max="11" width="3.5703125" style="501" customWidth="1"/>
    <col min="12" max="12" width="3.5703125" style="366" customWidth="1"/>
    <col min="13" max="13" width="3.28515625" style="501" customWidth="1"/>
    <col min="14" max="14" width="3.42578125" style="578" customWidth="1"/>
    <col min="15" max="15" width="5.42578125" style="196" customWidth="1"/>
    <col min="16" max="16" width="4.7109375" style="119" customWidth="1"/>
    <col min="17" max="17" width="9" style="193" customWidth="1"/>
    <col min="18" max="18" width="8" style="76" customWidth="1"/>
    <col min="19" max="19" width="7.85546875" style="122" customWidth="1"/>
    <col min="20" max="20" width="4.140625" style="122" customWidth="1"/>
    <col min="21" max="21" width="3.5703125" style="122" customWidth="1"/>
    <col min="22" max="22" width="8.28515625" style="107" customWidth="1"/>
    <col min="23" max="23" width="4" style="138" customWidth="1"/>
    <col min="24" max="24" width="4.42578125" style="78" customWidth="1"/>
    <col min="25" max="26" width="4" style="78" bestFit="1" customWidth="1"/>
    <col min="27" max="27" width="4" style="151" bestFit="1" customWidth="1"/>
    <col min="28" max="28" width="3.85546875" style="168" bestFit="1" customWidth="1"/>
    <col min="29" max="29" width="4.140625" style="168" customWidth="1"/>
    <col min="30" max="30" width="4.28515625" style="168" customWidth="1"/>
    <col min="31" max="31" width="11.42578125" style="162"/>
  </cols>
  <sheetData>
    <row r="1" spans="1:40" ht="64.5" customHeight="1" x14ac:dyDescent="0.25">
      <c r="A1" s="116" t="s">
        <v>0</v>
      </c>
      <c r="B1" s="116" t="s">
        <v>1</v>
      </c>
      <c r="C1" s="226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55" t="s">
        <v>4</v>
      </c>
      <c r="P1" s="226" t="s">
        <v>110</v>
      </c>
      <c r="Q1" s="258" t="s">
        <v>5</v>
      </c>
      <c r="R1" s="259" t="s">
        <v>111</v>
      </c>
      <c r="S1" s="555" t="s">
        <v>1327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  <c r="AE1" s="61"/>
      <c r="AF1" s="160"/>
      <c r="AG1" s="13"/>
      <c r="AH1" s="13"/>
      <c r="AI1" s="13"/>
      <c r="AJ1" s="13"/>
      <c r="AK1" s="97"/>
      <c r="AL1" s="97"/>
      <c r="AM1" s="97"/>
      <c r="AN1" s="97"/>
    </row>
    <row r="2" spans="1:40" s="113" customFormat="1" x14ac:dyDescent="0.25">
      <c r="A2" s="13">
        <v>1</v>
      </c>
      <c r="B2" s="314" t="s">
        <v>102</v>
      </c>
      <c r="C2" s="340">
        <v>3</v>
      </c>
      <c r="D2" s="359"/>
      <c r="E2" s="478"/>
      <c r="F2" s="359"/>
      <c r="G2" s="478"/>
      <c r="H2" s="359"/>
      <c r="I2" s="478"/>
      <c r="J2" s="359"/>
      <c r="K2" s="478">
        <v>1</v>
      </c>
      <c r="L2" s="359"/>
      <c r="M2" s="478"/>
      <c r="N2" s="561"/>
      <c r="O2" s="340">
        <f t="shared" ref="O2:O65" si="0">SUM(C2-D2-E2-F2-G2-H2-I2-J2-K2-L2-M2-N2)</f>
        <v>2</v>
      </c>
      <c r="P2" s="438">
        <f t="shared" ref="P2:P66" si="1">AD2-O2</f>
        <v>6</v>
      </c>
      <c r="Q2" s="7">
        <v>45</v>
      </c>
      <c r="R2" s="123"/>
      <c r="S2" s="175">
        <v>46508</v>
      </c>
      <c r="T2" s="308">
        <v>1</v>
      </c>
      <c r="U2" s="120"/>
      <c r="V2" s="344">
        <v>45689</v>
      </c>
      <c r="W2" s="309">
        <v>1</v>
      </c>
      <c r="X2" s="122">
        <v>1</v>
      </c>
      <c r="Y2" s="309">
        <v>1</v>
      </c>
      <c r="Z2" s="429">
        <v>1</v>
      </c>
      <c r="AA2" s="184">
        <f t="shared" ref="AA2:AA65" si="2">W2+X2+Y2+Z2</f>
        <v>4</v>
      </c>
      <c r="AB2" s="185">
        <f t="shared" ref="AB2:AB65" si="3">AA2/4</f>
        <v>1</v>
      </c>
      <c r="AC2" s="185">
        <f t="shared" ref="AC2:AC65" si="4">AB2*4</f>
        <v>4</v>
      </c>
      <c r="AD2" s="185">
        <f t="shared" ref="AD2:AD65" si="5">AC2*2</f>
        <v>8</v>
      </c>
      <c r="AE2" s="61"/>
      <c r="AF2" s="13"/>
      <c r="AG2" s="13"/>
      <c r="AH2" s="13"/>
      <c r="AI2" s="13"/>
      <c r="AJ2" s="13"/>
      <c r="AK2" s="146"/>
      <c r="AL2" s="146"/>
      <c r="AM2" s="146"/>
      <c r="AN2" s="146"/>
    </row>
    <row r="3" spans="1:40" s="113" customFormat="1" ht="15.75" customHeight="1" x14ac:dyDescent="0.25">
      <c r="A3" s="13">
        <f t="shared" ref="A3:A34" si="6">A2+1</f>
        <v>2</v>
      </c>
      <c r="B3" s="314" t="s">
        <v>247</v>
      </c>
      <c r="C3" s="340">
        <v>3</v>
      </c>
      <c r="D3" s="359"/>
      <c r="E3" s="478"/>
      <c r="F3" s="359"/>
      <c r="G3" s="478"/>
      <c r="H3" s="359"/>
      <c r="I3" s="478"/>
      <c r="J3" s="359"/>
      <c r="K3" s="478"/>
      <c r="L3" s="359"/>
      <c r="M3" s="478"/>
      <c r="N3" s="561"/>
      <c r="O3" s="340">
        <f t="shared" si="0"/>
        <v>3</v>
      </c>
      <c r="P3" s="438">
        <f t="shared" si="1"/>
        <v>7</v>
      </c>
      <c r="Q3" s="7">
        <v>18</v>
      </c>
      <c r="R3" s="106"/>
      <c r="S3" s="344">
        <v>46661</v>
      </c>
      <c r="T3" s="308">
        <v>2</v>
      </c>
      <c r="U3" s="120">
        <v>2</v>
      </c>
      <c r="V3" s="199">
        <v>45717</v>
      </c>
      <c r="W3" s="309">
        <v>2</v>
      </c>
      <c r="X3" s="122">
        <v>1</v>
      </c>
      <c r="Y3" s="309">
        <v>1</v>
      </c>
      <c r="Z3" s="429">
        <v>1</v>
      </c>
      <c r="AA3" s="184">
        <f t="shared" si="2"/>
        <v>5</v>
      </c>
      <c r="AB3" s="185">
        <f t="shared" si="3"/>
        <v>1.25</v>
      </c>
      <c r="AC3" s="185">
        <f t="shared" si="4"/>
        <v>5</v>
      </c>
      <c r="AD3" s="185">
        <f t="shared" si="5"/>
        <v>10</v>
      </c>
      <c r="AE3" s="61"/>
      <c r="AF3" s="13"/>
      <c r="AG3" s="13"/>
      <c r="AH3" s="13"/>
      <c r="AI3" s="13"/>
      <c r="AJ3" s="13"/>
      <c r="AK3" s="97"/>
      <c r="AL3" s="97"/>
      <c r="AM3" s="97"/>
      <c r="AN3" s="97"/>
    </row>
    <row r="4" spans="1:40" x14ac:dyDescent="0.25">
      <c r="A4" s="315">
        <f t="shared" si="6"/>
        <v>3</v>
      </c>
      <c r="B4" s="314" t="s">
        <v>144</v>
      </c>
      <c r="C4" s="340">
        <v>6</v>
      </c>
      <c r="D4" s="359"/>
      <c r="E4" s="478"/>
      <c r="F4" s="359"/>
      <c r="G4" s="478"/>
      <c r="H4" s="359"/>
      <c r="I4" s="478"/>
      <c r="J4" s="359"/>
      <c r="K4" s="478"/>
      <c r="L4" s="359"/>
      <c r="M4" s="478"/>
      <c r="N4" s="561"/>
      <c r="O4" s="340">
        <f t="shared" si="0"/>
        <v>6</v>
      </c>
      <c r="P4" s="438">
        <f t="shared" si="1"/>
        <v>20</v>
      </c>
      <c r="Q4" s="7">
        <v>13</v>
      </c>
      <c r="R4" s="106"/>
      <c r="S4" s="175">
        <v>46569</v>
      </c>
      <c r="T4" s="308">
        <v>13</v>
      </c>
      <c r="U4" s="120">
        <v>10</v>
      </c>
      <c r="V4" s="344">
        <v>45717</v>
      </c>
      <c r="W4" s="309">
        <v>5</v>
      </c>
      <c r="X4" s="122">
        <v>4</v>
      </c>
      <c r="Y4" s="309">
        <v>2</v>
      </c>
      <c r="Z4" s="429">
        <v>2</v>
      </c>
      <c r="AA4" s="184">
        <f t="shared" si="2"/>
        <v>13</v>
      </c>
      <c r="AB4" s="185">
        <f t="shared" si="3"/>
        <v>3.25</v>
      </c>
      <c r="AC4" s="185">
        <f t="shared" si="4"/>
        <v>13</v>
      </c>
      <c r="AD4" s="185">
        <f t="shared" si="5"/>
        <v>26</v>
      </c>
      <c r="AE4" s="61"/>
      <c r="AF4" s="315"/>
      <c r="AG4" s="315"/>
      <c r="AH4" s="315"/>
      <c r="AI4" s="315"/>
      <c r="AJ4" s="315"/>
      <c r="AK4" s="146"/>
      <c r="AL4" s="146"/>
      <c r="AM4" s="146"/>
      <c r="AN4" s="146"/>
    </row>
    <row r="5" spans="1:40" s="113" customFormat="1" ht="15" customHeight="1" x14ac:dyDescent="0.25">
      <c r="A5" s="315">
        <f t="shared" si="6"/>
        <v>4</v>
      </c>
      <c r="B5" s="314" t="s">
        <v>260</v>
      </c>
      <c r="C5" s="340">
        <v>2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2</v>
      </c>
      <c r="P5" s="438">
        <f t="shared" si="1"/>
        <v>14</v>
      </c>
      <c r="Q5" s="7">
        <v>20</v>
      </c>
      <c r="R5" s="106"/>
      <c r="S5" s="344">
        <v>46844</v>
      </c>
      <c r="T5" s="318">
        <v>1</v>
      </c>
      <c r="U5" s="318">
        <v>1</v>
      </c>
      <c r="V5" s="199">
        <v>45717</v>
      </c>
      <c r="W5" s="309">
        <v>1</v>
      </c>
      <c r="X5" s="309">
        <v>3</v>
      </c>
      <c r="Y5" s="309">
        <v>2</v>
      </c>
      <c r="Z5" s="429">
        <v>2</v>
      </c>
      <c r="AA5" s="184">
        <f t="shared" si="2"/>
        <v>8</v>
      </c>
      <c r="AB5" s="185">
        <f t="shared" si="3"/>
        <v>2</v>
      </c>
      <c r="AC5" s="185">
        <f t="shared" si="4"/>
        <v>8</v>
      </c>
      <c r="AD5" s="185">
        <f t="shared" si="5"/>
        <v>16</v>
      </c>
      <c r="AE5" s="61"/>
      <c r="AF5" s="315"/>
      <c r="AG5" s="315"/>
      <c r="AH5" s="315"/>
      <c r="AI5" s="315"/>
      <c r="AJ5" s="315"/>
      <c r="AK5" s="97"/>
      <c r="AL5" s="97"/>
      <c r="AM5" s="97"/>
      <c r="AN5" s="97"/>
    </row>
    <row r="6" spans="1:40" s="113" customFormat="1" ht="15" customHeight="1" x14ac:dyDescent="0.25">
      <c r="A6" s="315">
        <f t="shared" si="6"/>
        <v>5</v>
      </c>
      <c r="B6" s="314" t="s">
        <v>1226</v>
      </c>
      <c r="C6" s="340">
        <v>10</v>
      </c>
      <c r="D6" s="359"/>
      <c r="E6" s="478"/>
      <c r="F6" s="359"/>
      <c r="G6" s="478"/>
      <c r="H6" s="359"/>
      <c r="I6" s="478"/>
      <c r="J6" s="359"/>
      <c r="K6" s="478"/>
      <c r="L6" s="359"/>
      <c r="M6" s="478">
        <v>2</v>
      </c>
      <c r="N6" s="561"/>
      <c r="O6" s="340">
        <f t="shared" si="0"/>
        <v>8</v>
      </c>
      <c r="P6" s="438">
        <f t="shared" si="1"/>
        <v>8</v>
      </c>
      <c r="Q6" s="7">
        <v>12</v>
      </c>
      <c r="R6" s="106"/>
      <c r="S6" s="344">
        <v>46327</v>
      </c>
      <c r="T6" s="308">
        <v>0</v>
      </c>
      <c r="U6" s="120"/>
      <c r="V6" s="175">
        <v>45658</v>
      </c>
      <c r="W6" s="309">
        <v>3</v>
      </c>
      <c r="X6" s="122">
        <v>2</v>
      </c>
      <c r="Y6" s="309">
        <v>1</v>
      </c>
      <c r="Z6" s="429">
        <v>2</v>
      </c>
      <c r="AA6" s="184">
        <f t="shared" si="2"/>
        <v>8</v>
      </c>
      <c r="AB6" s="185">
        <f t="shared" si="3"/>
        <v>2</v>
      </c>
      <c r="AC6" s="185">
        <f t="shared" si="4"/>
        <v>8</v>
      </c>
      <c r="AD6" s="185">
        <f t="shared" si="5"/>
        <v>16</v>
      </c>
      <c r="AE6" s="61"/>
      <c r="AF6" s="13"/>
      <c r="AG6" s="13"/>
      <c r="AH6" s="13"/>
      <c r="AI6" s="13"/>
      <c r="AJ6" s="13"/>
      <c r="AK6" s="97"/>
      <c r="AL6" s="97"/>
      <c r="AM6" s="97"/>
      <c r="AN6" s="97"/>
    </row>
    <row r="7" spans="1:40" ht="15" customHeight="1" x14ac:dyDescent="0.25">
      <c r="A7" s="315">
        <f t="shared" si="6"/>
        <v>6</v>
      </c>
      <c r="B7" s="314" t="s">
        <v>1227</v>
      </c>
      <c r="C7" s="340">
        <v>4</v>
      </c>
      <c r="D7" s="359"/>
      <c r="E7" s="478"/>
      <c r="F7" s="359"/>
      <c r="G7" s="478"/>
      <c r="H7" s="359"/>
      <c r="I7" s="478"/>
      <c r="J7" s="359"/>
      <c r="K7" s="478"/>
      <c r="L7" s="359"/>
      <c r="M7" s="478"/>
      <c r="N7" s="561"/>
      <c r="O7" s="340">
        <f t="shared" si="0"/>
        <v>4</v>
      </c>
      <c r="P7" s="438">
        <f t="shared" si="1"/>
        <v>6</v>
      </c>
      <c r="Q7" s="7">
        <v>9</v>
      </c>
      <c r="R7" s="106"/>
      <c r="S7" s="175">
        <v>46905</v>
      </c>
      <c r="T7" s="308">
        <v>2</v>
      </c>
      <c r="U7" s="120"/>
      <c r="V7" s="344">
        <v>45689</v>
      </c>
      <c r="W7" s="309">
        <v>2</v>
      </c>
      <c r="X7" s="122">
        <v>1</v>
      </c>
      <c r="Y7" s="309">
        <v>1</v>
      </c>
      <c r="Z7" s="429">
        <v>1</v>
      </c>
      <c r="AA7" s="184">
        <f t="shared" si="2"/>
        <v>5</v>
      </c>
      <c r="AB7" s="185">
        <f t="shared" si="3"/>
        <v>1.25</v>
      </c>
      <c r="AC7" s="185">
        <f t="shared" si="4"/>
        <v>5</v>
      </c>
      <c r="AD7" s="185">
        <f t="shared" si="5"/>
        <v>10</v>
      </c>
      <c r="AE7" s="61"/>
      <c r="AF7" s="13"/>
      <c r="AG7" s="13"/>
      <c r="AH7" s="13"/>
      <c r="AI7" s="13"/>
      <c r="AJ7" s="13"/>
      <c r="AK7" s="146"/>
      <c r="AL7" s="146"/>
      <c r="AM7" s="146"/>
      <c r="AN7" s="146"/>
    </row>
    <row r="8" spans="1:40" ht="15" customHeight="1" x14ac:dyDescent="0.25">
      <c r="A8" s="315">
        <f t="shared" si="6"/>
        <v>7</v>
      </c>
      <c r="B8" s="314" t="s">
        <v>1228</v>
      </c>
      <c r="C8" s="340">
        <v>3</v>
      </c>
      <c r="D8" s="359"/>
      <c r="E8" s="478"/>
      <c r="F8" s="359"/>
      <c r="G8" s="478"/>
      <c r="H8" s="359"/>
      <c r="I8" s="478"/>
      <c r="J8" s="359"/>
      <c r="K8" s="478"/>
      <c r="L8" s="359"/>
      <c r="M8" s="478">
        <v>1</v>
      </c>
      <c r="N8" s="561"/>
      <c r="O8" s="340">
        <f t="shared" si="0"/>
        <v>2</v>
      </c>
      <c r="P8" s="438">
        <f t="shared" si="1"/>
        <v>6</v>
      </c>
      <c r="Q8" s="7">
        <v>11</v>
      </c>
      <c r="R8" s="106"/>
      <c r="S8" s="175">
        <v>46508</v>
      </c>
      <c r="T8" s="308">
        <v>2</v>
      </c>
      <c r="U8" s="120">
        <v>4</v>
      </c>
      <c r="V8" s="175">
        <v>45717</v>
      </c>
      <c r="W8" s="309">
        <v>1</v>
      </c>
      <c r="X8" s="122">
        <v>1</v>
      </c>
      <c r="Y8" s="309">
        <v>1</v>
      </c>
      <c r="Z8" s="429">
        <v>1</v>
      </c>
      <c r="AA8" s="184">
        <f t="shared" si="2"/>
        <v>4</v>
      </c>
      <c r="AB8" s="185">
        <f t="shared" si="3"/>
        <v>1</v>
      </c>
      <c r="AC8" s="185">
        <f t="shared" si="4"/>
        <v>4</v>
      </c>
      <c r="AD8" s="185">
        <f t="shared" si="5"/>
        <v>8</v>
      </c>
      <c r="AE8" s="61"/>
      <c r="AF8" s="13"/>
      <c r="AG8" s="13"/>
      <c r="AH8" s="13"/>
      <c r="AI8" s="13"/>
      <c r="AJ8" s="13"/>
      <c r="AK8" s="146"/>
      <c r="AL8" s="146"/>
      <c r="AM8" s="146"/>
      <c r="AN8" s="146"/>
    </row>
    <row r="9" spans="1:40" s="113" customFormat="1" ht="15" customHeight="1" x14ac:dyDescent="0.25">
      <c r="A9" s="315">
        <f t="shared" si="6"/>
        <v>8</v>
      </c>
      <c r="B9" s="314" t="s">
        <v>1117</v>
      </c>
      <c r="C9" s="340">
        <v>9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9</v>
      </c>
      <c r="P9" s="438">
        <f t="shared" si="1"/>
        <v>13</v>
      </c>
      <c r="Q9" s="7">
        <v>5</v>
      </c>
      <c r="R9" s="68"/>
      <c r="S9" s="175">
        <v>46478</v>
      </c>
      <c r="T9" s="308">
        <v>2</v>
      </c>
      <c r="U9" s="318"/>
      <c r="V9" s="175">
        <v>45658</v>
      </c>
      <c r="W9" s="309">
        <v>2</v>
      </c>
      <c r="X9" s="122">
        <v>2</v>
      </c>
      <c r="Y9" s="309">
        <v>3</v>
      </c>
      <c r="Z9" s="429">
        <v>4</v>
      </c>
      <c r="AA9" s="184">
        <f t="shared" si="2"/>
        <v>11</v>
      </c>
      <c r="AB9" s="185">
        <f t="shared" si="3"/>
        <v>2.75</v>
      </c>
      <c r="AC9" s="185">
        <f t="shared" si="4"/>
        <v>11</v>
      </c>
      <c r="AD9" s="185">
        <f t="shared" si="5"/>
        <v>22</v>
      </c>
      <c r="AE9" s="61"/>
      <c r="AF9" s="315"/>
      <c r="AG9" s="315"/>
      <c r="AH9" s="315"/>
      <c r="AI9" s="315"/>
      <c r="AJ9" s="315"/>
      <c r="AK9" s="97"/>
      <c r="AL9" s="97"/>
      <c r="AM9" s="97"/>
      <c r="AN9" s="97"/>
    </row>
    <row r="10" spans="1:40" x14ac:dyDescent="0.25">
      <c r="A10" s="315">
        <f t="shared" si="6"/>
        <v>9</v>
      </c>
      <c r="B10" s="651" t="s">
        <v>337</v>
      </c>
      <c r="C10" s="653">
        <v>16</v>
      </c>
      <c r="D10" s="359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0">
        <f t="shared" si="0"/>
        <v>16</v>
      </c>
      <c r="P10" s="689">
        <f t="shared" si="1"/>
        <v>0</v>
      </c>
      <c r="Q10" s="7">
        <v>2.5</v>
      </c>
      <c r="R10" s="106"/>
      <c r="S10" s="655">
        <v>45809</v>
      </c>
      <c r="T10" s="308">
        <v>0</v>
      </c>
      <c r="U10" s="120"/>
      <c r="V10" s="199">
        <v>45444</v>
      </c>
      <c r="W10" s="309">
        <v>2</v>
      </c>
      <c r="X10" s="122">
        <v>1</v>
      </c>
      <c r="Y10" s="309">
        <v>3</v>
      </c>
      <c r="Z10" s="429">
        <v>2</v>
      </c>
      <c r="AA10" s="184">
        <f t="shared" si="2"/>
        <v>8</v>
      </c>
      <c r="AB10" s="185">
        <f t="shared" si="3"/>
        <v>2</v>
      </c>
      <c r="AC10" s="185">
        <f t="shared" si="4"/>
        <v>8</v>
      </c>
      <c r="AD10" s="185">
        <f t="shared" si="5"/>
        <v>16</v>
      </c>
      <c r="AE10" s="61"/>
      <c r="AF10" s="83"/>
      <c r="AG10" s="315"/>
      <c r="AH10" s="315"/>
      <c r="AI10" s="315"/>
      <c r="AJ10" s="315"/>
      <c r="AK10" s="97"/>
      <c r="AL10" s="97"/>
      <c r="AM10" s="97"/>
      <c r="AN10" s="97"/>
    </row>
    <row r="11" spans="1:40" ht="15" customHeight="1" x14ac:dyDescent="0.25">
      <c r="A11" s="315">
        <f t="shared" si="6"/>
        <v>10</v>
      </c>
      <c r="B11" s="3" t="s">
        <v>195</v>
      </c>
      <c r="C11" s="340">
        <v>15</v>
      </c>
      <c r="D11" s="359"/>
      <c r="E11" s="478">
        <v>1</v>
      </c>
      <c r="F11" s="359"/>
      <c r="G11" s="478">
        <v>1</v>
      </c>
      <c r="H11" s="359">
        <v>1</v>
      </c>
      <c r="I11" s="478"/>
      <c r="J11" s="359"/>
      <c r="K11" s="478"/>
      <c r="L11" s="359"/>
      <c r="M11" s="478"/>
      <c r="N11" s="561"/>
      <c r="O11" s="340">
        <f t="shared" si="0"/>
        <v>12</v>
      </c>
      <c r="P11" s="438">
        <f t="shared" si="1"/>
        <v>8</v>
      </c>
      <c r="Q11" s="7">
        <v>2</v>
      </c>
      <c r="R11" s="106" t="s">
        <v>87</v>
      </c>
      <c r="S11" s="344">
        <v>46266</v>
      </c>
      <c r="T11" s="318">
        <v>0</v>
      </c>
      <c r="U11" s="318">
        <v>10</v>
      </c>
      <c r="V11" s="344">
        <v>45717</v>
      </c>
      <c r="W11" s="309">
        <v>1</v>
      </c>
      <c r="X11" s="309">
        <v>4</v>
      </c>
      <c r="Y11" s="309">
        <v>2</v>
      </c>
      <c r="Z11" s="429">
        <v>3</v>
      </c>
      <c r="AA11" s="184">
        <f t="shared" si="2"/>
        <v>10</v>
      </c>
      <c r="AB11" s="185">
        <f t="shared" si="3"/>
        <v>2.5</v>
      </c>
      <c r="AC11" s="185">
        <f t="shared" si="4"/>
        <v>10</v>
      </c>
      <c r="AD11" s="185">
        <f t="shared" si="5"/>
        <v>20</v>
      </c>
      <c r="AE11" s="61"/>
      <c r="AF11" s="315"/>
      <c r="AG11" s="315"/>
      <c r="AH11" s="315"/>
      <c r="AI11" s="315"/>
      <c r="AJ11" s="315"/>
      <c r="AK11" s="97"/>
      <c r="AL11" s="97"/>
      <c r="AM11" s="97"/>
      <c r="AN11" s="97"/>
    </row>
    <row r="12" spans="1:40" ht="15" customHeight="1" x14ac:dyDescent="0.25">
      <c r="A12" s="315">
        <f t="shared" si="6"/>
        <v>11</v>
      </c>
      <c r="B12" s="3" t="s">
        <v>322</v>
      </c>
      <c r="C12" s="340">
        <v>5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340">
        <f t="shared" si="0"/>
        <v>5</v>
      </c>
      <c r="P12" s="438">
        <f t="shared" si="1"/>
        <v>27</v>
      </c>
      <c r="Q12" s="7">
        <v>8</v>
      </c>
      <c r="R12" s="68"/>
      <c r="S12" s="335">
        <v>46508</v>
      </c>
      <c r="T12" s="318">
        <v>14</v>
      </c>
      <c r="U12" s="318">
        <v>6</v>
      </c>
      <c r="V12" s="199">
        <v>45717</v>
      </c>
      <c r="W12" s="309">
        <v>3</v>
      </c>
      <c r="X12" s="122">
        <v>2</v>
      </c>
      <c r="Y12" s="309">
        <v>5</v>
      </c>
      <c r="Z12" s="429">
        <v>6</v>
      </c>
      <c r="AA12" s="184">
        <f t="shared" si="2"/>
        <v>16</v>
      </c>
      <c r="AB12" s="185">
        <f t="shared" si="3"/>
        <v>4</v>
      </c>
      <c r="AC12" s="185">
        <f t="shared" si="4"/>
        <v>16</v>
      </c>
      <c r="AD12" s="185">
        <f t="shared" si="5"/>
        <v>32</v>
      </c>
      <c r="AE12" s="61"/>
      <c r="AF12" s="13"/>
      <c r="AG12" s="13"/>
      <c r="AH12" s="13"/>
      <c r="AI12" s="13"/>
      <c r="AJ12" s="13"/>
      <c r="AK12" s="146"/>
      <c r="AL12" s="146"/>
      <c r="AM12" s="146"/>
      <c r="AN12" s="146"/>
    </row>
    <row r="13" spans="1:40" ht="15" customHeight="1" x14ac:dyDescent="0.25">
      <c r="A13" s="315">
        <f t="shared" si="6"/>
        <v>12</v>
      </c>
      <c r="B13" s="3" t="s">
        <v>1118</v>
      </c>
      <c r="C13" s="340">
        <v>20</v>
      </c>
      <c r="D13" s="359">
        <v>1</v>
      </c>
      <c r="E13" s="478">
        <v>1</v>
      </c>
      <c r="F13" s="359"/>
      <c r="G13" s="478">
        <v>1</v>
      </c>
      <c r="H13" s="359"/>
      <c r="I13" s="478">
        <v>1</v>
      </c>
      <c r="J13" s="359"/>
      <c r="K13" s="478"/>
      <c r="L13" s="359"/>
      <c r="M13" s="478"/>
      <c r="N13" s="561"/>
      <c r="O13" s="340">
        <f t="shared" si="0"/>
        <v>16</v>
      </c>
      <c r="P13" s="438">
        <f t="shared" si="1"/>
        <v>4</v>
      </c>
      <c r="Q13" s="7">
        <v>2.5</v>
      </c>
      <c r="R13" s="253"/>
      <c r="S13" s="99">
        <v>46266</v>
      </c>
      <c r="T13" s="311">
        <v>10</v>
      </c>
      <c r="U13" s="311">
        <v>10</v>
      </c>
      <c r="V13" s="104">
        <v>45717</v>
      </c>
      <c r="W13" s="309">
        <v>4</v>
      </c>
      <c r="X13" s="122">
        <v>1</v>
      </c>
      <c r="Y13" s="309">
        <v>1</v>
      </c>
      <c r="Z13" s="429">
        <v>4</v>
      </c>
      <c r="AA13" s="184">
        <f t="shared" si="2"/>
        <v>10</v>
      </c>
      <c r="AB13" s="185">
        <f t="shared" si="3"/>
        <v>2.5</v>
      </c>
      <c r="AC13" s="185">
        <f t="shared" si="4"/>
        <v>10</v>
      </c>
      <c r="AD13" s="185">
        <f t="shared" si="5"/>
        <v>20</v>
      </c>
      <c r="AE13" s="61"/>
      <c r="AF13" s="315"/>
      <c r="AG13" s="315"/>
      <c r="AH13" s="315"/>
      <c r="AI13" s="315"/>
      <c r="AJ13" s="315"/>
      <c r="AK13" s="97"/>
      <c r="AL13" s="97"/>
      <c r="AM13" s="97"/>
      <c r="AN13" s="97"/>
    </row>
    <row r="14" spans="1:40" s="113" customFormat="1" ht="15" customHeight="1" x14ac:dyDescent="0.25">
      <c r="A14" s="315">
        <f t="shared" si="6"/>
        <v>13</v>
      </c>
      <c r="B14" s="3" t="s">
        <v>232</v>
      </c>
      <c r="C14" s="340">
        <v>19</v>
      </c>
      <c r="D14" s="361">
        <v>5</v>
      </c>
      <c r="E14" s="482"/>
      <c r="F14" s="361"/>
      <c r="G14" s="482">
        <v>1</v>
      </c>
      <c r="H14" s="361"/>
      <c r="I14" s="482"/>
      <c r="J14" s="361"/>
      <c r="K14" s="482"/>
      <c r="L14" s="361"/>
      <c r="M14" s="482"/>
      <c r="N14" s="563"/>
      <c r="O14" s="340">
        <f t="shared" si="0"/>
        <v>13</v>
      </c>
      <c r="P14" s="438">
        <f t="shared" si="1"/>
        <v>33</v>
      </c>
      <c r="Q14" s="7">
        <v>10</v>
      </c>
      <c r="R14" s="68"/>
      <c r="S14" s="335">
        <v>47331</v>
      </c>
      <c r="T14" s="308">
        <v>1</v>
      </c>
      <c r="U14" s="120"/>
      <c r="V14" s="199">
        <v>45689</v>
      </c>
      <c r="W14" s="309">
        <v>9</v>
      </c>
      <c r="X14" s="122">
        <v>4</v>
      </c>
      <c r="Y14" s="309">
        <v>4</v>
      </c>
      <c r="Z14" s="429">
        <v>6</v>
      </c>
      <c r="AA14" s="184">
        <f t="shared" si="2"/>
        <v>23</v>
      </c>
      <c r="AB14" s="185">
        <f t="shared" si="3"/>
        <v>5.75</v>
      </c>
      <c r="AC14" s="185">
        <f t="shared" si="4"/>
        <v>23</v>
      </c>
      <c r="AD14" s="185">
        <f t="shared" si="5"/>
        <v>46</v>
      </c>
      <c r="AE14" s="61"/>
      <c r="AF14" s="315"/>
      <c r="AG14" s="315"/>
      <c r="AH14" s="315"/>
      <c r="AI14" s="315"/>
      <c r="AJ14" s="315"/>
      <c r="AK14" s="97"/>
      <c r="AL14" s="97"/>
      <c r="AM14" s="97"/>
      <c r="AN14" s="97"/>
    </row>
    <row r="15" spans="1:40" x14ac:dyDescent="0.25">
      <c r="A15" s="315">
        <f t="shared" si="6"/>
        <v>14</v>
      </c>
      <c r="B15" s="314" t="s">
        <v>231</v>
      </c>
      <c r="C15" s="340">
        <v>1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40">
        <f t="shared" si="0"/>
        <v>1</v>
      </c>
      <c r="P15" s="438">
        <f t="shared" si="1"/>
        <v>7</v>
      </c>
      <c r="Q15" s="7">
        <v>65</v>
      </c>
      <c r="R15" s="68"/>
      <c r="S15" s="335">
        <v>46844</v>
      </c>
      <c r="T15" s="308">
        <v>1</v>
      </c>
      <c r="U15" s="120"/>
      <c r="V15" s="344">
        <v>45627</v>
      </c>
      <c r="W15" s="309">
        <v>1</v>
      </c>
      <c r="X15" s="122">
        <v>1</v>
      </c>
      <c r="Y15" s="309">
        <v>1</v>
      </c>
      <c r="Z15" s="429">
        <v>1</v>
      </c>
      <c r="AA15" s="184">
        <f t="shared" si="2"/>
        <v>4</v>
      </c>
      <c r="AB15" s="185">
        <f t="shared" si="3"/>
        <v>1</v>
      </c>
      <c r="AC15" s="185">
        <f t="shared" si="4"/>
        <v>4</v>
      </c>
      <c r="AD15" s="185">
        <f t="shared" si="5"/>
        <v>8</v>
      </c>
      <c r="AE15" s="61"/>
      <c r="AF15" s="315"/>
      <c r="AG15" s="315"/>
      <c r="AH15" s="315"/>
      <c r="AI15" s="315"/>
      <c r="AJ15" s="315"/>
      <c r="AK15" s="97"/>
      <c r="AL15" s="97"/>
      <c r="AM15" s="97"/>
      <c r="AN15" s="97"/>
    </row>
    <row r="16" spans="1:40" s="97" customFormat="1" ht="16.5" customHeight="1" x14ac:dyDescent="0.25">
      <c r="A16" s="315">
        <f t="shared" si="6"/>
        <v>15</v>
      </c>
      <c r="B16" s="314" t="s">
        <v>305</v>
      </c>
      <c r="C16" s="340">
        <v>2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0">
        <f t="shared" si="0"/>
        <v>2</v>
      </c>
      <c r="P16" s="438">
        <f t="shared" si="1"/>
        <v>6</v>
      </c>
      <c r="Q16" s="7">
        <v>59</v>
      </c>
      <c r="R16" s="73"/>
      <c r="S16" s="344">
        <v>46113</v>
      </c>
      <c r="T16" s="318">
        <v>0</v>
      </c>
      <c r="U16" s="318"/>
      <c r="V16" s="199">
        <v>45627</v>
      </c>
      <c r="W16" s="309">
        <v>1</v>
      </c>
      <c r="X16" s="309">
        <v>1</v>
      </c>
      <c r="Y16" s="309">
        <v>1</v>
      </c>
      <c r="Z16" s="429">
        <v>1</v>
      </c>
      <c r="AA16" s="184">
        <f t="shared" si="2"/>
        <v>4</v>
      </c>
      <c r="AB16" s="185">
        <f t="shared" si="3"/>
        <v>1</v>
      </c>
      <c r="AC16" s="185">
        <f t="shared" si="4"/>
        <v>4</v>
      </c>
      <c r="AD16" s="185">
        <f t="shared" si="5"/>
        <v>8</v>
      </c>
      <c r="AE16" s="61"/>
      <c r="AF16" s="13"/>
      <c r="AG16" s="13"/>
      <c r="AH16" s="13"/>
      <c r="AI16" s="13"/>
      <c r="AJ16" s="13"/>
    </row>
    <row r="17" spans="1:83" s="113" customFormat="1" ht="15" customHeight="1" x14ac:dyDescent="0.25">
      <c r="A17" s="315">
        <f t="shared" si="6"/>
        <v>16</v>
      </c>
      <c r="B17" s="3" t="s">
        <v>495</v>
      </c>
      <c r="C17" s="340">
        <v>2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0">
        <f t="shared" si="0"/>
        <v>2</v>
      </c>
      <c r="P17" s="438">
        <f t="shared" si="1"/>
        <v>6</v>
      </c>
      <c r="Q17" s="7">
        <v>72</v>
      </c>
      <c r="R17" s="106"/>
      <c r="S17" s="175">
        <v>46204</v>
      </c>
      <c r="T17" s="308">
        <v>0</v>
      </c>
      <c r="U17" s="120"/>
      <c r="V17" s="344">
        <v>45597</v>
      </c>
      <c r="W17" s="309">
        <v>1</v>
      </c>
      <c r="X17" s="122">
        <v>1</v>
      </c>
      <c r="Y17" s="309">
        <v>1</v>
      </c>
      <c r="Z17" s="429">
        <v>1</v>
      </c>
      <c r="AA17" s="184">
        <f t="shared" si="2"/>
        <v>4</v>
      </c>
      <c r="AB17" s="185">
        <f t="shared" si="3"/>
        <v>1</v>
      </c>
      <c r="AC17" s="185">
        <f t="shared" si="4"/>
        <v>4</v>
      </c>
      <c r="AD17" s="185">
        <f t="shared" si="5"/>
        <v>8</v>
      </c>
      <c r="AE17" s="61"/>
      <c r="AF17" s="13"/>
      <c r="AG17" s="13"/>
      <c r="AH17" s="13"/>
      <c r="AI17" s="13"/>
      <c r="AJ17" s="13"/>
      <c r="AK17" s="97"/>
      <c r="AL17" s="97"/>
      <c r="AM17" s="97"/>
      <c r="AN17" s="97"/>
    </row>
    <row r="18" spans="1:83" s="113" customFormat="1" x14ac:dyDescent="0.25">
      <c r="A18" s="315">
        <f t="shared" si="6"/>
        <v>17</v>
      </c>
      <c r="B18" s="3" t="s">
        <v>606</v>
      </c>
      <c r="C18" s="340">
        <v>5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5</v>
      </c>
      <c r="P18" s="438">
        <f t="shared" si="1"/>
        <v>5</v>
      </c>
      <c r="Q18" s="7">
        <v>19</v>
      </c>
      <c r="R18" s="106"/>
      <c r="S18" s="175">
        <v>46935</v>
      </c>
      <c r="T18" s="308">
        <v>0</v>
      </c>
      <c r="U18" s="120">
        <v>3</v>
      </c>
      <c r="V18" s="199">
        <v>45717</v>
      </c>
      <c r="W18" s="309">
        <v>1</v>
      </c>
      <c r="X18" s="122">
        <v>1</v>
      </c>
      <c r="Y18" s="309">
        <v>2</v>
      </c>
      <c r="Z18" s="429">
        <v>1</v>
      </c>
      <c r="AA18" s="184">
        <f t="shared" si="2"/>
        <v>5</v>
      </c>
      <c r="AB18" s="185">
        <f t="shared" si="3"/>
        <v>1.25</v>
      </c>
      <c r="AC18" s="185">
        <f t="shared" si="4"/>
        <v>5</v>
      </c>
      <c r="AD18" s="185">
        <f t="shared" si="5"/>
        <v>10</v>
      </c>
      <c r="AE18" s="61"/>
      <c r="AF18" s="13"/>
      <c r="AG18" s="13"/>
      <c r="AH18" s="13"/>
      <c r="AI18" s="13"/>
      <c r="AJ18" s="13"/>
      <c r="AK18" s="146"/>
      <c r="AL18" s="146"/>
      <c r="AM18" s="146"/>
      <c r="AN18" s="146"/>
      <c r="AO18" s="473"/>
      <c r="AP18" s="473"/>
      <c r="AQ18" s="473"/>
      <c r="AR18" s="473"/>
      <c r="AS18" s="473"/>
      <c r="AT18" s="473"/>
      <c r="AU18" s="473"/>
      <c r="AV18" s="473"/>
      <c r="AW18" s="473"/>
      <c r="AX18" s="473"/>
      <c r="AY18" s="473"/>
      <c r="AZ18" s="473"/>
      <c r="BA18" s="473"/>
      <c r="BB18" s="473"/>
      <c r="BC18" s="473"/>
      <c r="BD18" s="473"/>
      <c r="BE18" s="473"/>
      <c r="BF18" s="473"/>
      <c r="BG18" s="473"/>
      <c r="BH18" s="473"/>
      <c r="BI18" s="473"/>
      <c r="BJ18" s="473"/>
      <c r="BK18" s="473"/>
      <c r="BL18" s="473"/>
      <c r="BM18" s="473"/>
      <c r="BN18" s="473"/>
      <c r="BO18" s="473"/>
      <c r="BP18" s="473"/>
      <c r="BQ18" s="473"/>
      <c r="BR18" s="473"/>
      <c r="BS18" s="473"/>
      <c r="BT18" s="473"/>
      <c r="BU18" s="473"/>
      <c r="BV18" s="473"/>
      <c r="BW18" s="473"/>
      <c r="BX18" s="473"/>
      <c r="BY18" s="473"/>
      <c r="BZ18" s="473"/>
      <c r="CA18" s="473"/>
      <c r="CB18" s="473"/>
      <c r="CC18" s="473"/>
      <c r="CD18" s="473"/>
      <c r="CE18" s="473"/>
    </row>
    <row r="19" spans="1:83" ht="15" customHeight="1" x14ac:dyDescent="0.25">
      <c r="A19" s="315">
        <f t="shared" si="6"/>
        <v>18</v>
      </c>
      <c r="B19" s="3" t="s">
        <v>441</v>
      </c>
      <c r="C19" s="340">
        <v>0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0">
        <f t="shared" si="0"/>
        <v>0</v>
      </c>
      <c r="P19" s="438">
        <f t="shared" si="1"/>
        <v>12</v>
      </c>
      <c r="Q19" s="7">
        <v>22.5</v>
      </c>
      <c r="R19" s="123"/>
      <c r="S19" s="175">
        <v>46296</v>
      </c>
      <c r="T19" s="308">
        <v>0</v>
      </c>
      <c r="U19" s="120"/>
      <c r="V19" s="344">
        <v>45658</v>
      </c>
      <c r="W19" s="309">
        <v>1</v>
      </c>
      <c r="X19" s="122">
        <v>2</v>
      </c>
      <c r="Y19" s="309">
        <v>1</v>
      </c>
      <c r="Z19" s="429">
        <v>2</v>
      </c>
      <c r="AA19" s="184">
        <f t="shared" si="2"/>
        <v>6</v>
      </c>
      <c r="AB19" s="185">
        <f t="shared" si="3"/>
        <v>1.5</v>
      </c>
      <c r="AC19" s="185">
        <f t="shared" si="4"/>
        <v>6</v>
      </c>
      <c r="AD19" s="185">
        <f t="shared" si="5"/>
        <v>12</v>
      </c>
      <c r="AE19" s="61"/>
      <c r="AF19" s="315"/>
      <c r="AG19" s="315"/>
      <c r="AH19" s="315"/>
      <c r="AI19" s="315"/>
      <c r="AJ19" s="315"/>
      <c r="AK19" s="97"/>
      <c r="AL19" s="97"/>
      <c r="AM19" s="97"/>
      <c r="AN19" s="97"/>
    </row>
    <row r="20" spans="1:83" s="113" customFormat="1" ht="15" customHeight="1" x14ac:dyDescent="0.25">
      <c r="A20" s="315">
        <f t="shared" si="6"/>
        <v>19</v>
      </c>
      <c r="B20" s="3" t="s">
        <v>275</v>
      </c>
      <c r="C20" s="340">
        <v>8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0">
        <f t="shared" si="0"/>
        <v>8</v>
      </c>
      <c r="P20" s="438">
        <f t="shared" si="1"/>
        <v>14</v>
      </c>
      <c r="Q20" s="7">
        <v>6</v>
      </c>
      <c r="R20" s="68"/>
      <c r="S20" s="344">
        <v>46388</v>
      </c>
      <c r="T20" s="318">
        <v>0</v>
      </c>
      <c r="U20" s="318">
        <v>5</v>
      </c>
      <c r="V20" s="344">
        <v>45717</v>
      </c>
      <c r="W20" s="309">
        <v>1</v>
      </c>
      <c r="X20" s="122">
        <v>4</v>
      </c>
      <c r="Y20" s="309">
        <v>3</v>
      </c>
      <c r="Z20" s="429">
        <v>3</v>
      </c>
      <c r="AA20" s="184">
        <f t="shared" si="2"/>
        <v>11</v>
      </c>
      <c r="AB20" s="185">
        <f t="shared" si="3"/>
        <v>2.75</v>
      </c>
      <c r="AC20" s="185">
        <f t="shared" si="4"/>
        <v>11</v>
      </c>
      <c r="AD20" s="185">
        <f t="shared" si="5"/>
        <v>22</v>
      </c>
      <c r="AE20" s="61"/>
      <c r="AF20" s="83"/>
      <c r="AG20" s="315"/>
      <c r="AH20" s="315"/>
      <c r="AI20" s="315"/>
      <c r="AJ20" s="315"/>
      <c r="AK20" s="97"/>
      <c r="AL20" s="97"/>
      <c r="AM20" s="97"/>
      <c r="AN20" s="97"/>
    </row>
    <row r="21" spans="1:83" ht="15" customHeight="1" x14ac:dyDescent="0.25">
      <c r="A21" s="315">
        <f t="shared" si="6"/>
        <v>20</v>
      </c>
      <c r="B21" s="3" t="s">
        <v>317</v>
      </c>
      <c r="C21" s="340">
        <v>0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0">
        <f t="shared" si="0"/>
        <v>0</v>
      </c>
      <c r="P21" s="689">
        <f t="shared" si="1"/>
        <v>0</v>
      </c>
      <c r="Q21" s="7"/>
      <c r="R21" s="106"/>
      <c r="S21" s="175"/>
      <c r="T21" s="308"/>
      <c r="U21" s="120"/>
      <c r="V21" s="199"/>
      <c r="W21" s="309"/>
      <c r="X21" s="122"/>
      <c r="Y21" s="309"/>
      <c r="Z21" s="429"/>
      <c r="AA21" s="184"/>
      <c r="AB21" s="185"/>
      <c r="AC21" s="185"/>
      <c r="AD21" s="185"/>
      <c r="AE21" s="61"/>
      <c r="AF21" s="13"/>
      <c r="AG21" s="13"/>
      <c r="AH21" s="13"/>
      <c r="AI21" s="13"/>
      <c r="AJ21" s="13"/>
      <c r="AK21" s="315"/>
      <c r="AL21" s="315"/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5"/>
      <c r="AY21" s="315"/>
      <c r="AZ21" s="315"/>
      <c r="BA21" s="315"/>
      <c r="BB21" s="315"/>
      <c r="BC21" s="315"/>
      <c r="BD21" s="315"/>
      <c r="BE21" s="315"/>
      <c r="BF21" s="315"/>
      <c r="BG21" s="315"/>
      <c r="BH21" s="315"/>
      <c r="BI21" s="315"/>
      <c r="BJ21" s="315"/>
      <c r="BK21" s="315"/>
      <c r="BL21" s="315"/>
      <c r="BM21" s="315"/>
      <c r="BN21" s="315"/>
      <c r="BO21" s="315"/>
      <c r="BP21" s="315"/>
      <c r="BQ21" s="315"/>
      <c r="BR21" s="315"/>
      <c r="BS21" s="315"/>
      <c r="BT21" s="315"/>
      <c r="BU21" s="315"/>
      <c r="BV21" s="315"/>
      <c r="BW21" s="315"/>
      <c r="BX21" s="315"/>
      <c r="BY21" s="315"/>
      <c r="BZ21" s="315"/>
      <c r="CA21" s="315"/>
      <c r="CB21" s="315"/>
      <c r="CC21" s="315"/>
      <c r="CD21" s="315"/>
      <c r="CE21" s="315"/>
    </row>
    <row r="22" spans="1:83" s="97" customFormat="1" ht="15" customHeight="1" x14ac:dyDescent="0.25">
      <c r="A22" s="315">
        <f t="shared" si="6"/>
        <v>21</v>
      </c>
      <c r="B22" s="3" t="s">
        <v>276</v>
      </c>
      <c r="C22" s="340">
        <v>5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0">
        <f t="shared" si="0"/>
        <v>5</v>
      </c>
      <c r="P22" s="438">
        <f t="shared" si="1"/>
        <v>9</v>
      </c>
      <c r="Q22" s="7">
        <v>4.5</v>
      </c>
      <c r="R22" s="106"/>
      <c r="S22" s="344">
        <v>46082</v>
      </c>
      <c r="T22" s="318">
        <v>0</v>
      </c>
      <c r="U22" s="318"/>
      <c r="V22" s="344">
        <v>45658</v>
      </c>
      <c r="W22" s="309">
        <v>2</v>
      </c>
      <c r="X22" s="309">
        <v>2</v>
      </c>
      <c r="Y22" s="309">
        <v>1</v>
      </c>
      <c r="Z22" s="429">
        <v>2</v>
      </c>
      <c r="AA22" s="184">
        <f t="shared" si="2"/>
        <v>7</v>
      </c>
      <c r="AB22" s="185">
        <f t="shared" si="3"/>
        <v>1.75</v>
      </c>
      <c r="AC22" s="185">
        <f t="shared" si="4"/>
        <v>7</v>
      </c>
      <c r="AD22" s="185">
        <f t="shared" si="5"/>
        <v>14</v>
      </c>
      <c r="AE22" s="61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</row>
    <row r="23" spans="1:83" ht="15" customHeight="1" x14ac:dyDescent="0.25">
      <c r="A23" s="315">
        <f t="shared" si="6"/>
        <v>22</v>
      </c>
      <c r="B23" s="3" t="s">
        <v>1119</v>
      </c>
      <c r="C23" s="340">
        <v>2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0">
        <f t="shared" si="0"/>
        <v>2</v>
      </c>
      <c r="P23" s="438">
        <f t="shared" si="1"/>
        <v>10</v>
      </c>
      <c r="Q23" s="7">
        <v>47</v>
      </c>
      <c r="R23" s="106"/>
      <c r="S23" s="175">
        <v>46235</v>
      </c>
      <c r="T23" s="308">
        <v>1</v>
      </c>
      <c r="U23" s="120"/>
      <c r="V23" s="199">
        <v>45658</v>
      </c>
      <c r="W23" s="309">
        <v>2</v>
      </c>
      <c r="X23" s="122">
        <v>1</v>
      </c>
      <c r="Y23" s="309">
        <v>2</v>
      </c>
      <c r="Z23" s="429">
        <v>1</v>
      </c>
      <c r="AA23" s="184">
        <f t="shared" si="2"/>
        <v>6</v>
      </c>
      <c r="AB23" s="185">
        <f t="shared" si="3"/>
        <v>1.5</v>
      </c>
      <c r="AC23" s="185">
        <f t="shared" si="4"/>
        <v>6</v>
      </c>
      <c r="AD23" s="185">
        <f t="shared" si="5"/>
        <v>12</v>
      </c>
      <c r="AE23" s="61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</row>
    <row r="24" spans="1:83" s="97" customFormat="1" x14ac:dyDescent="0.25">
      <c r="A24" s="315">
        <f t="shared" si="6"/>
        <v>23</v>
      </c>
      <c r="B24" s="3" t="s">
        <v>338</v>
      </c>
      <c r="C24" s="340">
        <v>7</v>
      </c>
      <c r="D24" s="361"/>
      <c r="E24" s="482"/>
      <c r="F24" s="361"/>
      <c r="G24" s="482"/>
      <c r="H24" s="361"/>
      <c r="I24" s="482"/>
      <c r="J24" s="361"/>
      <c r="K24" s="482">
        <v>1</v>
      </c>
      <c r="L24" s="361"/>
      <c r="M24" s="482">
        <v>1</v>
      </c>
      <c r="N24" s="563"/>
      <c r="O24" s="340">
        <f t="shared" si="0"/>
        <v>5</v>
      </c>
      <c r="P24" s="438">
        <f t="shared" si="1"/>
        <v>15</v>
      </c>
      <c r="Q24" s="7">
        <v>15</v>
      </c>
      <c r="R24" s="68"/>
      <c r="S24" s="175">
        <v>46113</v>
      </c>
      <c r="T24" s="318">
        <v>7</v>
      </c>
      <c r="U24" s="120">
        <v>12</v>
      </c>
      <c r="V24" s="199">
        <v>45717</v>
      </c>
      <c r="W24" s="309">
        <v>1</v>
      </c>
      <c r="X24" s="122">
        <v>1</v>
      </c>
      <c r="Y24" s="309">
        <v>6</v>
      </c>
      <c r="Z24" s="429">
        <v>2</v>
      </c>
      <c r="AA24" s="184">
        <f t="shared" si="2"/>
        <v>10</v>
      </c>
      <c r="AB24" s="185">
        <f t="shared" si="3"/>
        <v>2.5</v>
      </c>
      <c r="AC24" s="185">
        <f t="shared" si="4"/>
        <v>10</v>
      </c>
      <c r="AD24" s="185">
        <f t="shared" si="5"/>
        <v>20</v>
      </c>
      <c r="AE24" s="61"/>
      <c r="AF24" s="13"/>
      <c r="AG24" s="13"/>
      <c r="AH24" s="13"/>
      <c r="AI24" s="13"/>
      <c r="AJ24" s="13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5"/>
      <c r="BK24" s="315"/>
      <c r="BL24" s="315"/>
      <c r="BM24" s="315"/>
      <c r="BN24" s="315"/>
      <c r="BO24" s="315"/>
      <c r="BP24" s="315"/>
      <c r="BQ24" s="315"/>
      <c r="BR24" s="315"/>
      <c r="BS24" s="315"/>
      <c r="BT24" s="315"/>
      <c r="BU24" s="315"/>
      <c r="BV24" s="315"/>
      <c r="BW24" s="315"/>
      <c r="BX24" s="315"/>
      <c r="BY24" s="315"/>
      <c r="BZ24" s="315"/>
      <c r="CA24" s="315"/>
      <c r="CB24" s="315"/>
      <c r="CC24" s="315"/>
      <c r="CD24" s="315"/>
      <c r="CE24" s="315"/>
    </row>
    <row r="25" spans="1:83" x14ac:dyDescent="0.25">
      <c r="A25" s="315">
        <f t="shared" si="6"/>
        <v>24</v>
      </c>
      <c r="B25" s="3" t="s">
        <v>459</v>
      </c>
      <c r="C25" s="340">
        <v>5</v>
      </c>
      <c r="D25" s="359"/>
      <c r="E25" s="478"/>
      <c r="F25" s="360"/>
      <c r="G25" s="480"/>
      <c r="H25" s="360"/>
      <c r="I25" s="480">
        <v>1</v>
      </c>
      <c r="J25" s="360"/>
      <c r="K25" s="480"/>
      <c r="L25" s="359"/>
      <c r="M25" s="478"/>
      <c r="N25" s="561"/>
      <c r="O25" s="340">
        <f t="shared" si="0"/>
        <v>4</v>
      </c>
      <c r="P25" s="438">
        <f t="shared" si="1"/>
        <v>4</v>
      </c>
      <c r="Q25" s="44">
        <v>27</v>
      </c>
      <c r="R25" s="73"/>
      <c r="S25" s="344">
        <v>46935</v>
      </c>
      <c r="T25" s="318">
        <v>3</v>
      </c>
      <c r="U25" s="318"/>
      <c r="V25" s="344">
        <v>45689</v>
      </c>
      <c r="W25" s="309">
        <v>1</v>
      </c>
      <c r="X25" s="122">
        <v>1</v>
      </c>
      <c r="Y25" s="309">
        <v>1</v>
      </c>
      <c r="Z25" s="429">
        <v>1</v>
      </c>
      <c r="AA25" s="184">
        <f t="shared" si="2"/>
        <v>4</v>
      </c>
      <c r="AB25" s="185">
        <f t="shared" si="3"/>
        <v>1</v>
      </c>
      <c r="AC25" s="185">
        <f t="shared" si="4"/>
        <v>4</v>
      </c>
      <c r="AD25" s="185">
        <f t="shared" si="5"/>
        <v>8</v>
      </c>
      <c r="AE25" s="61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</row>
    <row r="26" spans="1:83" x14ac:dyDescent="0.25">
      <c r="A26" s="315">
        <f t="shared" si="6"/>
        <v>25</v>
      </c>
      <c r="B26" s="651" t="s">
        <v>53</v>
      </c>
      <c r="C26" s="653">
        <v>6</v>
      </c>
      <c r="D26" s="359"/>
      <c r="E26" s="478"/>
      <c r="F26" s="359"/>
      <c r="G26" s="478"/>
      <c r="H26" s="359"/>
      <c r="I26" s="478">
        <v>1</v>
      </c>
      <c r="J26" s="359"/>
      <c r="K26" s="478"/>
      <c r="L26" s="359"/>
      <c r="M26" s="478"/>
      <c r="N26" s="561"/>
      <c r="O26" s="340">
        <f t="shared" si="0"/>
        <v>5</v>
      </c>
      <c r="P26" s="438">
        <f t="shared" si="1"/>
        <v>11</v>
      </c>
      <c r="Q26" s="7">
        <v>10</v>
      </c>
      <c r="R26" s="106"/>
      <c r="S26" s="655">
        <v>45839</v>
      </c>
      <c r="T26" s="318">
        <v>6</v>
      </c>
      <c r="U26" s="318"/>
      <c r="V26" s="199">
        <v>45689</v>
      </c>
      <c r="W26" s="309">
        <v>2</v>
      </c>
      <c r="X26" s="309">
        <v>1</v>
      </c>
      <c r="Y26" s="309">
        <v>3</v>
      </c>
      <c r="Z26" s="429">
        <v>2</v>
      </c>
      <c r="AA26" s="184">
        <f t="shared" si="2"/>
        <v>8</v>
      </c>
      <c r="AB26" s="185">
        <f t="shared" si="3"/>
        <v>2</v>
      </c>
      <c r="AC26" s="185">
        <f t="shared" si="4"/>
        <v>8</v>
      </c>
      <c r="AD26" s="185">
        <f t="shared" si="5"/>
        <v>16</v>
      </c>
      <c r="AE26" s="61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</row>
    <row r="27" spans="1:83" x14ac:dyDescent="0.25">
      <c r="A27" s="315">
        <f t="shared" si="6"/>
        <v>26</v>
      </c>
      <c r="B27" s="3" t="s">
        <v>192</v>
      </c>
      <c r="C27" s="340">
        <v>3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0">
        <f t="shared" si="0"/>
        <v>3</v>
      </c>
      <c r="P27" s="438">
        <f t="shared" si="1"/>
        <v>7</v>
      </c>
      <c r="Q27" s="7">
        <v>23</v>
      </c>
      <c r="R27" s="123" t="s">
        <v>77</v>
      </c>
      <c r="S27" s="344">
        <v>46539</v>
      </c>
      <c r="T27" s="318">
        <v>3</v>
      </c>
      <c r="U27" s="318"/>
      <c r="V27" s="344">
        <v>45689</v>
      </c>
      <c r="W27" s="309">
        <v>2</v>
      </c>
      <c r="X27" s="309">
        <v>1</v>
      </c>
      <c r="Y27" s="309">
        <v>1</v>
      </c>
      <c r="Z27" s="429">
        <v>1</v>
      </c>
      <c r="AA27" s="184">
        <f t="shared" si="2"/>
        <v>5</v>
      </c>
      <c r="AB27" s="185">
        <f t="shared" si="3"/>
        <v>1.25</v>
      </c>
      <c r="AC27" s="185">
        <f t="shared" si="4"/>
        <v>5</v>
      </c>
      <c r="AD27" s="185">
        <f t="shared" si="5"/>
        <v>10</v>
      </c>
      <c r="AE27" s="105"/>
      <c r="AF27" s="13"/>
      <c r="AG27" s="13"/>
      <c r="AH27" s="13"/>
      <c r="AI27" s="13"/>
      <c r="AJ27" s="13"/>
      <c r="AK27" s="315"/>
      <c r="AL27" s="315"/>
      <c r="AM27" s="315"/>
      <c r="AN27" s="315"/>
      <c r="AO27" s="315"/>
      <c r="AP27" s="315"/>
      <c r="AQ27" s="315"/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  <c r="BL27" s="315"/>
      <c r="BM27" s="315"/>
      <c r="BN27" s="315"/>
      <c r="BO27" s="315"/>
      <c r="BP27" s="315"/>
      <c r="BQ27" s="315"/>
      <c r="BR27" s="315"/>
      <c r="BS27" s="315"/>
      <c r="BT27" s="315"/>
      <c r="BU27" s="315"/>
      <c r="BV27" s="315"/>
      <c r="BW27" s="315"/>
      <c r="BX27" s="315"/>
      <c r="BY27" s="315"/>
      <c r="BZ27" s="315"/>
      <c r="CA27" s="315"/>
      <c r="CB27" s="315"/>
      <c r="CC27" s="315"/>
      <c r="CD27" s="315"/>
      <c r="CE27" s="315"/>
    </row>
    <row r="28" spans="1:83" ht="15" customHeight="1" x14ac:dyDescent="0.25">
      <c r="A28" s="315">
        <f t="shared" si="6"/>
        <v>27</v>
      </c>
      <c r="B28" s="3" t="s">
        <v>331</v>
      </c>
      <c r="C28" s="340">
        <v>2</v>
      </c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340">
        <f t="shared" si="0"/>
        <v>2</v>
      </c>
      <c r="P28" s="438">
        <f t="shared" si="1"/>
        <v>6</v>
      </c>
      <c r="Q28" s="7">
        <v>34</v>
      </c>
      <c r="R28" s="106"/>
      <c r="S28" s="344">
        <v>46997</v>
      </c>
      <c r="T28" s="318">
        <v>0</v>
      </c>
      <c r="U28" s="318"/>
      <c r="V28" s="199">
        <v>45413</v>
      </c>
      <c r="W28" s="309">
        <v>1</v>
      </c>
      <c r="X28" s="309">
        <v>1</v>
      </c>
      <c r="Y28" s="309">
        <v>1</v>
      </c>
      <c r="Z28" s="429">
        <v>1</v>
      </c>
      <c r="AA28" s="184">
        <f t="shared" si="2"/>
        <v>4</v>
      </c>
      <c r="AB28" s="185">
        <f t="shared" si="3"/>
        <v>1</v>
      </c>
      <c r="AC28" s="185">
        <f t="shared" si="4"/>
        <v>4</v>
      </c>
      <c r="AD28" s="185">
        <f t="shared" si="5"/>
        <v>8</v>
      </c>
      <c r="AE28" s="61"/>
      <c r="AF28" s="13"/>
      <c r="AG28" s="13"/>
      <c r="AH28" s="13"/>
      <c r="AI28" s="13"/>
      <c r="AJ28" s="13"/>
      <c r="AK28" s="315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</row>
    <row r="29" spans="1:83" s="113" customFormat="1" ht="15" customHeight="1" x14ac:dyDescent="0.25">
      <c r="A29" s="315">
        <f t="shared" si="6"/>
        <v>28</v>
      </c>
      <c r="B29" s="651" t="s">
        <v>848</v>
      </c>
      <c r="C29" s="653">
        <v>1</v>
      </c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340">
        <f t="shared" si="0"/>
        <v>1</v>
      </c>
      <c r="P29" s="340">
        <f t="shared" si="1"/>
        <v>-1</v>
      </c>
      <c r="Q29" s="7">
        <v>59</v>
      </c>
      <c r="R29" s="106"/>
      <c r="S29" s="655">
        <v>45870</v>
      </c>
      <c r="T29" s="318">
        <v>0</v>
      </c>
      <c r="U29" s="316"/>
      <c r="V29" s="344">
        <v>45413</v>
      </c>
      <c r="W29" s="309"/>
      <c r="X29" s="309"/>
      <c r="Y29" s="309"/>
      <c r="Z29" s="429"/>
      <c r="AA29" s="184">
        <f t="shared" si="2"/>
        <v>0</v>
      </c>
      <c r="AB29" s="185">
        <f t="shared" si="3"/>
        <v>0</v>
      </c>
      <c r="AC29" s="185">
        <f t="shared" si="4"/>
        <v>0</v>
      </c>
      <c r="AD29" s="185">
        <f t="shared" si="5"/>
        <v>0</v>
      </c>
      <c r="AE29" s="61"/>
      <c r="AF29" s="13"/>
      <c r="AG29" s="13"/>
      <c r="AH29" s="13"/>
      <c r="AI29" s="13"/>
      <c r="AJ29" s="13"/>
      <c r="AK29" s="315"/>
      <c r="AL29" s="315"/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315"/>
      <c r="BM29" s="315"/>
      <c r="BN29" s="315"/>
      <c r="BO29" s="315"/>
      <c r="BP29" s="315"/>
      <c r="BQ29" s="315"/>
      <c r="BR29" s="315"/>
      <c r="BS29" s="315"/>
      <c r="BT29" s="315"/>
      <c r="BU29" s="315"/>
      <c r="BV29" s="315"/>
      <c r="BW29" s="315"/>
      <c r="BX29" s="315"/>
      <c r="BY29" s="315"/>
      <c r="BZ29" s="315"/>
      <c r="CA29" s="315"/>
      <c r="CB29" s="315"/>
      <c r="CC29" s="315"/>
      <c r="CD29" s="315"/>
      <c r="CE29" s="315"/>
    </row>
    <row r="30" spans="1:83" ht="15.75" customHeight="1" x14ac:dyDescent="0.25">
      <c r="A30" s="315">
        <f t="shared" si="6"/>
        <v>29</v>
      </c>
      <c r="B30" s="314" t="s">
        <v>432</v>
      </c>
      <c r="C30" s="340">
        <v>89</v>
      </c>
      <c r="D30" s="359"/>
      <c r="E30" s="478">
        <v>10</v>
      </c>
      <c r="F30" s="359"/>
      <c r="G30" s="478"/>
      <c r="H30" s="359">
        <v>20</v>
      </c>
      <c r="I30" s="478"/>
      <c r="J30" s="359"/>
      <c r="K30" s="478"/>
      <c r="L30" s="359"/>
      <c r="M30" s="478">
        <v>10</v>
      </c>
      <c r="N30" s="561"/>
      <c r="O30" s="340">
        <f t="shared" si="0"/>
        <v>49</v>
      </c>
      <c r="P30" s="438">
        <f t="shared" si="1"/>
        <v>83</v>
      </c>
      <c r="Q30" s="44">
        <v>1</v>
      </c>
      <c r="R30" s="106" t="s">
        <v>81</v>
      </c>
      <c r="S30" s="83">
        <v>46174</v>
      </c>
      <c r="T30" s="313">
        <v>5</v>
      </c>
      <c r="U30" s="313"/>
      <c r="V30" s="81">
        <v>45627</v>
      </c>
      <c r="W30" s="28">
        <v>6</v>
      </c>
      <c r="X30" s="28">
        <v>16</v>
      </c>
      <c r="Y30" s="28">
        <v>4</v>
      </c>
      <c r="Z30" s="429">
        <v>40</v>
      </c>
      <c r="AA30" s="184">
        <f t="shared" si="2"/>
        <v>66</v>
      </c>
      <c r="AB30" s="185">
        <f t="shared" si="3"/>
        <v>16.5</v>
      </c>
      <c r="AC30" s="185">
        <f t="shared" si="4"/>
        <v>66</v>
      </c>
      <c r="AD30" s="185">
        <f t="shared" si="5"/>
        <v>132</v>
      </c>
      <c r="AE30" s="61"/>
      <c r="AF30" s="315"/>
      <c r="AG30" s="315"/>
      <c r="AH30" s="315"/>
      <c r="AI30" s="315"/>
      <c r="AJ30" s="315"/>
      <c r="AK30" s="315"/>
      <c r="AL30" s="315"/>
      <c r="AM30" s="315"/>
      <c r="AN30" s="315"/>
      <c r="AO30" s="315"/>
      <c r="AP30" s="315"/>
      <c r="AQ30" s="315"/>
      <c r="AR30" s="315"/>
      <c r="AS30" s="315"/>
      <c r="AT30" s="315"/>
      <c r="AU30" s="315"/>
      <c r="AV30" s="315"/>
      <c r="AW30" s="315"/>
      <c r="AX30" s="315"/>
      <c r="AY30" s="315"/>
      <c r="AZ30" s="315"/>
      <c r="BA30" s="315"/>
      <c r="BB30" s="315"/>
      <c r="BC30" s="315"/>
      <c r="BD30" s="315"/>
      <c r="BE30" s="315"/>
      <c r="BF30" s="315"/>
      <c r="BG30" s="315"/>
      <c r="BH30" s="315"/>
      <c r="BI30" s="315"/>
      <c r="BJ30" s="315"/>
      <c r="BK30" s="315"/>
      <c r="BL30" s="315"/>
      <c r="BM30" s="315"/>
      <c r="BN30" s="315"/>
      <c r="BO30" s="315"/>
      <c r="BP30" s="315"/>
      <c r="BQ30" s="315"/>
      <c r="BR30" s="315"/>
      <c r="BS30" s="315"/>
      <c r="BT30" s="315"/>
      <c r="BU30" s="315"/>
      <c r="BV30" s="315"/>
      <c r="BW30" s="315"/>
      <c r="BX30" s="315"/>
      <c r="BY30" s="315"/>
      <c r="BZ30" s="315"/>
      <c r="CA30" s="315"/>
      <c r="CB30" s="315"/>
      <c r="CC30" s="315"/>
      <c r="CD30" s="315"/>
      <c r="CE30" s="315"/>
    </row>
    <row r="31" spans="1:83" ht="15" customHeight="1" x14ac:dyDescent="0.25">
      <c r="A31" s="315">
        <f t="shared" si="6"/>
        <v>30</v>
      </c>
      <c r="B31" s="3" t="s">
        <v>853</v>
      </c>
      <c r="C31" s="340">
        <v>9</v>
      </c>
      <c r="D31" s="367"/>
      <c r="E31" s="478"/>
      <c r="F31" s="364"/>
      <c r="G31" s="480"/>
      <c r="H31" s="364"/>
      <c r="I31" s="480"/>
      <c r="J31" s="381"/>
      <c r="K31" s="480"/>
      <c r="L31" s="364"/>
      <c r="M31" s="480"/>
      <c r="N31" s="562"/>
      <c r="O31" s="340">
        <f t="shared" si="0"/>
        <v>9</v>
      </c>
      <c r="P31" s="438">
        <f t="shared" si="1"/>
        <v>15</v>
      </c>
      <c r="Q31" s="7">
        <v>1.67</v>
      </c>
      <c r="R31" s="63"/>
      <c r="S31" s="118">
        <v>46023</v>
      </c>
      <c r="T31" s="316">
        <v>6</v>
      </c>
      <c r="U31" s="316"/>
      <c r="V31" s="344">
        <v>45597</v>
      </c>
      <c r="W31" s="309">
        <v>3</v>
      </c>
      <c r="X31" s="309">
        <v>3</v>
      </c>
      <c r="Y31" s="309">
        <v>3</v>
      </c>
      <c r="Z31" s="309">
        <v>3</v>
      </c>
      <c r="AA31" s="184">
        <f t="shared" si="2"/>
        <v>12</v>
      </c>
      <c r="AB31" s="185">
        <f t="shared" si="3"/>
        <v>3</v>
      </c>
      <c r="AC31" s="185">
        <f t="shared" si="4"/>
        <v>12</v>
      </c>
      <c r="AD31" s="185">
        <f t="shared" si="5"/>
        <v>24</v>
      </c>
      <c r="AE31" s="61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315"/>
      <c r="BA31" s="315"/>
      <c r="BB31" s="315"/>
      <c r="BC31" s="315"/>
      <c r="BD31" s="315"/>
      <c r="BE31" s="315"/>
      <c r="BF31" s="315"/>
      <c r="BG31" s="315"/>
      <c r="BH31" s="315"/>
      <c r="BI31" s="315"/>
      <c r="BJ31" s="315"/>
      <c r="BK31" s="315"/>
      <c r="BL31" s="315"/>
      <c r="BM31" s="315"/>
      <c r="BN31" s="315"/>
      <c r="BO31" s="315"/>
      <c r="BP31" s="315"/>
      <c r="BQ31" s="315"/>
      <c r="BR31" s="315"/>
      <c r="BS31" s="315"/>
      <c r="BT31" s="315"/>
      <c r="BU31" s="315"/>
      <c r="BV31" s="315"/>
      <c r="BW31" s="315"/>
      <c r="BX31" s="315"/>
      <c r="BY31" s="315"/>
      <c r="BZ31" s="315"/>
      <c r="CA31" s="315"/>
      <c r="CB31" s="315"/>
      <c r="CC31" s="315"/>
      <c r="CD31" s="315"/>
      <c r="CE31" s="315"/>
    </row>
    <row r="32" spans="1:83" ht="15" customHeight="1" x14ac:dyDescent="0.25">
      <c r="A32" s="315">
        <f t="shared" si="6"/>
        <v>31</v>
      </c>
      <c r="B32" s="3" t="s">
        <v>887</v>
      </c>
      <c r="C32" s="340">
        <v>33</v>
      </c>
      <c r="D32" s="361"/>
      <c r="E32" s="482"/>
      <c r="F32" s="361"/>
      <c r="G32" s="482"/>
      <c r="H32" s="361"/>
      <c r="I32" s="482"/>
      <c r="J32" s="361"/>
      <c r="K32" s="482"/>
      <c r="L32" s="361"/>
      <c r="M32" s="482"/>
      <c r="N32" s="563"/>
      <c r="O32" s="340">
        <f t="shared" si="0"/>
        <v>33</v>
      </c>
      <c r="P32" s="438">
        <f t="shared" si="1"/>
        <v>59</v>
      </c>
      <c r="Q32" s="7">
        <v>3.8</v>
      </c>
      <c r="R32" s="68" t="s">
        <v>688</v>
      </c>
      <c r="S32" s="344">
        <v>46327</v>
      </c>
      <c r="T32" s="318">
        <v>1</v>
      </c>
      <c r="U32" s="318">
        <v>1</v>
      </c>
      <c r="V32" s="199">
        <v>45717</v>
      </c>
      <c r="W32" s="309">
        <v>15</v>
      </c>
      <c r="X32" s="309">
        <v>17</v>
      </c>
      <c r="Y32" s="309">
        <v>12</v>
      </c>
      <c r="Z32" s="429">
        <v>2</v>
      </c>
      <c r="AA32" s="184">
        <f t="shared" si="2"/>
        <v>46</v>
      </c>
      <c r="AB32" s="185">
        <f t="shared" si="3"/>
        <v>11.5</v>
      </c>
      <c r="AC32" s="185">
        <f t="shared" si="4"/>
        <v>46</v>
      </c>
      <c r="AD32" s="185">
        <f t="shared" si="5"/>
        <v>92</v>
      </c>
      <c r="AE32" s="61"/>
      <c r="AF32" s="83"/>
      <c r="AG32" s="315"/>
      <c r="AH32" s="315"/>
      <c r="AI32" s="315"/>
      <c r="AJ32" s="315"/>
      <c r="AK32" s="315"/>
      <c r="AL32" s="315"/>
      <c r="AM32" s="315"/>
      <c r="AN32" s="315"/>
      <c r="AO32" s="315"/>
      <c r="AP32" s="315"/>
      <c r="AQ32" s="315"/>
      <c r="AR32" s="315"/>
      <c r="AS32" s="315"/>
      <c r="AT32" s="315"/>
      <c r="AU32" s="315"/>
      <c r="AV32" s="315"/>
      <c r="AW32" s="315"/>
      <c r="AX32" s="315"/>
      <c r="AY32" s="315"/>
      <c r="AZ32" s="315"/>
      <c r="BA32" s="315"/>
      <c r="BB32" s="315"/>
      <c r="BC32" s="315"/>
      <c r="BD32" s="315"/>
      <c r="BE32" s="315"/>
      <c r="BF32" s="315"/>
      <c r="BG32" s="315"/>
      <c r="BH32" s="315"/>
      <c r="BI32" s="315"/>
      <c r="BJ32" s="315"/>
      <c r="BK32" s="315"/>
      <c r="BL32" s="315"/>
      <c r="BM32" s="315"/>
      <c r="BN32" s="315"/>
      <c r="BO32" s="315"/>
      <c r="BP32" s="315"/>
      <c r="BQ32" s="315"/>
      <c r="BR32" s="315"/>
      <c r="BS32" s="315"/>
      <c r="BT32" s="315"/>
      <c r="BU32" s="315"/>
      <c r="BV32" s="315"/>
      <c r="BW32" s="315"/>
      <c r="BX32" s="315"/>
      <c r="BY32" s="315"/>
      <c r="BZ32" s="315"/>
      <c r="CA32" s="315"/>
      <c r="CB32" s="315"/>
      <c r="CC32" s="315"/>
      <c r="CD32" s="315"/>
      <c r="CE32" s="315"/>
    </row>
    <row r="33" spans="1:83" ht="15" customHeight="1" x14ac:dyDescent="0.25">
      <c r="A33" s="315">
        <f t="shared" si="6"/>
        <v>32</v>
      </c>
      <c r="B33" s="3" t="s">
        <v>572</v>
      </c>
      <c r="C33" s="340">
        <v>3</v>
      </c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340">
        <f t="shared" si="0"/>
        <v>3</v>
      </c>
      <c r="P33" s="438">
        <f t="shared" si="1"/>
        <v>7</v>
      </c>
      <c r="Q33" s="7">
        <v>58</v>
      </c>
      <c r="R33" s="106" t="s">
        <v>81</v>
      </c>
      <c r="S33" s="99">
        <v>46143</v>
      </c>
      <c r="T33" s="311">
        <v>2</v>
      </c>
      <c r="U33" s="311">
        <v>2</v>
      </c>
      <c r="V33" s="99">
        <v>45717</v>
      </c>
      <c r="W33" s="309">
        <v>2</v>
      </c>
      <c r="X33" s="309">
        <v>1</v>
      </c>
      <c r="Y33" s="309">
        <v>1</v>
      </c>
      <c r="Z33" s="429">
        <v>1</v>
      </c>
      <c r="AA33" s="184">
        <f t="shared" si="2"/>
        <v>5</v>
      </c>
      <c r="AB33" s="185">
        <f t="shared" si="3"/>
        <v>1.25</v>
      </c>
      <c r="AC33" s="185">
        <f t="shared" si="4"/>
        <v>5</v>
      </c>
      <c r="AD33" s="185">
        <f t="shared" si="5"/>
        <v>10</v>
      </c>
      <c r="AE33" s="61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  <c r="AT33" s="315"/>
      <c r="AU33" s="315"/>
      <c r="AV33" s="315"/>
      <c r="AW33" s="315"/>
      <c r="AX33" s="315"/>
      <c r="AY33" s="315"/>
      <c r="AZ33" s="315"/>
      <c r="BA33" s="315"/>
      <c r="BB33" s="315"/>
      <c r="BC33" s="315"/>
      <c r="BD33" s="315"/>
      <c r="BE33" s="315"/>
      <c r="BF33" s="315"/>
      <c r="BG33" s="315"/>
      <c r="BH33" s="315"/>
      <c r="BI33" s="315"/>
      <c r="BJ33" s="315"/>
      <c r="BK33" s="315"/>
      <c r="BL33" s="315"/>
      <c r="BM33" s="315"/>
      <c r="BN33" s="315"/>
      <c r="BO33" s="315"/>
      <c r="BP33" s="315"/>
      <c r="BQ33" s="315"/>
      <c r="BR33" s="315"/>
      <c r="BS33" s="315"/>
      <c r="BT33" s="315"/>
      <c r="BU33" s="315"/>
      <c r="BV33" s="315"/>
      <c r="BW33" s="315"/>
      <c r="BX33" s="315"/>
      <c r="BY33" s="315"/>
      <c r="BZ33" s="315"/>
      <c r="CA33" s="315"/>
      <c r="CB33" s="315"/>
      <c r="CC33" s="315"/>
      <c r="CD33" s="315"/>
      <c r="CE33" s="315"/>
    </row>
    <row r="34" spans="1:83" ht="15" customHeight="1" x14ac:dyDescent="0.25">
      <c r="A34" s="315">
        <f t="shared" si="6"/>
        <v>33</v>
      </c>
      <c r="B34" s="3" t="s">
        <v>1148</v>
      </c>
      <c r="C34" s="415">
        <v>90</v>
      </c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340">
        <f t="shared" si="0"/>
        <v>90</v>
      </c>
      <c r="P34" s="438">
        <f t="shared" si="1"/>
        <v>6</v>
      </c>
      <c r="Q34" s="7">
        <v>2.5</v>
      </c>
      <c r="R34" s="63" t="s">
        <v>883</v>
      </c>
      <c r="S34" s="118">
        <v>46113</v>
      </c>
      <c r="T34" s="316">
        <v>0</v>
      </c>
      <c r="U34" s="316"/>
      <c r="V34" s="344">
        <v>45689</v>
      </c>
      <c r="W34" s="309">
        <v>4</v>
      </c>
      <c r="X34" s="309">
        <v>10</v>
      </c>
      <c r="Y34" s="309">
        <v>18</v>
      </c>
      <c r="Z34" s="429">
        <v>16</v>
      </c>
      <c r="AA34" s="184">
        <f t="shared" si="2"/>
        <v>48</v>
      </c>
      <c r="AB34" s="185">
        <f t="shared" si="3"/>
        <v>12</v>
      </c>
      <c r="AC34" s="185">
        <f t="shared" si="4"/>
        <v>48</v>
      </c>
      <c r="AD34" s="185">
        <f t="shared" si="5"/>
        <v>96</v>
      </c>
      <c r="AE34" s="61"/>
      <c r="AF34" s="83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  <c r="AW34" s="315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315"/>
      <c r="BN34" s="315"/>
      <c r="BO34" s="315"/>
      <c r="BP34" s="315"/>
      <c r="BQ34" s="315"/>
      <c r="BR34" s="315"/>
      <c r="BS34" s="315"/>
      <c r="BT34" s="315"/>
      <c r="BU34" s="315"/>
      <c r="BV34" s="315"/>
      <c r="BW34" s="315"/>
      <c r="BX34" s="315"/>
      <c r="BY34" s="315"/>
      <c r="BZ34" s="315"/>
      <c r="CA34" s="315"/>
      <c r="CB34" s="315"/>
      <c r="CC34" s="315"/>
      <c r="CD34" s="315"/>
      <c r="CE34" s="315"/>
    </row>
    <row r="35" spans="1:83" ht="15" customHeight="1" x14ac:dyDescent="0.25">
      <c r="A35" s="315">
        <f t="shared" ref="A35:A66" si="7">A34+1</f>
        <v>34</v>
      </c>
      <c r="B35" s="3" t="s">
        <v>16</v>
      </c>
      <c r="C35" s="340">
        <v>2</v>
      </c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340">
        <f t="shared" si="0"/>
        <v>2</v>
      </c>
      <c r="P35" s="438">
        <f t="shared" si="1"/>
        <v>10</v>
      </c>
      <c r="Q35" s="7">
        <v>14</v>
      </c>
      <c r="R35" s="93"/>
      <c r="S35" s="344">
        <v>46539</v>
      </c>
      <c r="T35" s="318">
        <v>1</v>
      </c>
      <c r="U35" s="318"/>
      <c r="V35" s="344">
        <v>45658</v>
      </c>
      <c r="W35" s="309">
        <v>2</v>
      </c>
      <c r="X35" s="309">
        <v>1</v>
      </c>
      <c r="Y35" s="309">
        <v>2</v>
      </c>
      <c r="Z35" s="429">
        <v>1</v>
      </c>
      <c r="AA35" s="184">
        <f t="shared" si="2"/>
        <v>6</v>
      </c>
      <c r="AB35" s="185">
        <f t="shared" si="3"/>
        <v>1.5</v>
      </c>
      <c r="AC35" s="185">
        <f t="shared" si="4"/>
        <v>6</v>
      </c>
      <c r="AD35" s="185">
        <f t="shared" si="5"/>
        <v>12</v>
      </c>
      <c r="AE35" s="61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15"/>
      <c r="AU35" s="315"/>
      <c r="AV35" s="315"/>
      <c r="AW35" s="315"/>
      <c r="AX35" s="315"/>
      <c r="AY35" s="315"/>
      <c r="AZ35" s="315"/>
      <c r="BA35" s="315"/>
      <c r="BB35" s="315"/>
      <c r="BC35" s="315"/>
      <c r="BD35" s="315"/>
      <c r="BE35" s="315"/>
      <c r="BF35" s="315"/>
      <c r="BG35" s="315"/>
      <c r="BH35" s="315"/>
      <c r="BI35" s="315"/>
      <c r="BJ35" s="315"/>
      <c r="BK35" s="315"/>
      <c r="BL35" s="315"/>
      <c r="BM35" s="315"/>
      <c r="BN35" s="315"/>
      <c r="BO35" s="315"/>
      <c r="BP35" s="315"/>
      <c r="BQ35" s="315"/>
      <c r="BR35" s="315"/>
      <c r="BS35" s="315"/>
      <c r="BT35" s="315"/>
      <c r="BU35" s="315"/>
      <c r="BV35" s="315"/>
      <c r="BW35" s="315"/>
      <c r="BX35" s="315"/>
      <c r="BY35" s="315"/>
      <c r="BZ35" s="315"/>
      <c r="CA35" s="315"/>
      <c r="CB35" s="315"/>
      <c r="CC35" s="315"/>
      <c r="CD35" s="315"/>
      <c r="CE35" s="315"/>
    </row>
    <row r="36" spans="1:83" s="113" customFormat="1" x14ac:dyDescent="0.25">
      <c r="A36" s="315">
        <f t="shared" si="7"/>
        <v>35</v>
      </c>
      <c r="B36" s="3" t="s">
        <v>194</v>
      </c>
      <c r="C36" s="340">
        <v>5</v>
      </c>
      <c r="D36" s="361"/>
      <c r="E36" s="482"/>
      <c r="F36" s="361"/>
      <c r="G36" s="482"/>
      <c r="H36" s="361"/>
      <c r="I36" s="482"/>
      <c r="J36" s="361"/>
      <c r="K36" s="482"/>
      <c r="L36" s="361"/>
      <c r="M36" s="482"/>
      <c r="N36" s="563"/>
      <c r="O36" s="340">
        <f t="shared" si="0"/>
        <v>5</v>
      </c>
      <c r="P36" s="438">
        <f t="shared" si="1"/>
        <v>3</v>
      </c>
      <c r="Q36" s="7">
        <v>22</v>
      </c>
      <c r="R36" s="68" t="s">
        <v>81</v>
      </c>
      <c r="S36" s="83">
        <v>46844</v>
      </c>
      <c r="T36" s="313">
        <v>0</v>
      </c>
      <c r="U36" s="313"/>
      <c r="V36" s="81">
        <v>45139</v>
      </c>
      <c r="W36" s="28">
        <v>1</v>
      </c>
      <c r="X36" s="28">
        <v>1</v>
      </c>
      <c r="Y36" s="28">
        <v>1</v>
      </c>
      <c r="Z36" s="429">
        <v>1</v>
      </c>
      <c r="AA36" s="184">
        <f t="shared" si="2"/>
        <v>4</v>
      </c>
      <c r="AB36" s="185">
        <f t="shared" si="3"/>
        <v>1</v>
      </c>
      <c r="AC36" s="185">
        <f t="shared" si="4"/>
        <v>4</v>
      </c>
      <c r="AD36" s="185">
        <f t="shared" si="5"/>
        <v>8</v>
      </c>
      <c r="AE36" s="61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  <c r="AP36" s="315"/>
      <c r="AQ36" s="315"/>
      <c r="AR36" s="315"/>
      <c r="AS36" s="315"/>
      <c r="AT36" s="315"/>
      <c r="AU36" s="315"/>
      <c r="AV36" s="315"/>
      <c r="AW36" s="315"/>
      <c r="AX36" s="315"/>
      <c r="AY36" s="315"/>
      <c r="AZ36" s="315"/>
      <c r="BA36" s="315"/>
      <c r="BB36" s="315"/>
      <c r="BC36" s="315"/>
      <c r="BD36" s="315"/>
      <c r="BE36" s="315"/>
      <c r="BF36" s="315"/>
      <c r="BG36" s="315"/>
      <c r="BH36" s="315"/>
      <c r="BI36" s="315"/>
      <c r="BJ36" s="315"/>
      <c r="BK36" s="315"/>
      <c r="BL36" s="315"/>
      <c r="BM36" s="315"/>
      <c r="BN36" s="315"/>
      <c r="BO36" s="315"/>
      <c r="BP36" s="315"/>
      <c r="BQ36" s="315"/>
      <c r="BR36" s="315"/>
      <c r="BS36" s="315"/>
      <c r="BT36" s="315"/>
      <c r="BU36" s="315"/>
      <c r="BV36" s="315"/>
      <c r="BW36" s="315"/>
      <c r="BX36" s="315"/>
      <c r="BY36" s="315"/>
      <c r="BZ36" s="315"/>
      <c r="CA36" s="315"/>
      <c r="CB36" s="315"/>
      <c r="CC36" s="315"/>
      <c r="CD36" s="315"/>
      <c r="CE36" s="315"/>
    </row>
    <row r="37" spans="1:83" s="113" customFormat="1" ht="15" customHeight="1" x14ac:dyDescent="0.25">
      <c r="A37" s="315">
        <f t="shared" si="7"/>
        <v>36</v>
      </c>
      <c r="B37" s="314" t="s">
        <v>1120</v>
      </c>
      <c r="C37" s="340">
        <v>5</v>
      </c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340">
        <f t="shared" si="0"/>
        <v>5</v>
      </c>
      <c r="P37" s="438">
        <f t="shared" si="1"/>
        <v>3</v>
      </c>
      <c r="Q37" s="7">
        <v>15</v>
      </c>
      <c r="R37" s="106"/>
      <c r="S37" s="344">
        <v>46296</v>
      </c>
      <c r="T37" s="318">
        <v>0</v>
      </c>
      <c r="U37" s="318"/>
      <c r="V37" s="344">
        <v>45597</v>
      </c>
      <c r="W37" s="309">
        <v>1</v>
      </c>
      <c r="X37" s="122">
        <v>1</v>
      </c>
      <c r="Y37" s="309">
        <v>1</v>
      </c>
      <c r="Z37" s="429">
        <v>1</v>
      </c>
      <c r="AA37" s="184">
        <f t="shared" si="2"/>
        <v>4</v>
      </c>
      <c r="AB37" s="185">
        <f t="shared" si="3"/>
        <v>1</v>
      </c>
      <c r="AC37" s="185">
        <f t="shared" si="4"/>
        <v>4</v>
      </c>
      <c r="AD37" s="185">
        <f t="shared" si="5"/>
        <v>8</v>
      </c>
      <c r="AE37" s="61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  <c r="AT37" s="315"/>
      <c r="AU37" s="315"/>
      <c r="AV37" s="315"/>
      <c r="AW37" s="315"/>
      <c r="AX37" s="315"/>
      <c r="AY37" s="315"/>
      <c r="AZ37" s="315"/>
      <c r="BA37" s="315"/>
      <c r="BB37" s="315"/>
      <c r="BC37" s="315"/>
      <c r="BD37" s="315"/>
      <c r="BE37" s="315"/>
      <c r="BF37" s="315"/>
      <c r="BG37" s="315"/>
      <c r="BH37" s="315"/>
      <c r="BI37" s="315"/>
      <c r="BJ37" s="315"/>
      <c r="BK37" s="315"/>
      <c r="BL37" s="315"/>
      <c r="BM37" s="315"/>
      <c r="BN37" s="315"/>
      <c r="BO37" s="315"/>
      <c r="BP37" s="315"/>
      <c r="BQ37" s="315"/>
      <c r="BR37" s="315"/>
      <c r="BS37" s="315"/>
      <c r="BT37" s="315"/>
      <c r="BU37" s="315"/>
      <c r="BV37" s="315"/>
      <c r="BW37" s="315"/>
      <c r="BX37" s="315"/>
      <c r="BY37" s="315"/>
      <c r="BZ37" s="315"/>
      <c r="CA37" s="315"/>
      <c r="CB37" s="315"/>
      <c r="CC37" s="315"/>
      <c r="CD37" s="315"/>
      <c r="CE37" s="315"/>
    </row>
    <row r="38" spans="1:83" s="113" customFormat="1" ht="15" customHeight="1" x14ac:dyDescent="0.25">
      <c r="A38" s="315">
        <f t="shared" si="7"/>
        <v>37</v>
      </c>
      <c r="B38" s="3" t="s">
        <v>545</v>
      </c>
      <c r="C38" s="340">
        <v>2</v>
      </c>
      <c r="D38" s="359"/>
      <c r="E38" s="478"/>
      <c r="F38" s="359"/>
      <c r="G38" s="478"/>
      <c r="H38" s="359"/>
      <c r="I38" s="478"/>
      <c r="J38" s="359"/>
      <c r="K38" s="478">
        <v>1</v>
      </c>
      <c r="L38" s="362"/>
      <c r="M38" s="499"/>
      <c r="N38" s="561"/>
      <c r="O38" s="340">
        <f t="shared" si="0"/>
        <v>1</v>
      </c>
      <c r="P38" s="438">
        <f t="shared" si="1"/>
        <v>4.4000000000000004</v>
      </c>
      <c r="Q38" s="44">
        <v>52</v>
      </c>
      <c r="R38" s="73"/>
      <c r="S38" s="175">
        <v>46569</v>
      </c>
      <c r="T38" s="308">
        <v>0</v>
      </c>
      <c r="U38" s="120"/>
      <c r="V38" s="199">
        <v>45627</v>
      </c>
      <c r="W38" s="309">
        <v>0.3</v>
      </c>
      <c r="X38" s="122">
        <v>0.4</v>
      </c>
      <c r="Y38" s="309">
        <v>1</v>
      </c>
      <c r="Z38" s="429">
        <v>1</v>
      </c>
      <c r="AA38" s="184">
        <f t="shared" si="2"/>
        <v>2.7</v>
      </c>
      <c r="AB38" s="185">
        <f t="shared" si="3"/>
        <v>0.67500000000000004</v>
      </c>
      <c r="AC38" s="185">
        <f t="shared" si="4"/>
        <v>2.7</v>
      </c>
      <c r="AD38" s="185">
        <f t="shared" si="5"/>
        <v>5.4</v>
      </c>
      <c r="AE38" s="61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  <c r="AP38" s="315"/>
      <c r="AQ38" s="315"/>
      <c r="AR38" s="315"/>
      <c r="AS38" s="315"/>
      <c r="AT38" s="315"/>
      <c r="AU38" s="315"/>
      <c r="AV38" s="315"/>
      <c r="AW38" s="315"/>
      <c r="AX38" s="315"/>
      <c r="AY38" s="315"/>
      <c r="AZ38" s="315"/>
      <c r="BA38" s="315"/>
      <c r="BB38" s="315"/>
      <c r="BC38" s="315"/>
      <c r="BD38" s="315"/>
      <c r="BE38" s="315"/>
      <c r="BF38" s="315"/>
      <c r="BG38" s="315"/>
      <c r="BH38" s="315"/>
      <c r="BI38" s="315"/>
      <c r="BJ38" s="315"/>
      <c r="BK38" s="315"/>
      <c r="BL38" s="315"/>
      <c r="BM38" s="315"/>
      <c r="BN38" s="315"/>
      <c r="BO38" s="315"/>
      <c r="BP38" s="315"/>
      <c r="BQ38" s="315"/>
      <c r="BR38" s="315"/>
      <c r="BS38" s="315"/>
      <c r="BT38" s="315"/>
      <c r="BU38" s="315"/>
      <c r="BV38" s="315"/>
      <c r="BW38" s="315"/>
      <c r="BX38" s="315"/>
      <c r="BY38" s="315"/>
      <c r="BZ38" s="315"/>
      <c r="CA38" s="315"/>
      <c r="CB38" s="315"/>
      <c r="CC38" s="315"/>
      <c r="CD38" s="315"/>
      <c r="CE38" s="315"/>
    </row>
    <row r="39" spans="1:83" ht="15" customHeight="1" x14ac:dyDescent="0.25">
      <c r="A39" s="315">
        <f t="shared" si="7"/>
        <v>38</v>
      </c>
      <c r="B39" s="3" t="s">
        <v>76</v>
      </c>
      <c r="C39" s="340">
        <v>1</v>
      </c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340">
        <f t="shared" si="0"/>
        <v>1</v>
      </c>
      <c r="P39" s="438">
        <f t="shared" si="1"/>
        <v>7</v>
      </c>
      <c r="Q39" s="7">
        <v>66</v>
      </c>
      <c r="R39" s="106"/>
      <c r="S39" s="175">
        <v>46235</v>
      </c>
      <c r="T39" s="308">
        <v>2</v>
      </c>
      <c r="U39" s="120"/>
      <c r="V39" s="199">
        <v>45505</v>
      </c>
      <c r="W39" s="309">
        <v>1</v>
      </c>
      <c r="X39" s="122">
        <v>1</v>
      </c>
      <c r="Y39" s="309">
        <v>1</v>
      </c>
      <c r="Z39" s="429">
        <v>1</v>
      </c>
      <c r="AA39" s="184">
        <f t="shared" si="2"/>
        <v>4</v>
      </c>
      <c r="AB39" s="185">
        <f t="shared" si="3"/>
        <v>1</v>
      </c>
      <c r="AC39" s="185">
        <f t="shared" si="4"/>
        <v>4</v>
      </c>
      <c r="AD39" s="185">
        <f t="shared" si="5"/>
        <v>8</v>
      </c>
      <c r="AE39" s="61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15"/>
      <c r="BL39" s="315"/>
      <c r="BM39" s="315"/>
      <c r="BN39" s="315"/>
      <c r="BO39" s="315"/>
      <c r="BP39" s="315"/>
      <c r="BQ39" s="315"/>
      <c r="BR39" s="315"/>
      <c r="BS39" s="315"/>
      <c r="BT39" s="315"/>
      <c r="BU39" s="315"/>
      <c r="BV39" s="315"/>
      <c r="BW39" s="315"/>
      <c r="BX39" s="315"/>
      <c r="BY39" s="315"/>
      <c r="BZ39" s="315"/>
      <c r="CA39" s="315"/>
      <c r="CB39" s="315"/>
      <c r="CC39" s="315"/>
      <c r="CD39" s="315"/>
      <c r="CE39" s="315"/>
    </row>
    <row r="40" spans="1:83" s="113" customFormat="1" ht="15" customHeight="1" x14ac:dyDescent="0.25">
      <c r="A40" s="315">
        <f t="shared" si="7"/>
        <v>39</v>
      </c>
      <c r="B40" s="3" t="s">
        <v>163</v>
      </c>
      <c r="C40" s="340">
        <v>1</v>
      </c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340">
        <f t="shared" si="0"/>
        <v>1</v>
      </c>
      <c r="P40" s="438">
        <f t="shared" si="1"/>
        <v>7</v>
      </c>
      <c r="Q40" s="7">
        <v>35</v>
      </c>
      <c r="R40" s="73"/>
      <c r="S40" s="344">
        <v>46539</v>
      </c>
      <c r="T40" s="318">
        <v>1</v>
      </c>
      <c r="U40" s="318">
        <v>1</v>
      </c>
      <c r="V40" s="199">
        <v>45717</v>
      </c>
      <c r="W40" s="309">
        <v>1</v>
      </c>
      <c r="X40" s="309">
        <v>1</v>
      </c>
      <c r="Y40" s="309">
        <v>1</v>
      </c>
      <c r="Z40" s="429">
        <v>1</v>
      </c>
      <c r="AA40" s="184">
        <f t="shared" si="2"/>
        <v>4</v>
      </c>
      <c r="AB40" s="185">
        <f t="shared" si="3"/>
        <v>1</v>
      </c>
      <c r="AC40" s="185">
        <f t="shared" si="4"/>
        <v>4</v>
      </c>
      <c r="AD40" s="185">
        <f t="shared" si="5"/>
        <v>8</v>
      </c>
      <c r="AE40" s="61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  <c r="AP40" s="315"/>
      <c r="AQ40" s="315"/>
      <c r="AR40" s="315"/>
      <c r="AS40" s="315"/>
      <c r="AT40" s="315"/>
      <c r="AU40" s="315"/>
      <c r="AV40" s="315"/>
      <c r="AW40" s="315"/>
      <c r="AX40" s="315"/>
      <c r="AY40" s="315"/>
      <c r="AZ40" s="315"/>
      <c r="BA40" s="315"/>
      <c r="BB40" s="315"/>
      <c r="BC40" s="315"/>
      <c r="BD40" s="315"/>
      <c r="BE40" s="315"/>
      <c r="BF40" s="315"/>
      <c r="BG40" s="315"/>
      <c r="BH40" s="315"/>
      <c r="BI40" s="315"/>
      <c r="BJ40" s="315"/>
      <c r="BK40" s="315"/>
      <c r="BL40" s="315"/>
      <c r="BM40" s="315"/>
      <c r="BN40" s="315"/>
      <c r="BO40" s="315"/>
      <c r="BP40" s="315"/>
      <c r="BQ40" s="315"/>
      <c r="BR40" s="315"/>
      <c r="BS40" s="315"/>
      <c r="BT40" s="315"/>
      <c r="BU40" s="315"/>
      <c r="BV40" s="315"/>
      <c r="BW40" s="315"/>
      <c r="BX40" s="315"/>
      <c r="BY40" s="315"/>
      <c r="BZ40" s="315"/>
      <c r="CA40" s="315"/>
      <c r="CB40" s="315"/>
      <c r="CC40" s="315"/>
      <c r="CD40" s="315"/>
      <c r="CE40" s="315"/>
    </row>
    <row r="41" spans="1:83" s="113" customFormat="1" ht="15" customHeight="1" x14ac:dyDescent="0.25">
      <c r="A41" s="315">
        <f t="shared" si="7"/>
        <v>40</v>
      </c>
      <c r="B41" s="3" t="s">
        <v>1121</v>
      </c>
      <c r="C41" s="340">
        <v>6</v>
      </c>
      <c r="D41" s="359"/>
      <c r="E41" s="478"/>
      <c r="F41" s="359"/>
      <c r="G41" s="478"/>
      <c r="H41" s="359"/>
      <c r="I41" s="478"/>
      <c r="J41" s="359"/>
      <c r="K41" s="502"/>
      <c r="L41" s="359"/>
      <c r="M41" s="478"/>
      <c r="N41" s="561"/>
      <c r="O41" s="340">
        <f t="shared" si="0"/>
        <v>6</v>
      </c>
      <c r="P41" s="438">
        <f t="shared" si="1"/>
        <v>26</v>
      </c>
      <c r="Q41" s="7">
        <v>33</v>
      </c>
      <c r="R41" s="106"/>
      <c r="S41" s="175">
        <v>46844</v>
      </c>
      <c r="T41" s="308">
        <v>3</v>
      </c>
      <c r="U41" s="120">
        <v>2</v>
      </c>
      <c r="V41" s="344">
        <v>45717</v>
      </c>
      <c r="W41" s="309">
        <v>2</v>
      </c>
      <c r="X41" s="122">
        <v>9</v>
      </c>
      <c r="Y41" s="309">
        <v>2</v>
      </c>
      <c r="Z41" s="429">
        <v>3</v>
      </c>
      <c r="AA41" s="184">
        <f t="shared" si="2"/>
        <v>16</v>
      </c>
      <c r="AB41" s="185">
        <f t="shared" si="3"/>
        <v>4</v>
      </c>
      <c r="AC41" s="185">
        <f t="shared" si="4"/>
        <v>16</v>
      </c>
      <c r="AD41" s="185">
        <f t="shared" si="5"/>
        <v>32</v>
      </c>
      <c r="AE41" s="61"/>
      <c r="AF41" s="315"/>
      <c r="AG41" s="315"/>
      <c r="AH41" s="315"/>
      <c r="AI41" s="315"/>
      <c r="AJ41" s="315"/>
      <c r="AK41" s="315"/>
      <c r="AL41" s="315"/>
      <c r="AM41" s="315"/>
      <c r="AN41" s="315"/>
      <c r="AO41" s="315"/>
      <c r="AP41" s="315"/>
      <c r="AQ41" s="315"/>
      <c r="AR41" s="315"/>
      <c r="AS41" s="315"/>
      <c r="AT41" s="315"/>
      <c r="AU41" s="315"/>
      <c r="AV41" s="315"/>
      <c r="AW41" s="315"/>
      <c r="AX41" s="315"/>
      <c r="AY41" s="315"/>
      <c r="AZ41" s="315"/>
      <c r="BA41" s="315"/>
      <c r="BB41" s="315"/>
      <c r="BC41" s="315"/>
      <c r="BD41" s="315"/>
      <c r="BE41" s="315"/>
      <c r="BF41" s="315"/>
      <c r="BG41" s="315"/>
      <c r="BH41" s="315"/>
      <c r="BI41" s="315"/>
      <c r="BJ41" s="315"/>
      <c r="BK41" s="315"/>
      <c r="BL41" s="315"/>
      <c r="BM41" s="315"/>
      <c r="BN41" s="315"/>
      <c r="BO41" s="315"/>
      <c r="BP41" s="315"/>
      <c r="BQ41" s="315"/>
      <c r="BR41" s="315"/>
      <c r="BS41" s="315"/>
      <c r="BT41" s="315"/>
      <c r="BU41" s="315"/>
      <c r="BV41" s="315"/>
      <c r="BW41" s="315"/>
      <c r="BX41" s="315"/>
      <c r="BY41" s="315"/>
      <c r="BZ41" s="315"/>
      <c r="CA41" s="315"/>
      <c r="CB41" s="315"/>
      <c r="CC41" s="315"/>
      <c r="CD41" s="315"/>
      <c r="CE41" s="315"/>
    </row>
    <row r="42" spans="1:83" ht="15" customHeight="1" x14ac:dyDescent="0.25">
      <c r="A42" s="315">
        <f t="shared" si="7"/>
        <v>41</v>
      </c>
      <c r="B42" s="3" t="s">
        <v>1122</v>
      </c>
      <c r="C42" s="340">
        <v>9</v>
      </c>
      <c r="D42" s="359"/>
      <c r="E42" s="478">
        <v>1</v>
      </c>
      <c r="F42" s="359"/>
      <c r="G42" s="478"/>
      <c r="H42" s="359"/>
      <c r="I42" s="478">
        <v>1</v>
      </c>
      <c r="J42" s="359"/>
      <c r="K42" s="478"/>
      <c r="L42" s="359"/>
      <c r="M42" s="478"/>
      <c r="N42" s="561"/>
      <c r="O42" s="340">
        <f t="shared" si="0"/>
        <v>7</v>
      </c>
      <c r="P42" s="438">
        <f t="shared" si="1"/>
        <v>7</v>
      </c>
      <c r="Q42" s="7">
        <v>7</v>
      </c>
      <c r="R42" s="106"/>
      <c r="S42" s="344">
        <v>46054</v>
      </c>
      <c r="T42" s="308">
        <v>1</v>
      </c>
      <c r="U42" s="318">
        <v>1</v>
      </c>
      <c r="V42" s="199">
        <v>45717</v>
      </c>
      <c r="W42" s="309">
        <v>1</v>
      </c>
      <c r="X42" s="122">
        <v>1</v>
      </c>
      <c r="Y42" s="309">
        <v>3</v>
      </c>
      <c r="Z42" s="429">
        <v>2</v>
      </c>
      <c r="AA42" s="184">
        <f t="shared" si="2"/>
        <v>7</v>
      </c>
      <c r="AB42" s="185">
        <f t="shared" si="3"/>
        <v>1.75</v>
      </c>
      <c r="AC42" s="185">
        <f t="shared" si="4"/>
        <v>7</v>
      </c>
      <c r="AD42" s="185">
        <f t="shared" si="5"/>
        <v>14</v>
      </c>
      <c r="AE42" s="61"/>
      <c r="AF42" s="315"/>
      <c r="AG42" s="315"/>
      <c r="AH42" s="315"/>
      <c r="AI42" s="315"/>
      <c r="AJ42" s="315"/>
      <c r="AK42" s="315"/>
      <c r="AL42" s="315"/>
      <c r="AM42" s="315"/>
      <c r="AN42" s="315"/>
      <c r="AO42" s="315"/>
      <c r="AP42" s="315"/>
      <c r="AQ42" s="315"/>
      <c r="AR42" s="315"/>
      <c r="AS42" s="315"/>
      <c r="AT42" s="315"/>
      <c r="AU42" s="315"/>
      <c r="AV42" s="315"/>
      <c r="AW42" s="315"/>
      <c r="AX42" s="315"/>
      <c r="AY42" s="315"/>
      <c r="AZ42" s="315"/>
      <c r="BA42" s="315"/>
      <c r="BB42" s="315"/>
      <c r="BC42" s="315"/>
      <c r="BD42" s="315"/>
      <c r="BE42" s="315"/>
      <c r="BF42" s="315"/>
      <c r="BG42" s="315"/>
      <c r="BH42" s="315"/>
      <c r="BI42" s="315"/>
      <c r="BJ42" s="315"/>
      <c r="BK42" s="315"/>
      <c r="BL42" s="315"/>
      <c r="BM42" s="315"/>
      <c r="BN42" s="315"/>
      <c r="BO42" s="315"/>
      <c r="BP42" s="315"/>
      <c r="BQ42" s="315"/>
      <c r="BR42" s="315"/>
      <c r="BS42" s="315"/>
      <c r="BT42" s="315"/>
      <c r="BU42" s="315"/>
      <c r="BV42" s="315"/>
      <c r="BW42" s="315"/>
      <c r="BX42" s="315"/>
      <c r="BY42" s="315"/>
      <c r="BZ42" s="315"/>
      <c r="CA42" s="315"/>
      <c r="CB42" s="315"/>
      <c r="CC42" s="315"/>
      <c r="CD42" s="315"/>
      <c r="CE42" s="315"/>
    </row>
    <row r="43" spans="1:83" x14ac:dyDescent="0.25">
      <c r="A43" s="315">
        <f t="shared" si="7"/>
        <v>42</v>
      </c>
      <c r="B43" s="314" t="s">
        <v>968</v>
      </c>
      <c r="C43" s="340">
        <v>37</v>
      </c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340">
        <f t="shared" si="0"/>
        <v>37</v>
      </c>
      <c r="P43" s="438">
        <f t="shared" si="1"/>
        <v>7</v>
      </c>
      <c r="Q43" s="7">
        <v>2.5</v>
      </c>
      <c r="R43" s="106"/>
      <c r="S43" s="344">
        <v>46143</v>
      </c>
      <c r="T43" s="318">
        <v>2</v>
      </c>
      <c r="U43" s="316"/>
      <c r="V43" s="344">
        <v>45689</v>
      </c>
      <c r="W43" s="309">
        <v>6</v>
      </c>
      <c r="X43" s="122">
        <v>1</v>
      </c>
      <c r="Y43" s="309">
        <v>10</v>
      </c>
      <c r="Z43" s="429">
        <v>5</v>
      </c>
      <c r="AA43" s="184">
        <f t="shared" si="2"/>
        <v>22</v>
      </c>
      <c r="AB43" s="185">
        <f t="shared" si="3"/>
        <v>5.5</v>
      </c>
      <c r="AC43" s="185">
        <f t="shared" si="4"/>
        <v>22</v>
      </c>
      <c r="AD43" s="185">
        <f t="shared" si="5"/>
        <v>44</v>
      </c>
      <c r="AE43" s="61"/>
      <c r="AF43" s="315"/>
      <c r="AG43" s="315"/>
      <c r="AH43" s="315"/>
      <c r="AI43" s="315"/>
      <c r="AJ43" s="315"/>
      <c r="AK43" s="315"/>
      <c r="AL43" s="315"/>
      <c r="AM43" s="315"/>
      <c r="AN43" s="315"/>
      <c r="AO43" s="315"/>
      <c r="AP43" s="315"/>
      <c r="AQ43" s="315"/>
      <c r="AR43" s="315"/>
      <c r="AS43" s="315"/>
      <c r="AT43" s="315"/>
      <c r="AU43" s="315"/>
      <c r="AV43" s="315"/>
      <c r="AW43" s="315"/>
      <c r="AX43" s="315"/>
      <c r="AY43" s="315"/>
      <c r="AZ43" s="315"/>
      <c r="BA43" s="315"/>
      <c r="BB43" s="315"/>
      <c r="BC43" s="315"/>
      <c r="BD43" s="315"/>
      <c r="BE43" s="315"/>
      <c r="BF43" s="315"/>
      <c r="BG43" s="315"/>
      <c r="BH43" s="315"/>
      <c r="BI43" s="315"/>
      <c r="BJ43" s="315"/>
      <c r="BK43" s="315"/>
      <c r="BL43" s="315"/>
      <c r="BM43" s="315"/>
      <c r="BN43" s="315"/>
      <c r="BO43" s="315"/>
      <c r="BP43" s="315"/>
      <c r="BQ43" s="315"/>
      <c r="BR43" s="315"/>
      <c r="BS43" s="315"/>
      <c r="BT43" s="315"/>
      <c r="BU43" s="315"/>
      <c r="BV43" s="315"/>
      <c r="BW43" s="315"/>
      <c r="BX43" s="315"/>
      <c r="BY43" s="315"/>
      <c r="BZ43" s="315"/>
      <c r="CA43" s="315"/>
      <c r="CB43" s="315"/>
      <c r="CC43" s="315"/>
      <c r="CD43" s="315"/>
      <c r="CE43" s="315"/>
    </row>
    <row r="44" spans="1:83" s="113" customFormat="1" ht="15" customHeight="1" x14ac:dyDescent="0.25">
      <c r="A44" s="315">
        <f t="shared" si="7"/>
        <v>43</v>
      </c>
      <c r="B44" s="651" t="s">
        <v>1007</v>
      </c>
      <c r="C44" s="653">
        <v>44</v>
      </c>
      <c r="D44" s="359"/>
      <c r="E44" s="478"/>
      <c r="F44" s="359"/>
      <c r="G44" s="478">
        <v>4</v>
      </c>
      <c r="H44" s="359"/>
      <c r="I44" s="478"/>
      <c r="J44" s="359"/>
      <c r="K44" s="478"/>
      <c r="L44" s="359">
        <v>1</v>
      </c>
      <c r="M44" s="478">
        <v>1</v>
      </c>
      <c r="N44" s="561"/>
      <c r="O44" s="340">
        <f t="shared" si="0"/>
        <v>38</v>
      </c>
      <c r="P44" s="340">
        <f t="shared" si="1"/>
        <v>-2</v>
      </c>
      <c r="Q44" s="7">
        <v>4.33</v>
      </c>
      <c r="R44" s="68"/>
      <c r="S44" s="655">
        <v>45839</v>
      </c>
      <c r="T44" s="308">
        <v>0</v>
      </c>
      <c r="U44" s="120"/>
      <c r="V44" s="199">
        <v>45658</v>
      </c>
      <c r="W44" s="309">
        <v>3</v>
      </c>
      <c r="X44" s="122">
        <v>2</v>
      </c>
      <c r="Y44" s="309">
        <v>7</v>
      </c>
      <c r="Z44" s="429">
        <v>6</v>
      </c>
      <c r="AA44" s="184">
        <f t="shared" si="2"/>
        <v>18</v>
      </c>
      <c r="AB44" s="185">
        <f t="shared" si="3"/>
        <v>4.5</v>
      </c>
      <c r="AC44" s="185">
        <f t="shared" si="4"/>
        <v>18</v>
      </c>
      <c r="AD44" s="185">
        <f t="shared" si="5"/>
        <v>36</v>
      </c>
      <c r="AE44" s="61"/>
      <c r="AF44" s="315"/>
      <c r="AG44" s="315"/>
      <c r="AH44" s="315"/>
      <c r="AI44" s="315"/>
      <c r="AJ44" s="315"/>
      <c r="AK44" s="315"/>
      <c r="AL44" s="315"/>
      <c r="AM44" s="315"/>
      <c r="AN44" s="315"/>
      <c r="AO44" s="315"/>
      <c r="AP44" s="315"/>
      <c r="AQ44" s="315"/>
      <c r="AR44" s="315"/>
      <c r="AS44" s="315"/>
      <c r="AT44" s="315"/>
      <c r="AU44" s="315"/>
      <c r="AV44" s="315"/>
      <c r="AW44" s="315"/>
      <c r="AX44" s="315"/>
      <c r="AY44" s="315"/>
      <c r="AZ44" s="315"/>
      <c r="BA44" s="315"/>
      <c r="BB44" s="315"/>
      <c r="BC44" s="315"/>
      <c r="BD44" s="315"/>
      <c r="BE44" s="315"/>
      <c r="BF44" s="315"/>
      <c r="BG44" s="315"/>
      <c r="BH44" s="315"/>
      <c r="BI44" s="315"/>
      <c r="BJ44" s="315"/>
      <c r="BK44" s="315"/>
      <c r="BL44" s="315"/>
      <c r="BM44" s="315"/>
      <c r="BN44" s="315"/>
      <c r="BO44" s="315"/>
      <c r="BP44" s="315"/>
      <c r="BQ44" s="315"/>
      <c r="BR44" s="315"/>
      <c r="BS44" s="315"/>
      <c r="BT44" s="315"/>
      <c r="BU44" s="315"/>
      <c r="BV44" s="315"/>
      <c r="BW44" s="315"/>
      <c r="BX44" s="315"/>
      <c r="BY44" s="315"/>
      <c r="BZ44" s="315"/>
      <c r="CA44" s="315"/>
      <c r="CB44" s="315"/>
      <c r="CC44" s="315"/>
      <c r="CD44" s="315"/>
      <c r="CE44" s="315"/>
    </row>
    <row r="45" spans="1:83" ht="15" customHeight="1" x14ac:dyDescent="0.25">
      <c r="A45" s="315">
        <f t="shared" si="7"/>
        <v>44</v>
      </c>
      <c r="B45" s="3" t="s">
        <v>161</v>
      </c>
      <c r="C45" s="340">
        <v>6</v>
      </c>
      <c r="D45" s="359"/>
      <c r="E45" s="478"/>
      <c r="F45" s="360"/>
      <c r="G45" s="480"/>
      <c r="H45" s="360"/>
      <c r="I45" s="480"/>
      <c r="J45" s="360"/>
      <c r="K45" s="480"/>
      <c r="L45" s="360"/>
      <c r="M45" s="480"/>
      <c r="N45" s="562"/>
      <c r="O45" s="340">
        <f t="shared" si="0"/>
        <v>6</v>
      </c>
      <c r="P45" s="438">
        <f t="shared" si="1"/>
        <v>6</v>
      </c>
      <c r="Q45" s="7">
        <v>32</v>
      </c>
      <c r="R45" s="63"/>
      <c r="S45" s="344">
        <v>46508</v>
      </c>
      <c r="T45" s="308">
        <v>4</v>
      </c>
      <c r="U45" s="120"/>
      <c r="V45" s="199">
        <v>45689</v>
      </c>
      <c r="W45" s="309">
        <v>2</v>
      </c>
      <c r="X45" s="122">
        <v>1</v>
      </c>
      <c r="Y45" s="309">
        <v>1</v>
      </c>
      <c r="Z45" s="429">
        <v>2</v>
      </c>
      <c r="AA45" s="184">
        <f t="shared" si="2"/>
        <v>6</v>
      </c>
      <c r="AB45" s="185">
        <f t="shared" si="3"/>
        <v>1.5</v>
      </c>
      <c r="AC45" s="185">
        <f t="shared" si="4"/>
        <v>6</v>
      </c>
      <c r="AD45" s="185">
        <f t="shared" si="5"/>
        <v>12</v>
      </c>
      <c r="AE45" s="61"/>
      <c r="AF45" s="315"/>
      <c r="AG45" s="315"/>
      <c r="AH45" s="315"/>
      <c r="AI45" s="315"/>
      <c r="AJ45" s="315"/>
      <c r="AK45" s="315"/>
      <c r="AL45" s="315"/>
      <c r="AM45" s="315"/>
      <c r="AN45" s="315"/>
      <c r="AO45" s="315"/>
      <c r="AP45" s="315"/>
      <c r="AQ45" s="315"/>
      <c r="AR45" s="315"/>
      <c r="AS45" s="315"/>
      <c r="AT45" s="315"/>
      <c r="AU45" s="315"/>
      <c r="AV45" s="315"/>
      <c r="AW45" s="315"/>
      <c r="AX45" s="315"/>
      <c r="AY45" s="315"/>
      <c r="AZ45" s="315"/>
      <c r="BA45" s="315"/>
      <c r="BB45" s="315"/>
      <c r="BC45" s="315"/>
      <c r="BD45" s="315"/>
      <c r="BE45" s="315"/>
      <c r="BF45" s="315"/>
      <c r="BG45" s="315"/>
      <c r="BH45" s="315"/>
      <c r="BI45" s="315"/>
      <c r="BJ45" s="315"/>
      <c r="BK45" s="315"/>
      <c r="BL45" s="315"/>
      <c r="BM45" s="315"/>
      <c r="BN45" s="315"/>
      <c r="BO45" s="315"/>
      <c r="BP45" s="315"/>
      <c r="BQ45" s="315"/>
      <c r="BR45" s="315"/>
      <c r="BS45" s="315"/>
      <c r="BT45" s="315"/>
      <c r="BU45" s="315"/>
      <c r="BV45" s="315"/>
      <c r="BW45" s="315"/>
      <c r="BX45" s="315"/>
      <c r="BY45" s="315"/>
      <c r="BZ45" s="315"/>
      <c r="CA45" s="315"/>
      <c r="CB45" s="315"/>
      <c r="CC45" s="315"/>
      <c r="CD45" s="315"/>
      <c r="CE45" s="315"/>
    </row>
    <row r="46" spans="1:83" s="113" customFormat="1" ht="15" customHeight="1" x14ac:dyDescent="0.25">
      <c r="A46" s="315">
        <f t="shared" si="7"/>
        <v>45</v>
      </c>
      <c r="B46" s="3" t="s">
        <v>246</v>
      </c>
      <c r="C46" s="340">
        <v>3</v>
      </c>
      <c r="D46" s="359"/>
      <c r="E46" s="478"/>
      <c r="F46" s="359"/>
      <c r="G46" s="478"/>
      <c r="H46" s="359"/>
      <c r="I46" s="478"/>
      <c r="J46" s="359"/>
      <c r="K46" s="478"/>
      <c r="L46" s="359"/>
      <c r="M46" s="478"/>
      <c r="N46" s="561"/>
      <c r="O46" s="340">
        <f t="shared" si="0"/>
        <v>3</v>
      </c>
      <c r="P46" s="438">
        <f t="shared" si="1"/>
        <v>7</v>
      </c>
      <c r="Q46" s="7">
        <v>28</v>
      </c>
      <c r="R46" s="63" t="s">
        <v>77</v>
      </c>
      <c r="S46" s="344">
        <v>46204</v>
      </c>
      <c r="T46" s="308">
        <v>3</v>
      </c>
      <c r="U46" s="120"/>
      <c r="V46" s="344">
        <v>45689</v>
      </c>
      <c r="W46" s="309">
        <v>1</v>
      </c>
      <c r="X46" s="122">
        <v>1</v>
      </c>
      <c r="Y46" s="309">
        <v>1</v>
      </c>
      <c r="Z46" s="429">
        <v>2</v>
      </c>
      <c r="AA46" s="184">
        <f t="shared" si="2"/>
        <v>5</v>
      </c>
      <c r="AB46" s="185">
        <f t="shared" si="3"/>
        <v>1.25</v>
      </c>
      <c r="AC46" s="185">
        <f t="shared" si="4"/>
        <v>5</v>
      </c>
      <c r="AD46" s="185">
        <f t="shared" si="5"/>
        <v>10</v>
      </c>
      <c r="AE46" s="61"/>
      <c r="AF46" s="315"/>
      <c r="AG46" s="315"/>
      <c r="AH46" s="315"/>
      <c r="AI46" s="315"/>
      <c r="AJ46" s="315"/>
      <c r="AK46" s="315"/>
      <c r="AL46" s="315"/>
      <c r="AM46" s="315"/>
      <c r="AN46" s="315"/>
      <c r="AO46" s="315"/>
      <c r="AP46" s="315"/>
      <c r="AQ46" s="315"/>
      <c r="AR46" s="315"/>
      <c r="AS46" s="315"/>
      <c r="AT46" s="315"/>
      <c r="AU46" s="315"/>
      <c r="AV46" s="315"/>
      <c r="AW46" s="315"/>
      <c r="AX46" s="315"/>
      <c r="AY46" s="315"/>
      <c r="AZ46" s="315"/>
      <c r="BA46" s="315"/>
      <c r="BB46" s="315"/>
      <c r="BC46" s="315"/>
      <c r="BD46" s="315"/>
      <c r="BE46" s="315"/>
      <c r="BF46" s="315"/>
      <c r="BG46" s="315"/>
      <c r="BH46" s="315"/>
      <c r="BI46" s="315"/>
      <c r="BJ46" s="315"/>
      <c r="BK46" s="315"/>
      <c r="BL46" s="315"/>
      <c r="BM46" s="315"/>
      <c r="BN46" s="315"/>
      <c r="BO46" s="315"/>
      <c r="BP46" s="315"/>
      <c r="BQ46" s="315"/>
      <c r="BR46" s="315"/>
      <c r="BS46" s="315"/>
      <c r="BT46" s="315"/>
      <c r="BU46" s="315"/>
      <c r="BV46" s="315"/>
      <c r="BW46" s="315"/>
      <c r="BX46" s="315"/>
      <c r="BY46" s="315"/>
      <c r="BZ46" s="315"/>
      <c r="CA46" s="315"/>
      <c r="CB46" s="315"/>
      <c r="CC46" s="315"/>
      <c r="CD46" s="315"/>
      <c r="CE46" s="315"/>
    </row>
    <row r="47" spans="1:83" ht="15" customHeight="1" x14ac:dyDescent="0.25">
      <c r="A47" s="315">
        <f t="shared" si="7"/>
        <v>46</v>
      </c>
      <c r="B47" s="3" t="s">
        <v>71</v>
      </c>
      <c r="C47" s="340">
        <v>4</v>
      </c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340">
        <f t="shared" si="0"/>
        <v>4</v>
      </c>
      <c r="P47" s="438">
        <f t="shared" si="1"/>
        <v>6</v>
      </c>
      <c r="Q47" s="7">
        <v>24</v>
      </c>
      <c r="R47" s="106" t="s">
        <v>77</v>
      </c>
      <c r="S47" s="344">
        <v>46235</v>
      </c>
      <c r="T47" s="308">
        <v>1</v>
      </c>
      <c r="U47" s="120"/>
      <c r="V47" s="344">
        <v>45689</v>
      </c>
      <c r="W47" s="309">
        <v>1</v>
      </c>
      <c r="X47" s="122">
        <v>2</v>
      </c>
      <c r="Y47" s="309">
        <v>1</v>
      </c>
      <c r="Z47" s="429">
        <v>1</v>
      </c>
      <c r="AA47" s="184">
        <f t="shared" si="2"/>
        <v>5</v>
      </c>
      <c r="AB47" s="185">
        <f t="shared" si="3"/>
        <v>1.25</v>
      </c>
      <c r="AC47" s="185">
        <f t="shared" si="4"/>
        <v>5</v>
      </c>
      <c r="AD47" s="185">
        <f t="shared" si="5"/>
        <v>10</v>
      </c>
      <c r="AE47" s="61"/>
      <c r="AF47" s="315"/>
      <c r="AG47" s="315"/>
      <c r="AH47" s="315"/>
      <c r="AI47" s="315"/>
      <c r="AJ47" s="315"/>
      <c r="AK47" s="315"/>
      <c r="AL47" s="315"/>
      <c r="AM47" s="315"/>
      <c r="AN47" s="315"/>
      <c r="AO47" s="315"/>
      <c r="AP47" s="315"/>
      <c r="AQ47" s="315"/>
      <c r="AR47" s="315"/>
      <c r="AS47" s="315"/>
      <c r="AT47" s="315"/>
      <c r="AU47" s="315"/>
      <c r="AV47" s="315"/>
      <c r="AW47" s="315"/>
      <c r="AX47" s="315"/>
      <c r="AY47" s="315"/>
      <c r="AZ47" s="315"/>
      <c r="BA47" s="315"/>
      <c r="BB47" s="315"/>
      <c r="BC47" s="315"/>
      <c r="BD47" s="315"/>
      <c r="BE47" s="315"/>
      <c r="BF47" s="315"/>
      <c r="BG47" s="315"/>
      <c r="BH47" s="315"/>
      <c r="BI47" s="315"/>
      <c r="BJ47" s="315"/>
      <c r="BK47" s="315"/>
      <c r="BL47" s="315"/>
      <c r="BM47" s="315"/>
      <c r="BN47" s="315"/>
      <c r="BO47" s="315"/>
      <c r="BP47" s="315"/>
      <c r="BQ47" s="315"/>
      <c r="BR47" s="315"/>
      <c r="BS47" s="315"/>
      <c r="BT47" s="315"/>
      <c r="BU47" s="315"/>
      <c r="BV47" s="315"/>
      <c r="BW47" s="315"/>
      <c r="BX47" s="315"/>
      <c r="BY47" s="315"/>
      <c r="BZ47" s="315"/>
      <c r="CA47" s="315"/>
      <c r="CB47" s="315"/>
      <c r="CC47" s="315"/>
      <c r="CD47" s="315"/>
      <c r="CE47" s="315"/>
    </row>
    <row r="48" spans="1:83" x14ac:dyDescent="0.25">
      <c r="A48" s="315">
        <f t="shared" si="7"/>
        <v>47</v>
      </c>
      <c r="B48" s="3" t="s">
        <v>150</v>
      </c>
      <c r="C48" s="340">
        <v>2</v>
      </c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340">
        <f t="shared" si="0"/>
        <v>2</v>
      </c>
      <c r="P48" s="438">
        <f t="shared" si="1"/>
        <v>8</v>
      </c>
      <c r="Q48" s="7">
        <v>16</v>
      </c>
      <c r="R48" s="106"/>
      <c r="S48" s="344">
        <v>46143</v>
      </c>
      <c r="T48" s="318">
        <v>0</v>
      </c>
      <c r="U48" s="318"/>
      <c r="V48" s="199">
        <v>45689</v>
      </c>
      <c r="W48" s="309">
        <v>1</v>
      </c>
      <c r="X48" s="309">
        <v>1</v>
      </c>
      <c r="Y48" s="309">
        <v>2</v>
      </c>
      <c r="Z48" s="429">
        <v>1</v>
      </c>
      <c r="AA48" s="184">
        <f t="shared" si="2"/>
        <v>5</v>
      </c>
      <c r="AB48" s="185">
        <f t="shared" si="3"/>
        <v>1.25</v>
      </c>
      <c r="AC48" s="185">
        <f t="shared" si="4"/>
        <v>5</v>
      </c>
      <c r="AD48" s="185">
        <f t="shared" si="5"/>
        <v>10</v>
      </c>
      <c r="AE48" s="61"/>
      <c r="AF48" s="315"/>
      <c r="AG48" s="315"/>
      <c r="AH48" s="315"/>
      <c r="AI48" s="315"/>
      <c r="AJ48" s="315"/>
      <c r="AK48" s="315"/>
      <c r="AL48" s="315"/>
      <c r="AM48" s="315"/>
      <c r="AN48" s="315"/>
      <c r="AO48" s="315"/>
      <c r="AP48" s="315"/>
      <c r="AQ48" s="315"/>
      <c r="AR48" s="315"/>
      <c r="AS48" s="315"/>
      <c r="AT48" s="315"/>
      <c r="AU48" s="315"/>
      <c r="AV48" s="315"/>
      <c r="AW48" s="315"/>
      <c r="AX48" s="315"/>
      <c r="AY48" s="315"/>
      <c r="AZ48" s="315"/>
      <c r="BA48" s="315"/>
      <c r="BB48" s="315"/>
      <c r="BC48" s="315"/>
      <c r="BD48" s="315"/>
      <c r="BE48" s="315"/>
      <c r="BF48" s="315"/>
      <c r="BG48" s="315"/>
      <c r="BH48" s="315"/>
      <c r="BI48" s="315"/>
      <c r="BJ48" s="315"/>
      <c r="BK48" s="315"/>
      <c r="BL48" s="315"/>
      <c r="BM48" s="315"/>
      <c r="BN48" s="315"/>
      <c r="BO48" s="315"/>
      <c r="BP48" s="315"/>
      <c r="BQ48" s="315"/>
      <c r="BR48" s="315"/>
      <c r="BS48" s="315"/>
      <c r="BT48" s="315"/>
      <c r="BU48" s="315"/>
      <c r="BV48" s="315"/>
      <c r="BW48" s="315"/>
      <c r="BX48" s="315"/>
      <c r="BY48" s="315"/>
      <c r="BZ48" s="315"/>
      <c r="CA48" s="315"/>
      <c r="CB48" s="315"/>
      <c r="CC48" s="315"/>
      <c r="CD48" s="315"/>
      <c r="CE48" s="315"/>
    </row>
    <row r="49" spans="1:83" x14ac:dyDescent="0.25">
      <c r="A49" s="315">
        <f t="shared" si="7"/>
        <v>48</v>
      </c>
      <c r="B49" s="3" t="s">
        <v>306</v>
      </c>
      <c r="C49" s="340">
        <v>6</v>
      </c>
      <c r="D49" s="359"/>
      <c r="E49" s="478"/>
      <c r="F49" s="359"/>
      <c r="G49" s="478"/>
      <c r="H49" s="359"/>
      <c r="I49" s="478">
        <v>1</v>
      </c>
      <c r="J49" s="359"/>
      <c r="K49" s="478"/>
      <c r="L49" s="359"/>
      <c r="M49" s="478"/>
      <c r="N49" s="561"/>
      <c r="O49" s="340">
        <f t="shared" si="0"/>
        <v>5</v>
      </c>
      <c r="P49" s="438">
        <f t="shared" si="1"/>
        <v>9</v>
      </c>
      <c r="Q49" s="7">
        <v>3.5</v>
      </c>
      <c r="R49" s="79"/>
      <c r="S49" s="344">
        <v>46692</v>
      </c>
      <c r="T49" s="318">
        <v>0</v>
      </c>
      <c r="U49" s="318"/>
      <c r="V49" s="344">
        <v>45383</v>
      </c>
      <c r="W49" s="309">
        <v>1</v>
      </c>
      <c r="X49" s="309">
        <v>3</v>
      </c>
      <c r="Y49" s="309">
        <v>2</v>
      </c>
      <c r="Z49" s="429">
        <v>1</v>
      </c>
      <c r="AA49" s="184">
        <f t="shared" si="2"/>
        <v>7</v>
      </c>
      <c r="AB49" s="185">
        <f t="shared" si="3"/>
        <v>1.75</v>
      </c>
      <c r="AC49" s="185">
        <f t="shared" si="4"/>
        <v>7</v>
      </c>
      <c r="AD49" s="185">
        <f t="shared" si="5"/>
        <v>14</v>
      </c>
      <c r="AE49" s="61"/>
      <c r="AF49" s="315"/>
      <c r="AG49" s="315"/>
      <c r="AH49" s="315"/>
      <c r="AI49" s="315"/>
      <c r="AJ49" s="315"/>
      <c r="AK49" s="315"/>
      <c r="AL49" s="315"/>
      <c r="AM49" s="315"/>
      <c r="AN49" s="315"/>
      <c r="AO49" s="315"/>
      <c r="AP49" s="315"/>
      <c r="AQ49" s="315"/>
      <c r="AR49" s="315"/>
      <c r="AS49" s="315"/>
      <c r="AT49" s="315"/>
      <c r="AU49" s="315"/>
      <c r="AV49" s="315"/>
      <c r="AW49" s="315"/>
      <c r="AX49" s="315"/>
      <c r="AY49" s="315"/>
      <c r="AZ49" s="315"/>
      <c r="BA49" s="315"/>
      <c r="BB49" s="315"/>
      <c r="BC49" s="315"/>
      <c r="BD49" s="315"/>
      <c r="BE49" s="315"/>
      <c r="BF49" s="315"/>
      <c r="BG49" s="315"/>
      <c r="BH49" s="315"/>
      <c r="BI49" s="315"/>
      <c r="BJ49" s="315"/>
      <c r="BK49" s="315"/>
      <c r="BL49" s="315"/>
      <c r="BM49" s="315"/>
      <c r="BN49" s="315"/>
      <c r="BO49" s="315"/>
      <c r="BP49" s="315"/>
      <c r="BQ49" s="315"/>
      <c r="BR49" s="315"/>
      <c r="BS49" s="315"/>
      <c r="BT49" s="315"/>
      <c r="BU49" s="315"/>
      <c r="BV49" s="315"/>
      <c r="BW49" s="315"/>
      <c r="BX49" s="315"/>
      <c r="BY49" s="315"/>
      <c r="BZ49" s="315"/>
      <c r="CA49" s="315"/>
      <c r="CB49" s="315"/>
      <c r="CC49" s="315"/>
      <c r="CD49" s="315"/>
      <c r="CE49" s="315"/>
    </row>
    <row r="50" spans="1:83" ht="15" customHeight="1" x14ac:dyDescent="0.25">
      <c r="A50" s="315">
        <f t="shared" si="7"/>
        <v>49</v>
      </c>
      <c r="B50" s="3" t="s">
        <v>1358</v>
      </c>
      <c r="C50" s="340">
        <v>4</v>
      </c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340">
        <f t="shared" si="0"/>
        <v>4</v>
      </c>
      <c r="P50" s="438">
        <f t="shared" si="1"/>
        <v>12</v>
      </c>
      <c r="Q50" s="7">
        <v>4</v>
      </c>
      <c r="R50" s="106"/>
      <c r="S50" s="344">
        <v>46874</v>
      </c>
      <c r="T50" s="318">
        <v>2</v>
      </c>
      <c r="U50" s="318"/>
      <c r="V50" s="344">
        <v>45689</v>
      </c>
      <c r="W50" s="309">
        <v>3</v>
      </c>
      <c r="X50" s="309">
        <v>1</v>
      </c>
      <c r="Y50" s="309">
        <v>2</v>
      </c>
      <c r="Z50" s="429">
        <v>2</v>
      </c>
      <c r="AA50" s="184">
        <f t="shared" si="2"/>
        <v>8</v>
      </c>
      <c r="AB50" s="185">
        <f t="shared" si="3"/>
        <v>2</v>
      </c>
      <c r="AC50" s="185">
        <f t="shared" si="4"/>
        <v>8</v>
      </c>
      <c r="AD50" s="185">
        <f t="shared" si="5"/>
        <v>16</v>
      </c>
      <c r="AE50" s="61"/>
      <c r="AF50" s="315"/>
      <c r="AG50" s="315"/>
      <c r="AH50" s="315"/>
      <c r="AI50" s="315"/>
      <c r="AJ50" s="315"/>
      <c r="AK50" s="315"/>
      <c r="AL50" s="315"/>
      <c r="AM50" s="315"/>
      <c r="AN50" s="315"/>
      <c r="AO50" s="315"/>
      <c r="AP50" s="315"/>
      <c r="AQ50" s="315"/>
      <c r="AR50" s="315"/>
      <c r="AS50" s="315"/>
      <c r="AT50" s="315"/>
      <c r="AU50" s="315"/>
      <c r="AV50" s="315"/>
      <c r="AW50" s="315"/>
      <c r="AX50" s="315"/>
      <c r="AY50" s="315"/>
      <c r="AZ50" s="315"/>
      <c r="BA50" s="315"/>
      <c r="BB50" s="315"/>
      <c r="BC50" s="315"/>
      <c r="BD50" s="315"/>
      <c r="BE50" s="315"/>
      <c r="BF50" s="315"/>
      <c r="BG50" s="315"/>
      <c r="BH50" s="315"/>
      <c r="BI50" s="315"/>
      <c r="BJ50" s="315"/>
      <c r="BK50" s="315"/>
      <c r="BL50" s="315"/>
      <c r="BM50" s="315"/>
      <c r="BN50" s="315"/>
      <c r="BO50" s="315"/>
      <c r="BP50" s="315"/>
      <c r="BQ50" s="315"/>
      <c r="BR50" s="315"/>
      <c r="BS50" s="315"/>
      <c r="BT50" s="315"/>
      <c r="BU50" s="315"/>
      <c r="BV50" s="315"/>
      <c r="BW50" s="315"/>
      <c r="BX50" s="315"/>
      <c r="BY50" s="315"/>
      <c r="BZ50" s="315"/>
      <c r="CA50" s="315"/>
      <c r="CB50" s="315"/>
      <c r="CC50" s="315"/>
      <c r="CD50" s="315"/>
      <c r="CE50" s="315"/>
    </row>
    <row r="51" spans="1:83" ht="14.25" customHeight="1" x14ac:dyDescent="0.25">
      <c r="A51" s="315">
        <f t="shared" si="7"/>
        <v>50</v>
      </c>
      <c r="B51" s="3" t="s">
        <v>104</v>
      </c>
      <c r="C51" s="340">
        <v>3</v>
      </c>
      <c r="D51" s="359"/>
      <c r="E51" s="478"/>
      <c r="F51" s="359"/>
      <c r="G51" s="478"/>
      <c r="H51" s="359"/>
      <c r="I51" s="478"/>
      <c r="J51" s="359"/>
      <c r="K51" s="478">
        <v>2</v>
      </c>
      <c r="L51" s="359"/>
      <c r="M51" s="478"/>
      <c r="N51" s="561"/>
      <c r="O51" s="340">
        <f t="shared" si="0"/>
        <v>1</v>
      </c>
      <c r="P51" s="438">
        <f t="shared" si="1"/>
        <v>13</v>
      </c>
      <c r="Q51" s="7">
        <v>10</v>
      </c>
      <c r="R51" s="68"/>
      <c r="S51" s="344">
        <v>46966</v>
      </c>
      <c r="T51" s="318">
        <v>3</v>
      </c>
      <c r="U51" s="318">
        <v>3</v>
      </c>
      <c r="V51" s="199">
        <v>45717</v>
      </c>
      <c r="W51" s="309">
        <v>1</v>
      </c>
      <c r="X51" s="309">
        <v>2</v>
      </c>
      <c r="Y51" s="309">
        <v>2</v>
      </c>
      <c r="Z51" s="429">
        <v>2</v>
      </c>
      <c r="AA51" s="184">
        <f t="shared" si="2"/>
        <v>7</v>
      </c>
      <c r="AB51" s="185">
        <f t="shared" si="3"/>
        <v>1.75</v>
      </c>
      <c r="AC51" s="185">
        <f t="shared" si="4"/>
        <v>7</v>
      </c>
      <c r="AD51" s="185">
        <f t="shared" si="5"/>
        <v>14</v>
      </c>
      <c r="AE51" s="61"/>
      <c r="AF51" s="83"/>
      <c r="AG51" s="13"/>
      <c r="AH51" s="13"/>
      <c r="AI51" s="13"/>
      <c r="AJ51" s="13"/>
      <c r="AK51" s="315"/>
      <c r="AL51" s="315"/>
      <c r="AM51" s="315"/>
      <c r="AN51" s="315"/>
      <c r="AO51" s="315"/>
      <c r="AP51" s="315"/>
      <c r="AQ51" s="315"/>
      <c r="AR51" s="315"/>
      <c r="AS51" s="315"/>
      <c r="AT51" s="315"/>
      <c r="AU51" s="315"/>
      <c r="AV51" s="315"/>
      <c r="AW51" s="315"/>
      <c r="AX51" s="315"/>
      <c r="AY51" s="315"/>
      <c r="AZ51" s="315"/>
      <c r="BA51" s="315"/>
      <c r="BB51" s="315"/>
      <c r="BC51" s="315"/>
      <c r="BD51" s="315"/>
      <c r="BE51" s="315"/>
      <c r="BF51" s="315"/>
      <c r="BG51" s="315"/>
      <c r="BH51" s="315"/>
      <c r="BI51" s="315"/>
      <c r="BJ51" s="315"/>
      <c r="BK51" s="315"/>
      <c r="BL51" s="315"/>
      <c r="BM51" s="315"/>
      <c r="BN51" s="315"/>
      <c r="BO51" s="315"/>
      <c r="BP51" s="315"/>
      <c r="BQ51" s="315"/>
      <c r="BR51" s="315"/>
      <c r="BS51" s="315"/>
      <c r="BT51" s="315"/>
      <c r="BU51" s="315"/>
      <c r="BV51" s="315"/>
      <c r="BW51" s="315"/>
      <c r="BX51" s="315"/>
      <c r="BY51" s="315"/>
      <c r="BZ51" s="315"/>
      <c r="CA51" s="315"/>
      <c r="CB51" s="315"/>
      <c r="CC51" s="315"/>
      <c r="CD51" s="315"/>
      <c r="CE51" s="315"/>
    </row>
    <row r="52" spans="1:83" s="113" customFormat="1" x14ac:dyDescent="0.25">
      <c r="A52" s="315">
        <f t="shared" si="7"/>
        <v>51</v>
      </c>
      <c r="B52" s="3" t="s">
        <v>784</v>
      </c>
      <c r="C52" s="340">
        <v>110</v>
      </c>
      <c r="D52" s="359"/>
      <c r="E52" s="478"/>
      <c r="F52" s="359"/>
      <c r="G52" s="478"/>
      <c r="H52" s="359">
        <v>2</v>
      </c>
      <c r="I52" s="478"/>
      <c r="J52" s="359"/>
      <c r="K52" s="478"/>
      <c r="L52" s="359">
        <v>2</v>
      </c>
      <c r="M52" s="478"/>
      <c r="N52" s="561"/>
      <c r="O52" s="340">
        <f t="shared" si="0"/>
        <v>106</v>
      </c>
      <c r="P52" s="340">
        <f t="shared" si="1"/>
        <v>-74</v>
      </c>
      <c r="Q52" s="7">
        <v>1</v>
      </c>
      <c r="R52" s="63"/>
      <c r="S52" s="344">
        <v>46478</v>
      </c>
      <c r="T52" s="318">
        <v>0</v>
      </c>
      <c r="U52" s="318"/>
      <c r="V52" s="344">
        <v>45689</v>
      </c>
      <c r="W52" s="309">
        <v>6</v>
      </c>
      <c r="X52" s="309">
        <v>3</v>
      </c>
      <c r="Y52" s="309">
        <v>3</v>
      </c>
      <c r="Z52" s="429">
        <v>4</v>
      </c>
      <c r="AA52" s="184">
        <f t="shared" si="2"/>
        <v>16</v>
      </c>
      <c r="AB52" s="185">
        <f t="shared" si="3"/>
        <v>4</v>
      </c>
      <c r="AC52" s="185">
        <f t="shared" si="4"/>
        <v>16</v>
      </c>
      <c r="AD52" s="185">
        <f t="shared" si="5"/>
        <v>32</v>
      </c>
      <c r="AE52" s="61"/>
      <c r="AF52" s="315"/>
      <c r="AG52" s="315"/>
      <c r="AH52" s="315"/>
      <c r="AI52" s="315"/>
      <c r="AJ52" s="315"/>
      <c r="AK52" s="315"/>
      <c r="AL52" s="315"/>
      <c r="AM52" s="315"/>
      <c r="AN52" s="315"/>
      <c r="AO52" s="315"/>
      <c r="AP52" s="315"/>
      <c r="AQ52" s="315"/>
      <c r="AR52" s="315"/>
      <c r="AS52" s="315"/>
      <c r="AT52" s="315"/>
      <c r="AU52" s="315"/>
      <c r="AV52" s="315"/>
      <c r="AW52" s="315"/>
      <c r="AX52" s="315"/>
      <c r="AY52" s="315"/>
      <c r="AZ52" s="315"/>
      <c r="BA52" s="315"/>
      <c r="BB52" s="315"/>
      <c r="BC52" s="315"/>
      <c r="BD52" s="315"/>
      <c r="BE52" s="315"/>
      <c r="BF52" s="315"/>
      <c r="BG52" s="315"/>
      <c r="BH52" s="315"/>
      <c r="BI52" s="315"/>
      <c r="BJ52" s="315"/>
      <c r="BK52" s="315"/>
      <c r="BL52" s="315"/>
      <c r="BM52" s="315"/>
      <c r="BN52" s="315"/>
      <c r="BO52" s="315"/>
      <c r="BP52" s="315"/>
      <c r="BQ52" s="315"/>
      <c r="BR52" s="315"/>
      <c r="BS52" s="315"/>
      <c r="BT52" s="315"/>
      <c r="BU52" s="315"/>
      <c r="BV52" s="315"/>
      <c r="BW52" s="315"/>
      <c r="BX52" s="315"/>
      <c r="BY52" s="315"/>
      <c r="BZ52" s="315"/>
      <c r="CA52" s="315"/>
      <c r="CB52" s="315"/>
      <c r="CC52" s="315"/>
      <c r="CD52" s="315"/>
      <c r="CE52" s="315"/>
    </row>
    <row r="53" spans="1:83" s="113" customFormat="1" ht="15" customHeight="1" x14ac:dyDescent="0.25">
      <c r="A53" s="315">
        <f t="shared" si="7"/>
        <v>52</v>
      </c>
      <c r="B53" s="3" t="s">
        <v>173</v>
      </c>
      <c r="C53" s="340">
        <v>2</v>
      </c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340">
        <f t="shared" si="0"/>
        <v>2</v>
      </c>
      <c r="P53" s="438">
        <f t="shared" si="1"/>
        <v>10</v>
      </c>
      <c r="Q53" s="7">
        <v>10</v>
      </c>
      <c r="R53" s="68"/>
      <c r="S53" s="335">
        <v>46997</v>
      </c>
      <c r="T53" s="318">
        <v>0</v>
      </c>
      <c r="U53" s="318"/>
      <c r="V53" s="199">
        <v>45689</v>
      </c>
      <c r="W53" s="309">
        <v>2</v>
      </c>
      <c r="X53" s="309">
        <v>2</v>
      </c>
      <c r="Y53" s="309">
        <v>1</v>
      </c>
      <c r="Z53" s="429">
        <v>1</v>
      </c>
      <c r="AA53" s="184">
        <f t="shared" si="2"/>
        <v>6</v>
      </c>
      <c r="AB53" s="185">
        <f t="shared" si="3"/>
        <v>1.5</v>
      </c>
      <c r="AC53" s="185">
        <f t="shared" si="4"/>
        <v>6</v>
      </c>
      <c r="AD53" s="185">
        <f t="shared" si="5"/>
        <v>12</v>
      </c>
      <c r="AE53" s="61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</row>
    <row r="54" spans="1:83" s="113" customFormat="1" x14ac:dyDescent="0.25">
      <c r="A54" s="315">
        <f t="shared" si="7"/>
        <v>53</v>
      </c>
      <c r="B54" s="3" t="s">
        <v>1337</v>
      </c>
      <c r="C54" s="340">
        <v>2</v>
      </c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340">
        <f t="shared" si="0"/>
        <v>2</v>
      </c>
      <c r="P54" s="438">
        <f t="shared" si="1"/>
        <v>2</v>
      </c>
      <c r="Q54" s="7">
        <v>9</v>
      </c>
      <c r="R54" s="106"/>
      <c r="S54" s="344">
        <v>11049</v>
      </c>
      <c r="T54" s="318">
        <v>2</v>
      </c>
      <c r="U54" s="318"/>
      <c r="V54" s="344">
        <v>45689</v>
      </c>
      <c r="W54" s="309"/>
      <c r="X54" s="309"/>
      <c r="Y54" s="309">
        <v>1</v>
      </c>
      <c r="Z54" s="429">
        <v>1</v>
      </c>
      <c r="AA54" s="184">
        <f t="shared" si="2"/>
        <v>2</v>
      </c>
      <c r="AB54" s="185">
        <f t="shared" si="3"/>
        <v>0.5</v>
      </c>
      <c r="AC54" s="185">
        <f t="shared" si="4"/>
        <v>2</v>
      </c>
      <c r="AD54" s="185">
        <f t="shared" si="5"/>
        <v>4</v>
      </c>
      <c r="AE54" s="61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</row>
    <row r="55" spans="1:83" x14ac:dyDescent="0.25">
      <c r="A55" s="315">
        <f t="shared" si="7"/>
        <v>54</v>
      </c>
      <c r="B55" s="3" t="s">
        <v>197</v>
      </c>
      <c r="C55" s="340">
        <v>2</v>
      </c>
      <c r="D55" s="359"/>
      <c r="E55" s="478"/>
      <c r="F55" s="359"/>
      <c r="G55" s="478"/>
      <c r="H55" s="359"/>
      <c r="I55" s="478">
        <v>1</v>
      </c>
      <c r="J55" s="359"/>
      <c r="K55" s="478"/>
      <c r="L55" s="359"/>
      <c r="M55" s="478"/>
      <c r="N55" s="561"/>
      <c r="O55" s="340">
        <f t="shared" si="0"/>
        <v>1</v>
      </c>
      <c r="P55" s="438">
        <f t="shared" si="1"/>
        <v>7</v>
      </c>
      <c r="Q55" s="7">
        <v>20</v>
      </c>
      <c r="R55" s="106"/>
      <c r="S55" s="344">
        <v>46357</v>
      </c>
      <c r="T55" s="318">
        <v>2</v>
      </c>
      <c r="U55" s="318"/>
      <c r="V55" s="344">
        <v>45627</v>
      </c>
      <c r="W55" s="309">
        <v>1</v>
      </c>
      <c r="X55" s="309">
        <v>1</v>
      </c>
      <c r="Y55" s="309">
        <v>1</v>
      </c>
      <c r="Z55" s="429">
        <v>1</v>
      </c>
      <c r="AA55" s="184">
        <f t="shared" si="2"/>
        <v>4</v>
      </c>
      <c r="AB55" s="185">
        <f t="shared" si="3"/>
        <v>1</v>
      </c>
      <c r="AC55" s="185">
        <f t="shared" si="4"/>
        <v>4</v>
      </c>
      <c r="AD55" s="185">
        <f t="shared" si="5"/>
        <v>8</v>
      </c>
      <c r="AE55" s="61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</row>
    <row r="56" spans="1:83" s="113" customFormat="1" ht="15" customHeight="1" x14ac:dyDescent="0.25">
      <c r="A56" s="315">
        <f t="shared" si="7"/>
        <v>55</v>
      </c>
      <c r="B56" s="3" t="s">
        <v>123</v>
      </c>
      <c r="C56" s="340">
        <v>2</v>
      </c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340">
        <f t="shared" si="0"/>
        <v>2</v>
      </c>
      <c r="P56" s="438">
        <f t="shared" si="1"/>
        <v>6</v>
      </c>
      <c r="Q56" s="7">
        <v>16</v>
      </c>
      <c r="R56" s="106"/>
      <c r="S56" s="94">
        <v>46508</v>
      </c>
      <c r="T56" s="318">
        <v>2</v>
      </c>
      <c r="U56" s="318"/>
      <c r="V56" s="199">
        <v>45689</v>
      </c>
      <c r="W56" s="309">
        <v>1</v>
      </c>
      <c r="X56" s="309">
        <v>1</v>
      </c>
      <c r="Y56" s="309">
        <v>1</v>
      </c>
      <c r="Z56" s="429">
        <v>1</v>
      </c>
      <c r="AA56" s="184">
        <f t="shared" si="2"/>
        <v>4</v>
      </c>
      <c r="AB56" s="185">
        <f t="shared" si="3"/>
        <v>1</v>
      </c>
      <c r="AC56" s="185">
        <f t="shared" si="4"/>
        <v>4</v>
      </c>
      <c r="AD56" s="185">
        <f t="shared" si="5"/>
        <v>8</v>
      </c>
      <c r="AE56" s="61"/>
      <c r="AF56" s="13"/>
      <c r="AG56" s="13"/>
      <c r="AH56" s="13"/>
      <c r="AI56" s="13"/>
      <c r="AJ56" s="13"/>
      <c r="AK56" s="315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</row>
    <row r="57" spans="1:83" ht="15" customHeight="1" x14ac:dyDescent="0.25">
      <c r="A57" s="315">
        <f t="shared" si="7"/>
        <v>56</v>
      </c>
      <c r="B57" s="314" t="s">
        <v>533</v>
      </c>
      <c r="C57" s="415">
        <v>0</v>
      </c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340">
        <f t="shared" si="0"/>
        <v>0</v>
      </c>
      <c r="P57" s="689">
        <f t="shared" si="1"/>
        <v>0</v>
      </c>
      <c r="Q57" s="7">
        <v>0</v>
      </c>
      <c r="R57" s="125"/>
      <c r="S57" s="118"/>
      <c r="T57" s="316">
        <v>0</v>
      </c>
      <c r="U57" s="316"/>
      <c r="V57" s="199"/>
      <c r="W57" s="309"/>
      <c r="X57" s="107"/>
      <c r="Y57" s="309"/>
      <c r="Z57" s="309"/>
      <c r="AA57" s="184">
        <f t="shared" si="2"/>
        <v>0</v>
      </c>
      <c r="AB57" s="185">
        <f t="shared" si="3"/>
        <v>0</v>
      </c>
      <c r="AC57" s="185">
        <f t="shared" si="4"/>
        <v>0</v>
      </c>
      <c r="AD57" s="185">
        <f t="shared" si="5"/>
        <v>0</v>
      </c>
      <c r="AE57" s="61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</row>
    <row r="58" spans="1:83" ht="15" customHeight="1" x14ac:dyDescent="0.25">
      <c r="A58" s="315">
        <f t="shared" si="7"/>
        <v>57</v>
      </c>
      <c r="B58" s="3" t="s">
        <v>636</v>
      </c>
      <c r="C58" s="413">
        <v>0</v>
      </c>
      <c r="D58" s="363"/>
      <c r="E58" s="480"/>
      <c r="F58" s="360"/>
      <c r="G58" s="480"/>
      <c r="H58" s="360"/>
      <c r="I58" s="480"/>
      <c r="J58" s="360"/>
      <c r="K58" s="480"/>
      <c r="L58" s="360"/>
      <c r="M58" s="480"/>
      <c r="N58" s="562"/>
      <c r="O58" s="340">
        <f t="shared" si="0"/>
        <v>0</v>
      </c>
      <c r="P58" s="689">
        <f t="shared" si="1"/>
        <v>0</v>
      </c>
      <c r="Q58" s="448">
        <v>0</v>
      </c>
      <c r="R58" s="64"/>
      <c r="S58" s="285"/>
      <c r="T58" s="92">
        <v>0</v>
      </c>
      <c r="U58" s="316"/>
      <c r="V58" s="83"/>
      <c r="W58" s="321"/>
      <c r="X58" s="316"/>
      <c r="Y58" s="316"/>
      <c r="Z58" s="316"/>
      <c r="AA58" s="184">
        <f t="shared" si="2"/>
        <v>0</v>
      </c>
      <c r="AB58" s="185">
        <f t="shared" si="3"/>
        <v>0</v>
      </c>
      <c r="AC58" s="185">
        <f t="shared" si="4"/>
        <v>0</v>
      </c>
      <c r="AD58" s="185">
        <f t="shared" si="5"/>
        <v>0</v>
      </c>
      <c r="AE58" s="61"/>
      <c r="AF58" s="315"/>
      <c r="AG58" s="315"/>
      <c r="AH58" s="315"/>
      <c r="AI58" s="315"/>
      <c r="AJ58" s="315"/>
      <c r="AK58" s="315"/>
      <c r="AL58" s="315"/>
      <c r="AM58" s="315"/>
      <c r="AN58" s="315"/>
      <c r="AO58" s="315"/>
      <c r="AP58" s="315"/>
      <c r="AQ58" s="315"/>
      <c r="AR58" s="315"/>
      <c r="AS58" s="315"/>
      <c r="AT58" s="315"/>
      <c r="AU58" s="315"/>
      <c r="AV58" s="315"/>
      <c r="AW58" s="315"/>
      <c r="AX58" s="315"/>
      <c r="AY58" s="315"/>
      <c r="AZ58" s="315"/>
      <c r="BA58" s="315"/>
      <c r="BB58" s="315"/>
      <c r="BC58" s="315"/>
      <c r="BD58" s="315"/>
      <c r="BE58" s="315"/>
      <c r="BF58" s="315"/>
      <c r="BG58" s="315"/>
      <c r="BH58" s="315"/>
      <c r="BI58" s="315"/>
      <c r="BJ58" s="315"/>
      <c r="BK58" s="315"/>
      <c r="BL58" s="315"/>
      <c r="BM58" s="315"/>
      <c r="BN58" s="315"/>
      <c r="BO58" s="315"/>
      <c r="BP58" s="315"/>
      <c r="BQ58" s="315"/>
      <c r="BR58" s="315"/>
      <c r="BS58" s="315"/>
      <c r="BT58" s="315"/>
      <c r="BU58" s="315"/>
      <c r="BV58" s="315"/>
      <c r="BW58" s="315"/>
      <c r="BX58" s="315"/>
      <c r="BY58" s="315"/>
      <c r="BZ58" s="315"/>
      <c r="CA58" s="315"/>
      <c r="CB58" s="315"/>
      <c r="CC58" s="315"/>
      <c r="CD58" s="315"/>
      <c r="CE58" s="315"/>
    </row>
    <row r="59" spans="1:83" ht="15" customHeight="1" x14ac:dyDescent="0.25">
      <c r="A59" s="315">
        <f t="shared" si="7"/>
        <v>58</v>
      </c>
      <c r="B59" s="651" t="s">
        <v>202</v>
      </c>
      <c r="C59" s="653">
        <v>11</v>
      </c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340">
        <f t="shared" si="0"/>
        <v>11</v>
      </c>
      <c r="P59" s="438">
        <f t="shared" si="1"/>
        <v>3</v>
      </c>
      <c r="Q59" s="7">
        <v>17</v>
      </c>
      <c r="R59" s="68"/>
      <c r="S59" s="655">
        <v>45870</v>
      </c>
      <c r="T59" s="318">
        <v>0</v>
      </c>
      <c r="U59" s="318">
        <v>1</v>
      </c>
      <c r="V59" s="344">
        <v>45717</v>
      </c>
      <c r="W59" s="309">
        <v>3</v>
      </c>
      <c r="X59" s="309">
        <v>1</v>
      </c>
      <c r="Y59" s="309">
        <v>2</v>
      </c>
      <c r="Z59" s="429">
        <v>1</v>
      </c>
      <c r="AA59" s="184">
        <f t="shared" si="2"/>
        <v>7</v>
      </c>
      <c r="AB59" s="185">
        <f t="shared" si="3"/>
        <v>1.75</v>
      </c>
      <c r="AC59" s="185">
        <f t="shared" si="4"/>
        <v>7</v>
      </c>
      <c r="AD59" s="185">
        <f t="shared" si="5"/>
        <v>14</v>
      </c>
      <c r="AE59" s="61"/>
      <c r="AF59" s="315"/>
      <c r="AG59" s="315"/>
      <c r="AH59" s="315"/>
      <c r="AI59" s="315"/>
      <c r="AJ59" s="315"/>
      <c r="AK59" s="315"/>
      <c r="AL59" s="315"/>
      <c r="AM59" s="315"/>
      <c r="AN59" s="315"/>
      <c r="AO59" s="315"/>
      <c r="AP59" s="315"/>
      <c r="AQ59" s="315"/>
      <c r="AR59" s="315"/>
      <c r="AS59" s="315"/>
      <c r="AT59" s="315"/>
      <c r="AU59" s="315"/>
      <c r="AV59" s="315"/>
      <c r="AW59" s="315"/>
      <c r="AX59" s="315"/>
      <c r="AY59" s="315"/>
      <c r="AZ59" s="315"/>
      <c r="BA59" s="315"/>
      <c r="BB59" s="315"/>
      <c r="BC59" s="315"/>
      <c r="BD59" s="315"/>
      <c r="BE59" s="315"/>
      <c r="BF59" s="315"/>
      <c r="BG59" s="315"/>
      <c r="BH59" s="315"/>
      <c r="BI59" s="315"/>
      <c r="BJ59" s="315"/>
      <c r="BK59" s="315"/>
      <c r="BL59" s="315"/>
      <c r="BM59" s="315"/>
      <c r="BN59" s="315"/>
      <c r="BO59" s="315"/>
      <c r="BP59" s="315"/>
      <c r="BQ59" s="315"/>
      <c r="BR59" s="315"/>
      <c r="BS59" s="315"/>
      <c r="BT59" s="315"/>
      <c r="BU59" s="315"/>
      <c r="BV59" s="315"/>
      <c r="BW59" s="315"/>
      <c r="BX59" s="315"/>
      <c r="BY59" s="315"/>
      <c r="BZ59" s="315"/>
      <c r="CA59" s="315"/>
      <c r="CB59" s="315"/>
      <c r="CC59" s="315"/>
      <c r="CD59" s="315"/>
      <c r="CE59" s="315"/>
    </row>
    <row r="60" spans="1:83" x14ac:dyDescent="0.25">
      <c r="A60" s="315">
        <f t="shared" si="7"/>
        <v>59</v>
      </c>
      <c r="B60" s="3" t="s">
        <v>1477</v>
      </c>
      <c r="C60" s="340">
        <v>8</v>
      </c>
      <c r="D60" s="359"/>
      <c r="E60" s="478"/>
      <c r="F60" s="359"/>
      <c r="G60" s="480"/>
      <c r="H60" s="360"/>
      <c r="I60" s="480"/>
      <c r="J60" s="360"/>
      <c r="K60" s="480"/>
      <c r="L60" s="360"/>
      <c r="M60" s="480"/>
      <c r="N60" s="562"/>
      <c r="O60" s="340">
        <f t="shared" si="0"/>
        <v>8</v>
      </c>
      <c r="P60" s="438">
        <f t="shared" si="1"/>
        <v>2</v>
      </c>
      <c r="Q60" s="7">
        <v>20</v>
      </c>
      <c r="R60" s="63"/>
      <c r="S60" s="83">
        <v>46784</v>
      </c>
      <c r="T60" s="313">
        <v>1</v>
      </c>
      <c r="U60" s="313">
        <v>2</v>
      </c>
      <c r="V60" s="81">
        <v>45717</v>
      </c>
      <c r="W60" s="28">
        <v>1</v>
      </c>
      <c r="X60" s="28">
        <v>2</v>
      </c>
      <c r="Y60" s="28">
        <v>1</v>
      </c>
      <c r="Z60" s="429">
        <v>1</v>
      </c>
      <c r="AA60" s="184">
        <f t="shared" si="2"/>
        <v>5</v>
      </c>
      <c r="AB60" s="185">
        <f t="shared" si="3"/>
        <v>1.25</v>
      </c>
      <c r="AC60" s="185">
        <f t="shared" si="4"/>
        <v>5</v>
      </c>
      <c r="AD60" s="185">
        <f t="shared" si="5"/>
        <v>10</v>
      </c>
      <c r="AE60" s="61"/>
      <c r="AF60" s="83"/>
      <c r="AG60" s="315"/>
      <c r="AH60" s="315"/>
      <c r="AI60" s="315"/>
      <c r="AJ60" s="315"/>
      <c r="AK60" s="315"/>
      <c r="AL60" s="315"/>
      <c r="AM60" s="315"/>
      <c r="AN60" s="315"/>
      <c r="AO60" s="315"/>
      <c r="AP60" s="315"/>
      <c r="AQ60" s="315"/>
      <c r="AR60" s="315"/>
      <c r="AS60" s="315"/>
      <c r="AT60" s="315"/>
      <c r="AU60" s="315"/>
      <c r="AV60" s="315"/>
      <c r="AW60" s="315"/>
      <c r="AX60" s="315"/>
      <c r="AY60" s="315"/>
      <c r="AZ60" s="315"/>
      <c r="BA60" s="315"/>
      <c r="BB60" s="315"/>
      <c r="BC60" s="315"/>
      <c r="BD60" s="315"/>
      <c r="BE60" s="315"/>
      <c r="BF60" s="315"/>
      <c r="BG60" s="315"/>
      <c r="BH60" s="315"/>
      <c r="BI60" s="315"/>
      <c r="BJ60" s="315"/>
      <c r="BK60" s="315"/>
      <c r="BL60" s="315"/>
      <c r="BM60" s="315"/>
      <c r="BN60" s="315"/>
      <c r="BO60" s="315"/>
      <c r="BP60" s="315"/>
      <c r="BQ60" s="315"/>
      <c r="BR60" s="315"/>
      <c r="BS60" s="315"/>
      <c r="BT60" s="315"/>
      <c r="BU60" s="315"/>
      <c r="BV60" s="315"/>
      <c r="BW60" s="315"/>
      <c r="BX60" s="315"/>
      <c r="BY60" s="315"/>
      <c r="BZ60" s="315"/>
      <c r="CA60" s="315"/>
      <c r="CB60" s="315"/>
      <c r="CC60" s="315"/>
      <c r="CD60" s="315"/>
      <c r="CE60" s="315"/>
    </row>
    <row r="61" spans="1:83" x14ac:dyDescent="0.25">
      <c r="A61" s="315">
        <f t="shared" si="7"/>
        <v>60</v>
      </c>
      <c r="B61" s="314" t="s">
        <v>481</v>
      </c>
      <c r="C61" s="340">
        <v>8</v>
      </c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340">
        <f t="shared" si="0"/>
        <v>8</v>
      </c>
      <c r="P61" s="438">
        <f t="shared" si="1"/>
        <v>20</v>
      </c>
      <c r="Q61" s="7">
        <v>10</v>
      </c>
      <c r="R61" s="106"/>
      <c r="S61" s="344">
        <v>46204</v>
      </c>
      <c r="T61" s="318">
        <v>0</v>
      </c>
      <c r="U61" s="318"/>
      <c r="V61" s="344">
        <v>45323</v>
      </c>
      <c r="W61" s="309">
        <v>1</v>
      </c>
      <c r="X61" s="309">
        <v>10</v>
      </c>
      <c r="Y61" s="309">
        <v>2</v>
      </c>
      <c r="Z61" s="429">
        <v>1</v>
      </c>
      <c r="AA61" s="184">
        <f t="shared" si="2"/>
        <v>14</v>
      </c>
      <c r="AB61" s="185">
        <f t="shared" si="3"/>
        <v>3.5</v>
      </c>
      <c r="AC61" s="185">
        <f t="shared" si="4"/>
        <v>14</v>
      </c>
      <c r="AD61" s="185">
        <f t="shared" si="5"/>
        <v>28</v>
      </c>
      <c r="AE61" s="61"/>
      <c r="AF61" s="13"/>
      <c r="AG61" s="13"/>
      <c r="AH61" s="13"/>
      <c r="AI61" s="13"/>
      <c r="AJ61" s="13"/>
      <c r="AK61" s="315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</row>
    <row r="62" spans="1:83" s="113" customFormat="1" ht="15" customHeight="1" x14ac:dyDescent="0.25">
      <c r="A62" s="315">
        <f t="shared" si="7"/>
        <v>61</v>
      </c>
      <c r="B62" s="314" t="s">
        <v>198</v>
      </c>
      <c r="C62" s="340">
        <v>13</v>
      </c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340">
        <f t="shared" si="0"/>
        <v>13</v>
      </c>
      <c r="P62" s="438">
        <f t="shared" si="1"/>
        <v>5</v>
      </c>
      <c r="Q62" s="7">
        <v>3</v>
      </c>
      <c r="R62" s="106"/>
      <c r="S62" s="344"/>
      <c r="T62" s="318">
        <v>21</v>
      </c>
      <c r="U62" s="318"/>
      <c r="V62" s="344">
        <v>45689</v>
      </c>
      <c r="W62" s="309">
        <v>3</v>
      </c>
      <c r="X62" s="309">
        <v>2</v>
      </c>
      <c r="Y62" s="309">
        <v>2</v>
      </c>
      <c r="Z62" s="429">
        <v>2</v>
      </c>
      <c r="AA62" s="184">
        <f t="shared" si="2"/>
        <v>9</v>
      </c>
      <c r="AB62" s="185">
        <f t="shared" si="3"/>
        <v>2.25</v>
      </c>
      <c r="AC62" s="185">
        <f t="shared" si="4"/>
        <v>9</v>
      </c>
      <c r="AD62" s="185">
        <f t="shared" si="5"/>
        <v>18</v>
      </c>
      <c r="AE62" s="61"/>
      <c r="AF62" s="13"/>
      <c r="AG62" s="13"/>
      <c r="AH62" s="13"/>
      <c r="AI62" s="13"/>
      <c r="AJ62" s="13"/>
      <c r="AK62" s="315"/>
      <c r="AL62" s="315"/>
      <c r="AM62" s="315"/>
      <c r="AN62" s="315"/>
      <c r="AO62" s="315"/>
      <c r="AP62" s="315"/>
      <c r="AQ62" s="315"/>
      <c r="AR62" s="315"/>
      <c r="AS62" s="315"/>
      <c r="AT62" s="315"/>
      <c r="AU62" s="315"/>
      <c r="AV62" s="315"/>
      <c r="AW62" s="315"/>
      <c r="AX62" s="315"/>
      <c r="AY62" s="315"/>
      <c r="AZ62" s="315"/>
      <c r="BA62" s="315"/>
      <c r="BB62" s="315"/>
      <c r="BC62" s="315"/>
      <c r="BD62" s="315"/>
      <c r="BE62" s="315"/>
      <c r="BF62" s="315"/>
      <c r="BG62" s="315"/>
      <c r="BH62" s="315"/>
      <c r="BI62" s="315"/>
      <c r="BJ62" s="315"/>
      <c r="BK62" s="315"/>
      <c r="BL62" s="315"/>
      <c r="BM62" s="315"/>
      <c r="BN62" s="315"/>
      <c r="BO62" s="315"/>
      <c r="BP62" s="315"/>
      <c r="BQ62" s="315"/>
      <c r="BR62" s="315"/>
      <c r="BS62" s="315"/>
      <c r="BT62" s="315"/>
      <c r="BU62" s="315"/>
      <c r="BV62" s="315"/>
      <c r="BW62" s="315"/>
      <c r="BX62" s="315"/>
      <c r="BY62" s="315"/>
      <c r="BZ62" s="315"/>
      <c r="CA62" s="315"/>
      <c r="CB62" s="315"/>
      <c r="CC62" s="315"/>
      <c r="CD62" s="315"/>
      <c r="CE62" s="315"/>
    </row>
    <row r="63" spans="1:83" s="113" customFormat="1" x14ac:dyDescent="0.25">
      <c r="A63" s="315">
        <f t="shared" si="7"/>
        <v>62</v>
      </c>
      <c r="B63" s="314" t="s">
        <v>199</v>
      </c>
      <c r="C63" s="340">
        <v>11</v>
      </c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340">
        <f t="shared" si="0"/>
        <v>11</v>
      </c>
      <c r="P63" s="438">
        <f t="shared" si="1"/>
        <v>29</v>
      </c>
      <c r="Q63" s="7">
        <v>3</v>
      </c>
      <c r="R63" s="106"/>
      <c r="S63" s="344"/>
      <c r="T63" s="318">
        <v>20</v>
      </c>
      <c r="U63" s="318">
        <v>20</v>
      </c>
      <c r="V63" s="344">
        <v>45717</v>
      </c>
      <c r="W63" s="309">
        <v>11</v>
      </c>
      <c r="X63" s="309">
        <v>1</v>
      </c>
      <c r="Y63" s="309">
        <v>3</v>
      </c>
      <c r="Z63" s="429">
        <v>5</v>
      </c>
      <c r="AA63" s="184">
        <f t="shared" si="2"/>
        <v>20</v>
      </c>
      <c r="AB63" s="185">
        <f t="shared" si="3"/>
        <v>5</v>
      </c>
      <c r="AC63" s="185">
        <f t="shared" si="4"/>
        <v>20</v>
      </c>
      <c r="AD63" s="185">
        <f t="shared" si="5"/>
        <v>40</v>
      </c>
      <c r="AE63" s="61"/>
      <c r="AF63" s="315"/>
      <c r="AG63" s="13"/>
      <c r="AH63" s="13"/>
      <c r="AI63" s="13"/>
      <c r="AJ63" s="13"/>
      <c r="AK63" s="315"/>
      <c r="AL63" s="315"/>
      <c r="AM63" s="315"/>
      <c r="AN63" s="315"/>
      <c r="AO63" s="315"/>
      <c r="AP63" s="315"/>
      <c r="AQ63" s="315"/>
      <c r="AR63" s="315"/>
      <c r="AS63" s="315"/>
      <c r="AT63" s="315"/>
      <c r="AU63" s="315"/>
      <c r="AV63" s="315"/>
      <c r="AW63" s="315"/>
      <c r="AX63" s="315"/>
      <c r="AY63" s="315"/>
      <c r="AZ63" s="315"/>
      <c r="BA63" s="315"/>
      <c r="BB63" s="315"/>
      <c r="BC63" s="315"/>
      <c r="BD63" s="315"/>
      <c r="BE63" s="315"/>
      <c r="BF63" s="315"/>
      <c r="BG63" s="315"/>
      <c r="BH63" s="315"/>
      <c r="BI63" s="315"/>
      <c r="BJ63" s="315"/>
      <c r="BK63" s="315"/>
      <c r="BL63" s="315"/>
      <c r="BM63" s="315"/>
      <c r="BN63" s="315"/>
      <c r="BO63" s="315"/>
      <c r="BP63" s="315"/>
      <c r="BQ63" s="315"/>
      <c r="BR63" s="315"/>
      <c r="BS63" s="315"/>
      <c r="BT63" s="315"/>
      <c r="BU63" s="315"/>
      <c r="BV63" s="315"/>
      <c r="BW63" s="315"/>
      <c r="BX63" s="315"/>
      <c r="BY63" s="315"/>
      <c r="BZ63" s="315"/>
      <c r="CA63" s="315"/>
      <c r="CB63" s="315"/>
      <c r="CC63" s="315"/>
      <c r="CD63" s="315"/>
      <c r="CE63" s="315"/>
    </row>
    <row r="64" spans="1:83" x14ac:dyDescent="0.25">
      <c r="A64" s="315">
        <f t="shared" si="7"/>
        <v>63</v>
      </c>
      <c r="B64" s="3" t="s">
        <v>196</v>
      </c>
      <c r="C64" s="340">
        <v>2</v>
      </c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340">
        <f t="shared" si="0"/>
        <v>2</v>
      </c>
      <c r="P64" s="438">
        <f t="shared" si="1"/>
        <v>16</v>
      </c>
      <c r="Q64" s="7">
        <v>3</v>
      </c>
      <c r="R64" s="106"/>
      <c r="S64" s="344">
        <v>46447</v>
      </c>
      <c r="T64" s="318">
        <v>2</v>
      </c>
      <c r="U64" s="318"/>
      <c r="V64" s="199">
        <v>45597</v>
      </c>
      <c r="W64" s="309">
        <v>1</v>
      </c>
      <c r="X64" s="309">
        <v>2</v>
      </c>
      <c r="Y64" s="309">
        <v>3</v>
      </c>
      <c r="Z64" s="429">
        <v>3</v>
      </c>
      <c r="AA64" s="184">
        <f t="shared" si="2"/>
        <v>9</v>
      </c>
      <c r="AB64" s="185">
        <f t="shared" si="3"/>
        <v>2.25</v>
      </c>
      <c r="AC64" s="185">
        <f t="shared" si="4"/>
        <v>9</v>
      </c>
      <c r="AD64" s="185">
        <f t="shared" si="5"/>
        <v>18</v>
      </c>
      <c r="AE64" s="61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5"/>
      <c r="AR64" s="315"/>
      <c r="AS64" s="315"/>
      <c r="AT64" s="315"/>
      <c r="AU64" s="315"/>
      <c r="AV64" s="315"/>
      <c r="AW64" s="315"/>
      <c r="AX64" s="315"/>
      <c r="AY64" s="315"/>
      <c r="AZ64" s="315"/>
      <c r="BA64" s="315"/>
      <c r="BB64" s="315"/>
      <c r="BC64" s="315"/>
      <c r="BD64" s="315"/>
      <c r="BE64" s="315"/>
      <c r="BF64" s="315"/>
      <c r="BG64" s="315"/>
      <c r="BH64" s="315"/>
      <c r="BI64" s="315"/>
      <c r="BJ64" s="315"/>
      <c r="BK64" s="315"/>
      <c r="BL64" s="315"/>
      <c r="BM64" s="315"/>
      <c r="BN64" s="315"/>
      <c r="BO64" s="315"/>
      <c r="BP64" s="315"/>
      <c r="BQ64" s="315"/>
      <c r="BR64" s="315"/>
      <c r="BS64" s="315"/>
      <c r="BT64" s="315"/>
      <c r="BU64" s="315"/>
      <c r="BV64" s="315"/>
      <c r="BW64" s="315"/>
      <c r="BX64" s="315"/>
      <c r="BY64" s="315"/>
      <c r="BZ64" s="315"/>
      <c r="CA64" s="315"/>
      <c r="CB64" s="315"/>
      <c r="CC64" s="315"/>
      <c r="CD64" s="315"/>
      <c r="CE64" s="315"/>
    </row>
    <row r="65" spans="1:83" s="113" customFormat="1" x14ac:dyDescent="0.25">
      <c r="A65" s="315">
        <f t="shared" si="7"/>
        <v>64</v>
      </c>
      <c r="B65" s="3" t="s">
        <v>236</v>
      </c>
      <c r="C65" s="340">
        <v>1</v>
      </c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340">
        <f t="shared" si="0"/>
        <v>1</v>
      </c>
      <c r="P65" s="438">
        <f t="shared" si="1"/>
        <v>7</v>
      </c>
      <c r="Q65" s="7">
        <v>58</v>
      </c>
      <c r="R65" s="106"/>
      <c r="S65" s="291">
        <v>46447</v>
      </c>
      <c r="T65" s="318">
        <v>0</v>
      </c>
      <c r="U65" s="318"/>
      <c r="V65" s="199">
        <v>45566</v>
      </c>
      <c r="W65" s="309">
        <v>1</v>
      </c>
      <c r="X65" s="309">
        <v>1</v>
      </c>
      <c r="Y65" s="309">
        <v>1</v>
      </c>
      <c r="Z65" s="429">
        <v>1</v>
      </c>
      <c r="AA65" s="184">
        <f t="shared" si="2"/>
        <v>4</v>
      </c>
      <c r="AB65" s="185">
        <f t="shared" si="3"/>
        <v>1</v>
      </c>
      <c r="AC65" s="185">
        <f t="shared" si="4"/>
        <v>4</v>
      </c>
      <c r="AD65" s="185">
        <f t="shared" si="5"/>
        <v>8</v>
      </c>
      <c r="AE65" s="61"/>
      <c r="AF65" s="13"/>
      <c r="AG65" s="13"/>
      <c r="AH65" s="13"/>
      <c r="AI65" s="13"/>
      <c r="AJ65" s="13"/>
      <c r="AK65" s="315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</row>
    <row r="66" spans="1:83" ht="15" customHeight="1" x14ac:dyDescent="0.25">
      <c r="A66" s="315">
        <f t="shared" si="7"/>
        <v>65</v>
      </c>
      <c r="B66" s="3" t="s">
        <v>782</v>
      </c>
      <c r="C66" s="340">
        <v>2</v>
      </c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340">
        <f t="shared" ref="O66:O129" si="8">SUM(C66-D66-E66-F66-G66-H66-I66-J66-K66-L66-M66-N66)</f>
        <v>2</v>
      </c>
      <c r="P66" s="438">
        <f t="shared" si="1"/>
        <v>4</v>
      </c>
      <c r="Q66" s="7">
        <v>40</v>
      </c>
      <c r="R66" s="106"/>
      <c r="S66" s="344">
        <v>46661</v>
      </c>
      <c r="T66" s="318">
        <v>0</v>
      </c>
      <c r="U66" s="318"/>
      <c r="V66" s="344">
        <v>45689</v>
      </c>
      <c r="W66" s="309"/>
      <c r="X66" s="309">
        <v>1</v>
      </c>
      <c r="Y66" s="309">
        <v>1</v>
      </c>
      <c r="Z66" s="429">
        <v>1</v>
      </c>
      <c r="AA66" s="184">
        <f t="shared" ref="AA66:AA129" si="9">W66+X66+Y66+Z66</f>
        <v>3</v>
      </c>
      <c r="AB66" s="185">
        <f t="shared" ref="AB66:AB129" si="10">AA66/4</f>
        <v>0.75</v>
      </c>
      <c r="AC66" s="185">
        <f t="shared" ref="AC66:AC129" si="11">AB66*4</f>
        <v>3</v>
      </c>
      <c r="AD66" s="185">
        <f t="shared" ref="AD66:AD129" si="12">AC66*2</f>
        <v>6</v>
      </c>
      <c r="AE66" s="61"/>
      <c r="AF66" s="315"/>
      <c r="AG66" s="315"/>
      <c r="AH66" s="315"/>
      <c r="AI66" s="315"/>
      <c r="AJ66" s="315"/>
      <c r="AK66" s="315"/>
      <c r="AL66" s="315"/>
      <c r="AM66" s="315"/>
      <c r="AN66" s="315"/>
      <c r="AO66" s="315"/>
      <c r="AP66" s="315"/>
      <c r="AQ66" s="315"/>
      <c r="AR66" s="315"/>
      <c r="AS66" s="315"/>
      <c r="AT66" s="315"/>
      <c r="AU66" s="315"/>
      <c r="AV66" s="315"/>
      <c r="AW66" s="315"/>
      <c r="AX66" s="315"/>
      <c r="AY66" s="315"/>
      <c r="AZ66" s="315"/>
      <c r="BA66" s="315"/>
      <c r="BB66" s="315"/>
      <c r="BC66" s="315"/>
      <c r="BD66" s="315"/>
      <c r="BE66" s="315"/>
      <c r="BF66" s="315"/>
      <c r="BG66" s="315"/>
      <c r="BH66" s="315"/>
      <c r="BI66" s="315"/>
      <c r="BJ66" s="315"/>
      <c r="BK66" s="315"/>
      <c r="BL66" s="315"/>
      <c r="BM66" s="315"/>
      <c r="BN66" s="315"/>
      <c r="BO66" s="315"/>
      <c r="BP66" s="315"/>
      <c r="BQ66" s="315"/>
      <c r="BR66" s="315"/>
      <c r="BS66" s="315"/>
      <c r="BT66" s="315"/>
      <c r="BU66" s="315"/>
      <c r="BV66" s="315"/>
      <c r="BW66" s="315"/>
      <c r="BX66" s="315"/>
      <c r="BY66" s="315"/>
      <c r="BZ66" s="315"/>
      <c r="CA66" s="315"/>
      <c r="CB66" s="315"/>
      <c r="CC66" s="315"/>
      <c r="CD66" s="315"/>
      <c r="CE66" s="315"/>
    </row>
    <row r="67" spans="1:83" ht="15" customHeight="1" x14ac:dyDescent="0.25">
      <c r="A67" s="315">
        <f t="shared" ref="A67:A98" si="13">A66+1</f>
        <v>66</v>
      </c>
      <c r="B67" s="3" t="s">
        <v>1188</v>
      </c>
      <c r="C67" s="340">
        <v>68</v>
      </c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340">
        <f t="shared" si="8"/>
        <v>68</v>
      </c>
      <c r="P67" s="438">
        <f t="shared" ref="P67:P130" si="14">AD67-O67</f>
        <v>56</v>
      </c>
      <c r="Q67" s="7">
        <v>1</v>
      </c>
      <c r="R67" s="63"/>
      <c r="S67" s="118">
        <v>46327</v>
      </c>
      <c r="T67" s="316">
        <v>1</v>
      </c>
      <c r="U67" s="316"/>
      <c r="V67" s="199">
        <v>45536</v>
      </c>
      <c r="W67" s="309">
        <v>20</v>
      </c>
      <c r="X67" s="107">
        <v>20</v>
      </c>
      <c r="Y67" s="309">
        <v>2</v>
      </c>
      <c r="Z67" s="309">
        <v>20</v>
      </c>
      <c r="AA67" s="184">
        <f t="shared" si="9"/>
        <v>62</v>
      </c>
      <c r="AB67" s="185">
        <f t="shared" si="10"/>
        <v>15.5</v>
      </c>
      <c r="AC67" s="185">
        <f t="shared" si="11"/>
        <v>62</v>
      </c>
      <c r="AD67" s="185">
        <f t="shared" si="12"/>
        <v>124</v>
      </c>
      <c r="AE67" s="105"/>
      <c r="AF67" s="315"/>
      <c r="AG67" s="315"/>
      <c r="AH67" s="315"/>
      <c r="AI67" s="315"/>
      <c r="AJ67" s="315"/>
      <c r="AK67" s="315"/>
      <c r="AL67" s="315"/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5"/>
      <c r="AY67" s="315"/>
      <c r="AZ67" s="315"/>
      <c r="BA67" s="315"/>
      <c r="BB67" s="315"/>
      <c r="BC67" s="315"/>
      <c r="BD67" s="315"/>
      <c r="BE67" s="315"/>
      <c r="BF67" s="315"/>
      <c r="BG67" s="315"/>
      <c r="BH67" s="315"/>
      <c r="BI67" s="315"/>
      <c r="BJ67" s="315"/>
      <c r="BK67" s="315"/>
      <c r="BL67" s="315"/>
      <c r="BM67" s="315"/>
      <c r="BN67" s="315"/>
      <c r="BO67" s="315"/>
      <c r="BP67" s="315"/>
      <c r="BQ67" s="315"/>
      <c r="BR67" s="315"/>
      <c r="BS67" s="315"/>
      <c r="BT67" s="315"/>
      <c r="BU67" s="315"/>
      <c r="BV67" s="315"/>
      <c r="BW67" s="315"/>
      <c r="BX67" s="315"/>
      <c r="BY67" s="315"/>
      <c r="BZ67" s="315"/>
      <c r="CA67" s="315"/>
      <c r="CB67" s="315"/>
      <c r="CC67" s="315"/>
      <c r="CD67" s="315"/>
      <c r="CE67" s="315"/>
    </row>
    <row r="68" spans="1:83" ht="15" customHeight="1" x14ac:dyDescent="0.25">
      <c r="A68" s="315">
        <f t="shared" si="13"/>
        <v>67</v>
      </c>
      <c r="B68" s="314" t="s">
        <v>237</v>
      </c>
      <c r="C68" s="340">
        <v>2</v>
      </c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340">
        <f t="shared" si="8"/>
        <v>2</v>
      </c>
      <c r="P68" s="438">
        <f t="shared" si="14"/>
        <v>8</v>
      </c>
      <c r="Q68" s="7">
        <v>26</v>
      </c>
      <c r="R68" s="106"/>
      <c r="S68" s="344">
        <v>46296</v>
      </c>
      <c r="T68" s="318">
        <v>2</v>
      </c>
      <c r="U68" s="318"/>
      <c r="V68" s="199">
        <v>45689</v>
      </c>
      <c r="W68" s="309">
        <v>1</v>
      </c>
      <c r="X68" s="309">
        <v>1</v>
      </c>
      <c r="Y68" s="309">
        <v>2</v>
      </c>
      <c r="Z68" s="429">
        <v>1</v>
      </c>
      <c r="AA68" s="184">
        <f t="shared" si="9"/>
        <v>5</v>
      </c>
      <c r="AB68" s="185">
        <f t="shared" si="10"/>
        <v>1.25</v>
      </c>
      <c r="AC68" s="185">
        <f t="shared" si="11"/>
        <v>5</v>
      </c>
      <c r="AD68" s="185">
        <f t="shared" si="12"/>
        <v>10</v>
      </c>
      <c r="AE68" s="61"/>
      <c r="AF68" s="315"/>
      <c r="AG68" s="315"/>
      <c r="AH68" s="315"/>
      <c r="AI68" s="315"/>
      <c r="AJ68" s="315"/>
      <c r="AK68" s="315"/>
      <c r="AL68" s="315"/>
      <c r="AM68" s="315"/>
      <c r="AN68" s="315"/>
      <c r="AO68" s="315"/>
      <c r="AP68" s="315"/>
      <c r="AQ68" s="315"/>
      <c r="AR68" s="315"/>
      <c r="AS68" s="315"/>
      <c r="AT68" s="315"/>
      <c r="AU68" s="315"/>
      <c r="AV68" s="315"/>
      <c r="AW68" s="315"/>
      <c r="AX68" s="315"/>
      <c r="AY68" s="315"/>
      <c r="AZ68" s="315"/>
      <c r="BA68" s="315"/>
      <c r="BB68" s="315"/>
      <c r="BC68" s="315"/>
      <c r="BD68" s="315"/>
      <c r="BE68" s="315"/>
      <c r="BF68" s="315"/>
      <c r="BG68" s="315"/>
      <c r="BH68" s="315"/>
      <c r="BI68" s="315"/>
      <c r="BJ68" s="315"/>
      <c r="BK68" s="315"/>
      <c r="BL68" s="315"/>
      <c r="BM68" s="315"/>
      <c r="BN68" s="315"/>
      <c r="BO68" s="315"/>
      <c r="BP68" s="315"/>
      <c r="BQ68" s="315"/>
      <c r="BR68" s="315"/>
      <c r="BS68" s="315"/>
      <c r="BT68" s="315"/>
      <c r="BU68" s="315"/>
      <c r="BV68" s="315"/>
      <c r="BW68" s="315"/>
      <c r="BX68" s="315"/>
      <c r="BY68" s="315"/>
      <c r="BZ68" s="315"/>
      <c r="CA68" s="315"/>
      <c r="CB68" s="315"/>
      <c r="CC68" s="315"/>
      <c r="CD68" s="315"/>
      <c r="CE68" s="315"/>
    </row>
    <row r="69" spans="1:83" s="113" customFormat="1" ht="15" customHeight="1" x14ac:dyDescent="0.25">
      <c r="A69" s="315">
        <f t="shared" si="13"/>
        <v>68</v>
      </c>
      <c r="B69" s="3" t="s">
        <v>1222</v>
      </c>
      <c r="C69" s="340">
        <v>12</v>
      </c>
      <c r="D69" s="359"/>
      <c r="E69" s="478">
        <v>1</v>
      </c>
      <c r="F69" s="359">
        <v>2</v>
      </c>
      <c r="G69" s="478"/>
      <c r="H69" s="359"/>
      <c r="I69" s="478">
        <v>1</v>
      </c>
      <c r="J69" s="359"/>
      <c r="K69" s="478">
        <v>2</v>
      </c>
      <c r="L69" s="359"/>
      <c r="M69" s="478"/>
      <c r="N69" s="561"/>
      <c r="O69" s="340">
        <f t="shared" si="8"/>
        <v>6</v>
      </c>
      <c r="P69" s="438">
        <f t="shared" si="14"/>
        <v>64</v>
      </c>
      <c r="Q69" s="7">
        <v>4</v>
      </c>
      <c r="R69" s="106"/>
      <c r="S69" s="344">
        <v>46600</v>
      </c>
      <c r="T69" s="318">
        <v>5</v>
      </c>
      <c r="U69" s="318">
        <v>6</v>
      </c>
      <c r="V69" s="199">
        <v>45717</v>
      </c>
      <c r="W69" s="309">
        <v>11</v>
      </c>
      <c r="X69" s="309">
        <v>12</v>
      </c>
      <c r="Y69" s="309">
        <v>6</v>
      </c>
      <c r="Z69" s="429">
        <v>6</v>
      </c>
      <c r="AA69" s="184">
        <f t="shared" si="9"/>
        <v>35</v>
      </c>
      <c r="AB69" s="185">
        <f t="shared" si="10"/>
        <v>8.75</v>
      </c>
      <c r="AC69" s="185">
        <f t="shared" si="11"/>
        <v>35</v>
      </c>
      <c r="AD69" s="185">
        <f t="shared" si="12"/>
        <v>70</v>
      </c>
      <c r="AE69" s="61"/>
      <c r="AF69" s="315"/>
      <c r="AG69" s="315"/>
      <c r="AH69" s="315"/>
      <c r="AI69" s="315"/>
      <c r="AJ69" s="315"/>
      <c r="AK69" s="315"/>
      <c r="AL69" s="315"/>
      <c r="AM69" s="315"/>
      <c r="AN69" s="315"/>
      <c r="AO69" s="315"/>
      <c r="AP69" s="315"/>
      <c r="AQ69" s="315"/>
      <c r="AR69" s="315"/>
      <c r="AS69" s="315"/>
      <c r="AT69" s="315"/>
      <c r="AU69" s="315"/>
      <c r="AV69" s="315"/>
      <c r="AW69" s="315"/>
      <c r="AX69" s="315"/>
      <c r="AY69" s="315"/>
      <c r="AZ69" s="315"/>
      <c r="BA69" s="315"/>
      <c r="BB69" s="315"/>
      <c r="BC69" s="315"/>
      <c r="BD69" s="315"/>
      <c r="BE69" s="315"/>
      <c r="BF69" s="315"/>
      <c r="BG69" s="315"/>
      <c r="BH69" s="315"/>
      <c r="BI69" s="315"/>
      <c r="BJ69" s="315"/>
      <c r="BK69" s="315"/>
      <c r="BL69" s="315"/>
      <c r="BM69" s="315"/>
      <c r="BN69" s="315"/>
      <c r="BO69" s="315"/>
      <c r="BP69" s="315"/>
      <c r="BQ69" s="315"/>
      <c r="BR69" s="315"/>
      <c r="BS69" s="315"/>
      <c r="BT69" s="315"/>
      <c r="BU69" s="315"/>
      <c r="BV69" s="315"/>
      <c r="BW69" s="315"/>
      <c r="BX69" s="315"/>
      <c r="BY69" s="315"/>
      <c r="BZ69" s="315"/>
      <c r="CA69" s="315"/>
      <c r="CB69" s="315"/>
      <c r="CC69" s="315"/>
      <c r="CD69" s="315"/>
      <c r="CE69" s="315"/>
    </row>
    <row r="70" spans="1:83" ht="15.75" customHeight="1" x14ac:dyDescent="0.25">
      <c r="A70" s="315">
        <f t="shared" si="13"/>
        <v>69</v>
      </c>
      <c r="B70" s="3" t="s">
        <v>498</v>
      </c>
      <c r="C70" s="340">
        <v>3</v>
      </c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340">
        <f t="shared" si="8"/>
        <v>3</v>
      </c>
      <c r="P70" s="438">
        <f t="shared" si="14"/>
        <v>11</v>
      </c>
      <c r="Q70" s="44">
        <v>19</v>
      </c>
      <c r="R70" s="73"/>
      <c r="S70" s="344">
        <v>46478</v>
      </c>
      <c r="T70" s="318">
        <v>2</v>
      </c>
      <c r="U70" s="318"/>
      <c r="V70" s="344">
        <v>45627</v>
      </c>
      <c r="W70" s="309">
        <v>1</v>
      </c>
      <c r="X70" s="309">
        <v>2</v>
      </c>
      <c r="Y70" s="309">
        <v>1</v>
      </c>
      <c r="Z70" s="429">
        <v>3</v>
      </c>
      <c r="AA70" s="184">
        <f t="shared" si="9"/>
        <v>7</v>
      </c>
      <c r="AB70" s="185">
        <f t="shared" si="10"/>
        <v>1.75</v>
      </c>
      <c r="AC70" s="185">
        <f t="shared" si="11"/>
        <v>7</v>
      </c>
      <c r="AD70" s="185">
        <f t="shared" si="12"/>
        <v>14</v>
      </c>
      <c r="AE70" s="61"/>
      <c r="AF70" s="315"/>
      <c r="AG70" s="315"/>
      <c r="AH70" s="315"/>
      <c r="AI70" s="315"/>
      <c r="AJ70" s="315"/>
      <c r="AK70" s="315"/>
      <c r="AL70" s="315"/>
      <c r="AM70" s="315"/>
      <c r="AN70" s="315"/>
      <c r="AO70" s="315"/>
      <c r="AP70" s="315"/>
      <c r="AQ70" s="315"/>
      <c r="AR70" s="315"/>
      <c r="AS70" s="315"/>
      <c r="AT70" s="315"/>
      <c r="AU70" s="315"/>
      <c r="AV70" s="315"/>
      <c r="AW70" s="315"/>
      <c r="AX70" s="315"/>
      <c r="AY70" s="315"/>
      <c r="AZ70" s="315"/>
      <c r="BA70" s="315"/>
      <c r="BB70" s="315"/>
      <c r="BC70" s="315"/>
      <c r="BD70" s="315"/>
      <c r="BE70" s="315"/>
      <c r="BF70" s="315"/>
      <c r="BG70" s="315"/>
      <c r="BH70" s="315"/>
      <c r="BI70" s="315"/>
      <c r="BJ70" s="315"/>
      <c r="BK70" s="315"/>
      <c r="BL70" s="315"/>
      <c r="BM70" s="315"/>
      <c r="BN70" s="315"/>
      <c r="BO70" s="315"/>
      <c r="BP70" s="315"/>
      <c r="BQ70" s="315"/>
      <c r="BR70" s="315"/>
      <c r="BS70" s="315"/>
      <c r="BT70" s="315"/>
      <c r="BU70" s="315"/>
      <c r="BV70" s="315"/>
      <c r="BW70" s="315"/>
      <c r="BX70" s="315"/>
      <c r="BY70" s="315"/>
      <c r="BZ70" s="315"/>
      <c r="CA70" s="315"/>
      <c r="CB70" s="315"/>
      <c r="CC70" s="315"/>
      <c r="CD70" s="315"/>
      <c r="CE70" s="315"/>
    </row>
    <row r="71" spans="1:83" s="113" customFormat="1" ht="15" customHeight="1" x14ac:dyDescent="0.25">
      <c r="A71" s="315">
        <f t="shared" si="13"/>
        <v>70</v>
      </c>
      <c r="B71" s="3" t="s">
        <v>780</v>
      </c>
      <c r="C71" s="340">
        <v>0</v>
      </c>
      <c r="D71" s="359"/>
      <c r="E71" s="478"/>
      <c r="F71" s="360"/>
      <c r="G71" s="480"/>
      <c r="H71" s="360"/>
      <c r="I71" s="480"/>
      <c r="J71" s="360"/>
      <c r="K71" s="480"/>
      <c r="L71" s="360"/>
      <c r="M71" s="480"/>
      <c r="N71" s="561"/>
      <c r="O71" s="340">
        <f t="shared" si="8"/>
        <v>0</v>
      </c>
      <c r="P71" s="689">
        <f t="shared" si="14"/>
        <v>0</v>
      </c>
      <c r="Q71" s="7">
        <v>0.95</v>
      </c>
      <c r="R71" s="63" t="s">
        <v>1476</v>
      </c>
      <c r="S71" s="344"/>
      <c r="T71" s="318"/>
      <c r="U71" s="318"/>
      <c r="V71" s="199"/>
      <c r="W71" s="309"/>
      <c r="X71" s="309"/>
      <c r="Y71" s="309"/>
      <c r="Z71" s="429"/>
      <c r="AA71" s="184"/>
      <c r="AB71" s="185"/>
      <c r="AC71" s="185"/>
      <c r="AD71" s="185"/>
      <c r="AE71" s="61"/>
      <c r="AF71" s="315"/>
      <c r="AG71" s="315"/>
      <c r="AH71" s="315"/>
      <c r="AI71" s="315"/>
      <c r="AJ71" s="315"/>
      <c r="AK71" s="315"/>
      <c r="AL71" s="315"/>
      <c r="AM71" s="315"/>
      <c r="AN71" s="315"/>
      <c r="AO71" s="315"/>
      <c r="AP71" s="315"/>
      <c r="AQ71" s="315"/>
      <c r="AR71" s="315"/>
      <c r="AS71" s="315"/>
      <c r="AT71" s="315"/>
      <c r="AU71" s="315"/>
      <c r="AV71" s="315"/>
      <c r="AW71" s="315"/>
      <c r="AX71" s="315"/>
      <c r="AY71" s="315"/>
      <c r="AZ71" s="315"/>
      <c r="BA71" s="315"/>
      <c r="BB71" s="315"/>
      <c r="BC71" s="315"/>
      <c r="BD71" s="315"/>
      <c r="BE71" s="315"/>
      <c r="BF71" s="315"/>
      <c r="BG71" s="315"/>
      <c r="BH71" s="315"/>
      <c r="BI71" s="315"/>
      <c r="BJ71" s="315"/>
      <c r="BK71" s="315"/>
      <c r="BL71" s="315"/>
      <c r="BM71" s="315"/>
      <c r="BN71" s="315"/>
      <c r="BO71" s="315"/>
      <c r="BP71" s="315"/>
      <c r="BQ71" s="315"/>
      <c r="BR71" s="315"/>
      <c r="BS71" s="315"/>
      <c r="BT71" s="315"/>
      <c r="BU71" s="315"/>
      <c r="BV71" s="315"/>
      <c r="BW71" s="315"/>
      <c r="BX71" s="315"/>
      <c r="BY71" s="315"/>
      <c r="BZ71" s="315"/>
      <c r="CA71" s="315"/>
      <c r="CB71" s="315"/>
      <c r="CC71" s="315"/>
      <c r="CD71" s="315"/>
      <c r="CE71" s="315"/>
    </row>
    <row r="72" spans="1:83" ht="15" customHeight="1" x14ac:dyDescent="0.25">
      <c r="A72" s="315">
        <f t="shared" si="13"/>
        <v>71</v>
      </c>
      <c r="B72" s="3" t="s">
        <v>282</v>
      </c>
      <c r="C72" s="340">
        <v>2</v>
      </c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340">
        <f t="shared" si="8"/>
        <v>2</v>
      </c>
      <c r="P72" s="438">
        <f t="shared" si="14"/>
        <v>8</v>
      </c>
      <c r="Q72" s="7">
        <v>12</v>
      </c>
      <c r="R72" s="68"/>
      <c r="S72" s="344">
        <v>46508</v>
      </c>
      <c r="T72" s="318">
        <v>2</v>
      </c>
      <c r="U72" s="318"/>
      <c r="V72" s="344">
        <v>45536</v>
      </c>
      <c r="W72" s="309">
        <v>1</v>
      </c>
      <c r="X72" s="309">
        <v>1</v>
      </c>
      <c r="Y72" s="309">
        <v>1</v>
      </c>
      <c r="Z72" s="429">
        <v>2</v>
      </c>
      <c r="AA72" s="184">
        <f t="shared" si="9"/>
        <v>5</v>
      </c>
      <c r="AB72" s="185">
        <f t="shared" si="10"/>
        <v>1.25</v>
      </c>
      <c r="AC72" s="185">
        <f t="shared" si="11"/>
        <v>5</v>
      </c>
      <c r="AD72" s="185">
        <f t="shared" si="12"/>
        <v>10</v>
      </c>
      <c r="AE72" s="61"/>
      <c r="AF72" s="315"/>
      <c r="AG72" s="315"/>
      <c r="AH72" s="315"/>
      <c r="AI72" s="315"/>
      <c r="AJ72" s="315"/>
      <c r="AK72" s="315"/>
      <c r="AL72" s="315"/>
      <c r="AM72" s="315"/>
      <c r="AN72" s="315"/>
      <c r="AO72" s="315"/>
      <c r="AP72" s="315"/>
      <c r="AQ72" s="315"/>
      <c r="AR72" s="315"/>
      <c r="AS72" s="315"/>
      <c r="AT72" s="315"/>
      <c r="AU72" s="315"/>
      <c r="AV72" s="315"/>
      <c r="AW72" s="315"/>
      <c r="AX72" s="315"/>
      <c r="AY72" s="315"/>
      <c r="AZ72" s="315"/>
      <c r="BA72" s="315"/>
      <c r="BB72" s="315"/>
      <c r="BC72" s="315"/>
      <c r="BD72" s="315"/>
      <c r="BE72" s="315"/>
      <c r="BF72" s="315"/>
      <c r="BG72" s="315"/>
      <c r="BH72" s="315"/>
      <c r="BI72" s="315"/>
      <c r="BJ72" s="315"/>
      <c r="BK72" s="315"/>
      <c r="BL72" s="315"/>
      <c r="BM72" s="315"/>
      <c r="BN72" s="315"/>
      <c r="BO72" s="315"/>
      <c r="BP72" s="315"/>
      <c r="BQ72" s="315"/>
      <c r="BR72" s="315"/>
      <c r="BS72" s="315"/>
      <c r="BT72" s="315"/>
      <c r="BU72" s="315"/>
      <c r="BV72" s="315"/>
      <c r="BW72" s="315"/>
      <c r="BX72" s="315"/>
      <c r="BY72" s="315"/>
      <c r="BZ72" s="315"/>
      <c r="CA72" s="315"/>
      <c r="CB72" s="315"/>
      <c r="CC72" s="315"/>
      <c r="CD72" s="315"/>
      <c r="CE72" s="315"/>
    </row>
    <row r="73" spans="1:83" s="113" customFormat="1" ht="15" customHeight="1" x14ac:dyDescent="0.25">
      <c r="A73" s="315">
        <f t="shared" si="13"/>
        <v>72</v>
      </c>
      <c r="B73" s="3" t="s">
        <v>592</v>
      </c>
      <c r="C73" s="340">
        <v>2</v>
      </c>
      <c r="D73" s="359"/>
      <c r="E73" s="478"/>
      <c r="F73" s="359"/>
      <c r="G73" s="478"/>
      <c r="H73" s="359"/>
      <c r="I73" s="478"/>
      <c r="J73" s="359"/>
      <c r="K73" s="478"/>
      <c r="L73" s="362"/>
      <c r="M73" s="499"/>
      <c r="N73" s="576"/>
      <c r="O73" s="340">
        <f t="shared" si="8"/>
        <v>2</v>
      </c>
      <c r="P73" s="438">
        <f t="shared" si="14"/>
        <v>8</v>
      </c>
      <c r="Q73" s="10">
        <v>9</v>
      </c>
      <c r="R73" s="73"/>
      <c r="S73" s="344">
        <v>46388</v>
      </c>
      <c r="T73" s="309">
        <v>5</v>
      </c>
      <c r="U73" s="309"/>
      <c r="V73" s="199">
        <v>45658</v>
      </c>
      <c r="W73" s="309">
        <v>1</v>
      </c>
      <c r="X73" s="309">
        <v>2</v>
      </c>
      <c r="Y73" s="309">
        <v>1</v>
      </c>
      <c r="Z73" s="429">
        <v>1</v>
      </c>
      <c r="AA73" s="184">
        <f t="shared" si="9"/>
        <v>5</v>
      </c>
      <c r="AB73" s="185">
        <f t="shared" si="10"/>
        <v>1.25</v>
      </c>
      <c r="AC73" s="185">
        <f t="shared" si="11"/>
        <v>5</v>
      </c>
      <c r="AD73" s="185">
        <f t="shared" si="12"/>
        <v>10</v>
      </c>
      <c r="AE73" s="61"/>
      <c r="AF73" s="315"/>
      <c r="AG73" s="315"/>
      <c r="AH73" s="315"/>
      <c r="AI73" s="315"/>
      <c r="AJ73" s="315"/>
      <c r="AK73" s="315"/>
      <c r="AL73" s="315"/>
      <c r="AM73" s="315"/>
      <c r="AN73" s="315"/>
      <c r="AO73" s="315"/>
      <c r="AP73" s="315"/>
      <c r="AQ73" s="315"/>
      <c r="AR73" s="315"/>
      <c r="AS73" s="315"/>
      <c r="AT73" s="315"/>
      <c r="AU73" s="315"/>
      <c r="AV73" s="315"/>
      <c r="AW73" s="315"/>
      <c r="AX73" s="315"/>
      <c r="AY73" s="315"/>
      <c r="AZ73" s="315"/>
      <c r="BA73" s="315"/>
      <c r="BB73" s="315"/>
      <c r="BC73" s="315"/>
      <c r="BD73" s="315"/>
      <c r="BE73" s="315"/>
      <c r="BF73" s="315"/>
      <c r="BG73" s="315"/>
      <c r="BH73" s="315"/>
      <c r="BI73" s="315"/>
      <c r="BJ73" s="315"/>
      <c r="BK73" s="315"/>
      <c r="BL73" s="315"/>
      <c r="BM73" s="315"/>
      <c r="BN73" s="315"/>
      <c r="BO73" s="315"/>
      <c r="BP73" s="315"/>
      <c r="BQ73" s="315"/>
      <c r="BR73" s="315"/>
      <c r="BS73" s="315"/>
      <c r="BT73" s="315"/>
      <c r="BU73" s="315"/>
      <c r="BV73" s="315"/>
      <c r="BW73" s="315"/>
      <c r="BX73" s="315"/>
      <c r="BY73" s="315"/>
      <c r="BZ73" s="315"/>
      <c r="CA73" s="315"/>
      <c r="CB73" s="315"/>
      <c r="CC73" s="315"/>
      <c r="CD73" s="315"/>
      <c r="CE73" s="315"/>
    </row>
    <row r="74" spans="1:83" s="97" customFormat="1" x14ac:dyDescent="0.25">
      <c r="A74" s="315">
        <f t="shared" si="13"/>
        <v>73</v>
      </c>
      <c r="B74" s="3" t="s">
        <v>72</v>
      </c>
      <c r="C74" s="340">
        <v>4</v>
      </c>
      <c r="D74" s="361"/>
      <c r="E74" s="482"/>
      <c r="F74" s="361"/>
      <c r="G74" s="482"/>
      <c r="H74" s="361"/>
      <c r="I74" s="482"/>
      <c r="J74" s="361"/>
      <c r="K74" s="482"/>
      <c r="L74" s="361"/>
      <c r="M74" s="482"/>
      <c r="N74" s="563"/>
      <c r="O74" s="340">
        <f t="shared" si="8"/>
        <v>4</v>
      </c>
      <c r="P74" s="438">
        <f t="shared" si="14"/>
        <v>6</v>
      </c>
      <c r="Q74" s="7">
        <v>20</v>
      </c>
      <c r="R74" s="69"/>
      <c r="S74" s="344">
        <v>46539</v>
      </c>
      <c r="T74" s="318">
        <v>2</v>
      </c>
      <c r="U74" s="318"/>
      <c r="V74" s="344">
        <v>45658</v>
      </c>
      <c r="W74" s="309">
        <v>1</v>
      </c>
      <c r="X74" s="309">
        <v>2</v>
      </c>
      <c r="Y74" s="309">
        <v>1</v>
      </c>
      <c r="Z74" s="429">
        <v>1</v>
      </c>
      <c r="AA74" s="184">
        <f t="shared" si="9"/>
        <v>5</v>
      </c>
      <c r="AB74" s="185">
        <f t="shared" si="10"/>
        <v>1.25</v>
      </c>
      <c r="AC74" s="185">
        <f t="shared" si="11"/>
        <v>5</v>
      </c>
      <c r="AD74" s="185">
        <f t="shared" si="12"/>
        <v>10</v>
      </c>
      <c r="AE74" s="61"/>
      <c r="AF74" s="315"/>
      <c r="AG74" s="315"/>
      <c r="AH74" s="315"/>
      <c r="AI74" s="315"/>
      <c r="AJ74" s="315"/>
      <c r="AK74" s="315"/>
      <c r="AL74" s="315"/>
      <c r="AM74" s="315"/>
      <c r="AN74" s="315"/>
      <c r="AO74" s="315"/>
      <c r="AP74" s="315"/>
      <c r="AQ74" s="315"/>
      <c r="AR74" s="315"/>
      <c r="AS74" s="315"/>
      <c r="AT74" s="315"/>
      <c r="AU74" s="315"/>
      <c r="AV74" s="315"/>
      <c r="AW74" s="315"/>
      <c r="AX74" s="315"/>
      <c r="AY74" s="315"/>
      <c r="AZ74" s="315"/>
      <c r="BA74" s="315"/>
      <c r="BB74" s="315"/>
      <c r="BC74" s="315"/>
      <c r="BD74" s="315"/>
      <c r="BE74" s="315"/>
      <c r="BF74" s="315"/>
      <c r="BG74" s="315"/>
      <c r="BH74" s="315"/>
      <c r="BI74" s="315"/>
      <c r="BJ74" s="315"/>
      <c r="BK74" s="315"/>
      <c r="BL74" s="315"/>
      <c r="BM74" s="315"/>
      <c r="BN74" s="315"/>
      <c r="BO74" s="315"/>
      <c r="BP74" s="315"/>
      <c r="BQ74" s="315"/>
      <c r="BR74" s="315"/>
      <c r="BS74" s="315"/>
      <c r="BT74" s="315"/>
      <c r="BU74" s="315"/>
      <c r="BV74" s="315"/>
      <c r="BW74" s="315"/>
      <c r="BX74" s="315"/>
      <c r="BY74" s="315"/>
      <c r="BZ74" s="315"/>
      <c r="CA74" s="315"/>
      <c r="CB74" s="315"/>
      <c r="CC74" s="315"/>
      <c r="CD74" s="315"/>
      <c r="CE74" s="315"/>
    </row>
    <row r="75" spans="1:83" s="113" customFormat="1" x14ac:dyDescent="0.25">
      <c r="A75" s="315">
        <f t="shared" si="13"/>
        <v>74</v>
      </c>
      <c r="B75" s="3" t="s">
        <v>1220</v>
      </c>
      <c r="C75" s="340">
        <v>17</v>
      </c>
      <c r="D75" s="359"/>
      <c r="E75" s="478"/>
      <c r="F75" s="359">
        <v>3</v>
      </c>
      <c r="G75" s="478"/>
      <c r="H75" s="359"/>
      <c r="I75" s="478"/>
      <c r="J75" s="359"/>
      <c r="K75" s="478"/>
      <c r="L75" s="359"/>
      <c r="M75" s="478"/>
      <c r="N75" s="561"/>
      <c r="O75" s="340">
        <f t="shared" si="8"/>
        <v>14</v>
      </c>
      <c r="P75" s="438">
        <f t="shared" si="14"/>
        <v>34</v>
      </c>
      <c r="Q75" s="7">
        <v>4</v>
      </c>
      <c r="R75" s="106"/>
      <c r="S75" s="344">
        <v>46143</v>
      </c>
      <c r="T75" s="318">
        <v>20</v>
      </c>
      <c r="U75" s="318">
        <v>30</v>
      </c>
      <c r="V75" s="199">
        <v>45717</v>
      </c>
      <c r="W75" s="309">
        <v>9</v>
      </c>
      <c r="X75" s="309">
        <v>8</v>
      </c>
      <c r="Y75" s="309">
        <v>4</v>
      </c>
      <c r="Z75" s="429">
        <v>3</v>
      </c>
      <c r="AA75" s="184">
        <f t="shared" si="9"/>
        <v>24</v>
      </c>
      <c r="AB75" s="185">
        <f t="shared" si="10"/>
        <v>6</v>
      </c>
      <c r="AC75" s="185">
        <f t="shared" si="11"/>
        <v>24</v>
      </c>
      <c r="AD75" s="185">
        <f t="shared" si="12"/>
        <v>48</v>
      </c>
      <c r="AE75" s="61"/>
      <c r="AF75" s="315"/>
      <c r="AG75" s="315"/>
      <c r="AH75" s="315"/>
      <c r="AI75" s="315"/>
      <c r="AJ75" s="315"/>
      <c r="AK75" s="315"/>
      <c r="AL75" s="315"/>
      <c r="AM75" s="315"/>
      <c r="AN75" s="315"/>
      <c r="AO75" s="315"/>
      <c r="AP75" s="315"/>
      <c r="AQ75" s="315"/>
      <c r="AR75" s="315"/>
      <c r="AS75" s="315"/>
      <c r="AT75" s="315"/>
      <c r="AU75" s="315"/>
      <c r="AV75" s="315"/>
      <c r="AW75" s="315"/>
      <c r="AX75" s="315"/>
      <c r="AY75" s="315"/>
      <c r="AZ75" s="315"/>
      <c r="BA75" s="315"/>
      <c r="BB75" s="315"/>
      <c r="BC75" s="315"/>
      <c r="BD75" s="315"/>
      <c r="BE75" s="315"/>
      <c r="BF75" s="315"/>
      <c r="BG75" s="315"/>
      <c r="BH75" s="315"/>
      <c r="BI75" s="315"/>
      <c r="BJ75" s="315"/>
      <c r="BK75" s="315"/>
      <c r="BL75" s="315"/>
      <c r="BM75" s="315"/>
      <c r="BN75" s="315"/>
      <c r="BO75" s="315"/>
      <c r="BP75" s="315"/>
      <c r="BQ75" s="315"/>
      <c r="BR75" s="315"/>
      <c r="BS75" s="315"/>
      <c r="BT75" s="315"/>
      <c r="BU75" s="315"/>
      <c r="BV75" s="315"/>
      <c r="BW75" s="315"/>
      <c r="BX75" s="315"/>
      <c r="BY75" s="315"/>
      <c r="BZ75" s="315"/>
      <c r="CA75" s="315"/>
      <c r="CB75" s="315"/>
      <c r="CC75" s="315"/>
      <c r="CD75" s="315"/>
      <c r="CE75" s="315"/>
    </row>
    <row r="76" spans="1:83" s="97" customFormat="1" ht="15" customHeight="1" x14ac:dyDescent="0.25">
      <c r="A76" s="315">
        <f t="shared" si="13"/>
        <v>75</v>
      </c>
      <c r="B76" s="3" t="s">
        <v>219</v>
      </c>
      <c r="C76" s="340">
        <v>35</v>
      </c>
      <c r="D76" s="361"/>
      <c r="E76" s="482"/>
      <c r="F76" s="361"/>
      <c r="G76" s="482"/>
      <c r="H76" s="359"/>
      <c r="I76" s="482"/>
      <c r="J76" s="359"/>
      <c r="K76" s="478">
        <v>2</v>
      </c>
      <c r="L76" s="361"/>
      <c r="M76" s="482"/>
      <c r="N76" s="563"/>
      <c r="O76" s="340">
        <f t="shared" si="8"/>
        <v>33</v>
      </c>
      <c r="P76" s="438">
        <f t="shared" si="14"/>
        <v>3</v>
      </c>
      <c r="Q76" s="7">
        <v>2.5</v>
      </c>
      <c r="R76" s="68"/>
      <c r="S76" s="335">
        <v>45931</v>
      </c>
      <c r="T76" s="318">
        <v>4</v>
      </c>
      <c r="U76" s="318">
        <v>2</v>
      </c>
      <c r="V76" s="344">
        <v>45717</v>
      </c>
      <c r="W76" s="309">
        <v>6</v>
      </c>
      <c r="X76" s="309">
        <v>4</v>
      </c>
      <c r="Y76" s="309">
        <v>6</v>
      </c>
      <c r="Z76" s="429">
        <v>2</v>
      </c>
      <c r="AA76" s="184">
        <f t="shared" si="9"/>
        <v>18</v>
      </c>
      <c r="AB76" s="185">
        <f t="shared" si="10"/>
        <v>4.5</v>
      </c>
      <c r="AC76" s="185">
        <f t="shared" si="11"/>
        <v>18</v>
      </c>
      <c r="AD76" s="185">
        <f t="shared" si="12"/>
        <v>36</v>
      </c>
      <c r="AE76" s="61"/>
      <c r="AF76" s="13"/>
      <c r="AG76" s="13"/>
      <c r="AH76" s="13"/>
      <c r="AI76" s="13"/>
      <c r="AJ76" s="13"/>
      <c r="AK76" s="315"/>
      <c r="AL76" s="315"/>
      <c r="AM76" s="315"/>
      <c r="AN76" s="315"/>
      <c r="AO76" s="315"/>
      <c r="AP76" s="315"/>
      <c r="AQ76" s="315"/>
      <c r="AR76" s="315"/>
      <c r="AS76" s="315"/>
      <c r="AT76" s="315"/>
      <c r="AU76" s="315"/>
      <c r="AV76" s="315"/>
      <c r="AW76" s="315"/>
      <c r="AX76" s="315"/>
      <c r="AY76" s="315"/>
      <c r="AZ76" s="315"/>
      <c r="BA76" s="315"/>
      <c r="BB76" s="315"/>
      <c r="BC76" s="315"/>
      <c r="BD76" s="315"/>
      <c r="BE76" s="315"/>
      <c r="BF76" s="315"/>
      <c r="BG76" s="315"/>
      <c r="BH76" s="315"/>
      <c r="BI76" s="315"/>
      <c r="BJ76" s="315"/>
      <c r="BK76" s="315"/>
      <c r="BL76" s="315"/>
      <c r="BM76" s="315"/>
      <c r="BN76" s="315"/>
      <c r="BO76" s="315"/>
      <c r="BP76" s="315"/>
      <c r="BQ76" s="315"/>
      <c r="BR76" s="315"/>
      <c r="BS76" s="315"/>
      <c r="BT76" s="315"/>
      <c r="BU76" s="315"/>
      <c r="BV76" s="315"/>
      <c r="BW76" s="315"/>
      <c r="BX76" s="315"/>
      <c r="BY76" s="315"/>
      <c r="BZ76" s="315"/>
      <c r="CA76" s="315"/>
      <c r="CB76" s="315"/>
      <c r="CC76" s="315"/>
      <c r="CD76" s="315"/>
      <c r="CE76" s="315"/>
    </row>
    <row r="77" spans="1:83" ht="15" customHeight="1" x14ac:dyDescent="0.25">
      <c r="A77" s="315">
        <f t="shared" si="13"/>
        <v>76</v>
      </c>
      <c r="B77" s="3" t="s">
        <v>876</v>
      </c>
      <c r="C77" s="340">
        <v>2</v>
      </c>
      <c r="D77" s="359"/>
      <c r="E77" s="478"/>
      <c r="F77" s="359"/>
      <c r="G77" s="480"/>
      <c r="H77" s="360"/>
      <c r="I77" s="480"/>
      <c r="J77" s="360"/>
      <c r="K77" s="480"/>
      <c r="L77" s="360"/>
      <c r="M77" s="480"/>
      <c r="N77" s="562"/>
      <c r="O77" s="340">
        <f t="shared" si="8"/>
        <v>2</v>
      </c>
      <c r="P77" s="438">
        <f t="shared" si="14"/>
        <v>50</v>
      </c>
      <c r="Q77" s="7">
        <v>2</v>
      </c>
      <c r="R77" s="63"/>
      <c r="S77" s="83">
        <v>46447</v>
      </c>
      <c r="T77" s="313">
        <v>0</v>
      </c>
      <c r="U77" s="313">
        <v>2</v>
      </c>
      <c r="V77" s="81">
        <v>45717</v>
      </c>
      <c r="W77" s="28">
        <v>10</v>
      </c>
      <c r="X77" s="28">
        <v>3</v>
      </c>
      <c r="Y77" s="28">
        <v>3</v>
      </c>
      <c r="Z77" s="429">
        <v>10</v>
      </c>
      <c r="AA77" s="184">
        <f t="shared" si="9"/>
        <v>26</v>
      </c>
      <c r="AB77" s="185">
        <f t="shared" si="10"/>
        <v>6.5</v>
      </c>
      <c r="AC77" s="185">
        <f t="shared" si="11"/>
        <v>26</v>
      </c>
      <c r="AD77" s="185">
        <f t="shared" si="12"/>
        <v>52</v>
      </c>
      <c r="AE77" s="61"/>
      <c r="AF77" s="315"/>
      <c r="AG77" s="315"/>
      <c r="AH77" s="315"/>
      <c r="AI77" s="315"/>
      <c r="AJ77" s="315"/>
      <c r="AK77" s="315"/>
      <c r="AL77" s="315"/>
      <c r="AM77" s="315"/>
      <c r="AN77" s="315"/>
      <c r="AO77" s="315"/>
      <c r="AP77" s="315"/>
      <c r="AQ77" s="315"/>
      <c r="AR77" s="315"/>
      <c r="AS77" s="315"/>
      <c r="AT77" s="315"/>
      <c r="AU77" s="315"/>
      <c r="AV77" s="315"/>
      <c r="AW77" s="315"/>
      <c r="AX77" s="315"/>
      <c r="AY77" s="315"/>
      <c r="AZ77" s="315"/>
      <c r="BA77" s="315"/>
      <c r="BB77" s="315"/>
      <c r="BC77" s="315"/>
      <c r="BD77" s="315"/>
      <c r="BE77" s="315"/>
      <c r="BF77" s="315"/>
      <c r="BG77" s="315"/>
      <c r="BH77" s="315"/>
      <c r="BI77" s="315"/>
      <c r="BJ77" s="315"/>
      <c r="BK77" s="315"/>
      <c r="BL77" s="315"/>
      <c r="BM77" s="315"/>
      <c r="BN77" s="315"/>
      <c r="BO77" s="315"/>
      <c r="BP77" s="315"/>
      <c r="BQ77" s="315"/>
      <c r="BR77" s="315"/>
      <c r="BS77" s="315"/>
      <c r="BT77" s="315"/>
      <c r="BU77" s="315"/>
      <c r="BV77" s="315"/>
      <c r="BW77" s="315"/>
      <c r="BX77" s="315"/>
      <c r="BY77" s="315"/>
      <c r="BZ77" s="315"/>
      <c r="CA77" s="315"/>
      <c r="CB77" s="315"/>
      <c r="CC77" s="315"/>
      <c r="CD77" s="315"/>
      <c r="CE77" s="315"/>
    </row>
    <row r="78" spans="1:83" s="113" customFormat="1" x14ac:dyDescent="0.25">
      <c r="A78" s="315">
        <f t="shared" si="13"/>
        <v>77</v>
      </c>
      <c r="B78" s="3" t="s">
        <v>1123</v>
      </c>
      <c r="C78" s="340">
        <v>10</v>
      </c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340">
        <f t="shared" si="8"/>
        <v>10</v>
      </c>
      <c r="P78" s="438">
        <f t="shared" si="14"/>
        <v>4</v>
      </c>
      <c r="Q78" s="7">
        <v>11</v>
      </c>
      <c r="R78" s="106"/>
      <c r="S78" s="344">
        <v>46539</v>
      </c>
      <c r="T78" s="318">
        <v>0</v>
      </c>
      <c r="U78" s="318">
        <v>1</v>
      </c>
      <c r="V78" s="344">
        <v>45717</v>
      </c>
      <c r="W78" s="309">
        <v>1</v>
      </c>
      <c r="X78" s="309">
        <v>2</v>
      </c>
      <c r="Y78" s="309">
        <v>2</v>
      </c>
      <c r="Z78" s="429">
        <v>2</v>
      </c>
      <c r="AA78" s="184">
        <f t="shared" si="9"/>
        <v>7</v>
      </c>
      <c r="AB78" s="185">
        <f t="shared" si="10"/>
        <v>1.75</v>
      </c>
      <c r="AC78" s="185">
        <f t="shared" si="11"/>
        <v>7</v>
      </c>
      <c r="AD78" s="185">
        <f t="shared" si="12"/>
        <v>14</v>
      </c>
      <c r="AE78" s="61"/>
      <c r="AF78" s="315"/>
      <c r="AG78" s="315"/>
      <c r="AH78" s="315"/>
      <c r="AI78" s="315"/>
      <c r="AJ78" s="315"/>
      <c r="AK78" s="315"/>
      <c r="AL78" s="315"/>
      <c r="AM78" s="315"/>
      <c r="AN78" s="315"/>
      <c r="AO78" s="315"/>
      <c r="AP78" s="315"/>
      <c r="AQ78" s="315"/>
      <c r="AR78" s="315"/>
      <c r="AS78" s="315"/>
      <c r="AT78" s="315"/>
      <c r="AU78" s="315"/>
      <c r="AV78" s="315"/>
      <c r="AW78" s="315"/>
      <c r="AX78" s="315"/>
      <c r="AY78" s="315"/>
      <c r="AZ78" s="315"/>
      <c r="BA78" s="315"/>
      <c r="BB78" s="315"/>
      <c r="BC78" s="315"/>
      <c r="BD78" s="315"/>
      <c r="BE78" s="315"/>
      <c r="BF78" s="315"/>
      <c r="BG78" s="315"/>
      <c r="BH78" s="315"/>
      <c r="BI78" s="315"/>
      <c r="BJ78" s="315"/>
      <c r="BK78" s="315"/>
      <c r="BL78" s="315"/>
      <c r="BM78" s="315"/>
      <c r="BN78" s="315"/>
      <c r="BO78" s="315"/>
      <c r="BP78" s="315"/>
      <c r="BQ78" s="315"/>
      <c r="BR78" s="315"/>
      <c r="BS78" s="315"/>
      <c r="BT78" s="315"/>
      <c r="BU78" s="315"/>
      <c r="BV78" s="315"/>
      <c r="BW78" s="315"/>
      <c r="BX78" s="315"/>
      <c r="BY78" s="315"/>
      <c r="BZ78" s="315"/>
      <c r="CA78" s="315"/>
      <c r="CB78" s="315"/>
      <c r="CC78" s="315"/>
      <c r="CD78" s="315"/>
      <c r="CE78" s="315"/>
    </row>
    <row r="79" spans="1:83" s="113" customFormat="1" ht="15" customHeight="1" x14ac:dyDescent="0.25">
      <c r="A79" s="315">
        <f t="shared" si="13"/>
        <v>78</v>
      </c>
      <c r="B79" s="3" t="s">
        <v>128</v>
      </c>
      <c r="C79" s="340">
        <v>1</v>
      </c>
      <c r="D79" s="359"/>
      <c r="E79" s="478"/>
      <c r="F79" s="360"/>
      <c r="G79" s="480"/>
      <c r="H79" s="360"/>
      <c r="I79" s="480"/>
      <c r="J79" s="360"/>
      <c r="K79" s="480"/>
      <c r="L79" s="360"/>
      <c r="M79" s="480"/>
      <c r="N79" s="562"/>
      <c r="O79" s="340">
        <f t="shared" si="8"/>
        <v>1</v>
      </c>
      <c r="P79" s="438">
        <f t="shared" si="14"/>
        <v>9</v>
      </c>
      <c r="Q79" s="7">
        <v>40</v>
      </c>
      <c r="R79" s="63"/>
      <c r="S79" s="344">
        <v>46539</v>
      </c>
      <c r="T79" s="318">
        <v>2</v>
      </c>
      <c r="U79" s="318"/>
      <c r="V79" s="199">
        <v>45689</v>
      </c>
      <c r="W79" s="309">
        <v>2</v>
      </c>
      <c r="X79" s="309">
        <v>1</v>
      </c>
      <c r="Y79" s="309">
        <v>1</v>
      </c>
      <c r="Z79" s="429">
        <v>1</v>
      </c>
      <c r="AA79" s="184">
        <f t="shared" si="9"/>
        <v>5</v>
      </c>
      <c r="AB79" s="185">
        <f t="shared" si="10"/>
        <v>1.25</v>
      </c>
      <c r="AC79" s="185">
        <f t="shared" si="11"/>
        <v>5</v>
      </c>
      <c r="AD79" s="185">
        <f t="shared" si="12"/>
        <v>10</v>
      </c>
      <c r="AE79" s="61"/>
      <c r="AF79" s="315"/>
      <c r="AG79" s="315"/>
      <c r="AH79" s="315"/>
      <c r="AI79" s="315"/>
      <c r="AJ79" s="315"/>
      <c r="AK79" s="315"/>
      <c r="AL79" s="315"/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5"/>
      <c r="AY79" s="315"/>
      <c r="AZ79" s="315"/>
      <c r="BA79" s="315"/>
      <c r="BB79" s="315"/>
      <c r="BC79" s="315"/>
      <c r="BD79" s="315"/>
      <c r="BE79" s="315"/>
      <c r="BF79" s="315"/>
      <c r="BG79" s="315"/>
      <c r="BH79" s="315"/>
      <c r="BI79" s="315"/>
      <c r="BJ79" s="315"/>
      <c r="BK79" s="315"/>
      <c r="BL79" s="315"/>
      <c r="BM79" s="315"/>
      <c r="BN79" s="315"/>
      <c r="BO79" s="315"/>
      <c r="BP79" s="315"/>
      <c r="BQ79" s="315"/>
      <c r="BR79" s="315"/>
      <c r="BS79" s="315"/>
      <c r="BT79" s="315"/>
      <c r="BU79" s="315"/>
      <c r="BV79" s="315"/>
      <c r="BW79" s="315"/>
      <c r="BX79" s="315"/>
      <c r="BY79" s="315"/>
      <c r="BZ79" s="315"/>
      <c r="CA79" s="315"/>
      <c r="CB79" s="315"/>
      <c r="CC79" s="315"/>
      <c r="CD79" s="315"/>
      <c r="CE79" s="315"/>
    </row>
    <row r="80" spans="1:83" s="113" customFormat="1" ht="15" customHeight="1" x14ac:dyDescent="0.25">
      <c r="A80" s="315">
        <f t="shared" si="13"/>
        <v>79</v>
      </c>
      <c r="B80" s="3" t="s">
        <v>436</v>
      </c>
      <c r="C80" s="340">
        <v>2</v>
      </c>
      <c r="D80" s="361"/>
      <c r="E80" s="482"/>
      <c r="F80" s="361"/>
      <c r="G80" s="482"/>
      <c r="H80" s="361"/>
      <c r="I80" s="482"/>
      <c r="J80" s="361"/>
      <c r="K80" s="482"/>
      <c r="L80" s="361"/>
      <c r="M80" s="482"/>
      <c r="N80" s="563"/>
      <c r="O80" s="340">
        <f t="shared" si="8"/>
        <v>2</v>
      </c>
      <c r="P80" s="438">
        <f t="shared" si="14"/>
        <v>36</v>
      </c>
      <c r="Q80" s="7">
        <v>18</v>
      </c>
      <c r="R80" s="68"/>
      <c r="S80" s="335">
        <v>46023</v>
      </c>
      <c r="T80" s="318">
        <v>4</v>
      </c>
      <c r="U80" s="318">
        <v>4</v>
      </c>
      <c r="V80" s="199">
        <v>45717</v>
      </c>
      <c r="W80" s="309">
        <v>12</v>
      </c>
      <c r="X80" s="309">
        <v>3</v>
      </c>
      <c r="Y80" s="309">
        <v>2</v>
      </c>
      <c r="Z80" s="429">
        <v>2</v>
      </c>
      <c r="AA80" s="184">
        <f t="shared" si="9"/>
        <v>19</v>
      </c>
      <c r="AB80" s="185">
        <f t="shared" si="10"/>
        <v>4.75</v>
      </c>
      <c r="AC80" s="185">
        <f t="shared" si="11"/>
        <v>19</v>
      </c>
      <c r="AD80" s="185">
        <f t="shared" si="12"/>
        <v>38</v>
      </c>
      <c r="AE80" s="61"/>
      <c r="AF80" s="315"/>
      <c r="AG80" s="315"/>
      <c r="AH80" s="315"/>
      <c r="AI80" s="315"/>
      <c r="AJ80" s="315"/>
      <c r="AK80" s="315"/>
      <c r="AL80" s="315"/>
      <c r="AM80" s="315"/>
      <c r="AN80" s="315"/>
      <c r="AO80" s="315"/>
      <c r="AP80" s="315"/>
      <c r="AQ80" s="315"/>
      <c r="AR80" s="315"/>
      <c r="AS80" s="315"/>
      <c r="AT80" s="315"/>
      <c r="AU80" s="315"/>
      <c r="AV80" s="315"/>
      <c r="AW80" s="315"/>
      <c r="AX80" s="315"/>
      <c r="AY80" s="315"/>
      <c r="AZ80" s="315"/>
      <c r="BA80" s="315"/>
      <c r="BB80" s="315"/>
      <c r="BC80" s="315"/>
      <c r="BD80" s="315"/>
      <c r="BE80" s="315"/>
      <c r="BF80" s="315"/>
      <c r="BG80" s="315"/>
      <c r="BH80" s="315"/>
      <c r="BI80" s="315"/>
      <c r="BJ80" s="315"/>
      <c r="BK80" s="315"/>
      <c r="BL80" s="315"/>
      <c r="BM80" s="315"/>
      <c r="BN80" s="315"/>
      <c r="BO80" s="315"/>
      <c r="BP80" s="315"/>
      <c r="BQ80" s="315"/>
      <c r="BR80" s="315"/>
      <c r="BS80" s="315"/>
      <c r="BT80" s="315"/>
      <c r="BU80" s="315"/>
      <c r="BV80" s="315"/>
      <c r="BW80" s="315"/>
      <c r="BX80" s="315"/>
      <c r="BY80" s="315"/>
      <c r="BZ80" s="315"/>
      <c r="CA80" s="315"/>
      <c r="CB80" s="315"/>
      <c r="CC80" s="315"/>
      <c r="CD80" s="315"/>
      <c r="CE80" s="315"/>
    </row>
    <row r="81" spans="1:83" s="113" customFormat="1" ht="15" customHeight="1" x14ac:dyDescent="0.25">
      <c r="A81" s="315">
        <f t="shared" si="13"/>
        <v>80</v>
      </c>
      <c r="B81" s="3" t="s">
        <v>1124</v>
      </c>
      <c r="C81" s="413">
        <v>11</v>
      </c>
      <c r="D81" s="359"/>
      <c r="E81" s="478"/>
      <c r="F81" s="359"/>
      <c r="G81" s="480"/>
      <c r="H81" s="360"/>
      <c r="I81" s="480"/>
      <c r="J81" s="360"/>
      <c r="K81" s="480"/>
      <c r="L81" s="360"/>
      <c r="M81" s="480"/>
      <c r="N81" s="562"/>
      <c r="O81" s="340">
        <f t="shared" si="8"/>
        <v>11</v>
      </c>
      <c r="P81" s="438">
        <f t="shared" si="14"/>
        <v>5</v>
      </c>
      <c r="Q81" s="7">
        <v>8</v>
      </c>
      <c r="R81" s="8"/>
      <c r="S81" s="83">
        <v>46204</v>
      </c>
      <c r="T81" s="313">
        <v>0</v>
      </c>
      <c r="U81" s="313"/>
      <c r="V81" s="118">
        <v>45689</v>
      </c>
      <c r="W81" s="28">
        <v>2</v>
      </c>
      <c r="X81" s="28">
        <v>2</v>
      </c>
      <c r="Y81" s="28">
        <v>3</v>
      </c>
      <c r="Z81" s="429">
        <v>1</v>
      </c>
      <c r="AA81" s="184">
        <f t="shared" si="9"/>
        <v>8</v>
      </c>
      <c r="AB81" s="185">
        <f t="shared" si="10"/>
        <v>2</v>
      </c>
      <c r="AC81" s="185">
        <f t="shared" si="11"/>
        <v>8</v>
      </c>
      <c r="AD81" s="185">
        <f t="shared" si="12"/>
        <v>16</v>
      </c>
      <c r="AE81" s="61"/>
      <c r="AF81" s="13"/>
      <c r="AG81" s="13"/>
      <c r="AH81" s="13"/>
      <c r="AI81" s="13"/>
      <c r="AJ81" s="13"/>
      <c r="AK81" s="315"/>
      <c r="AL81" s="315"/>
      <c r="AM81" s="315"/>
      <c r="AN81" s="315"/>
      <c r="AO81" s="315"/>
      <c r="AP81" s="315"/>
      <c r="AQ81" s="315"/>
      <c r="AR81" s="315"/>
      <c r="AS81" s="315"/>
      <c r="AT81" s="315"/>
      <c r="AU81" s="315"/>
      <c r="AV81" s="315"/>
      <c r="AW81" s="315"/>
      <c r="AX81" s="315"/>
      <c r="AY81" s="315"/>
      <c r="AZ81" s="315"/>
      <c r="BA81" s="315"/>
      <c r="BB81" s="315"/>
      <c r="BC81" s="315"/>
      <c r="BD81" s="315"/>
      <c r="BE81" s="315"/>
      <c r="BF81" s="315"/>
      <c r="BG81" s="315"/>
      <c r="BH81" s="315"/>
      <c r="BI81" s="315"/>
      <c r="BJ81" s="315"/>
      <c r="BK81" s="315"/>
      <c r="BL81" s="315"/>
      <c r="BM81" s="315"/>
      <c r="BN81" s="315"/>
      <c r="BO81" s="315"/>
      <c r="BP81" s="315"/>
      <c r="BQ81" s="315"/>
      <c r="BR81" s="315"/>
      <c r="BS81" s="315"/>
      <c r="BT81" s="315"/>
      <c r="BU81" s="315"/>
      <c r="BV81" s="315"/>
      <c r="BW81" s="315"/>
      <c r="BX81" s="315"/>
      <c r="BY81" s="315"/>
      <c r="BZ81" s="315"/>
      <c r="CA81" s="315"/>
      <c r="CB81" s="315"/>
      <c r="CC81" s="315"/>
      <c r="CD81" s="315"/>
      <c r="CE81" s="315"/>
    </row>
    <row r="82" spans="1:83" s="113" customFormat="1" ht="15" customHeight="1" x14ac:dyDescent="0.25">
      <c r="A82" s="315">
        <f t="shared" si="13"/>
        <v>81</v>
      </c>
      <c r="B82" s="314" t="s">
        <v>1125</v>
      </c>
      <c r="C82" s="340">
        <v>24</v>
      </c>
      <c r="D82" s="359"/>
      <c r="E82" s="478"/>
      <c r="F82" s="359"/>
      <c r="G82" s="478"/>
      <c r="H82" s="359"/>
      <c r="I82" s="478"/>
      <c r="J82" s="359"/>
      <c r="K82" s="478"/>
      <c r="L82" s="363"/>
      <c r="M82" s="502"/>
      <c r="N82" s="561"/>
      <c r="O82" s="340">
        <f t="shared" si="8"/>
        <v>24</v>
      </c>
      <c r="P82" s="340">
        <f t="shared" si="14"/>
        <v>-4</v>
      </c>
      <c r="Q82" s="7">
        <v>3.5</v>
      </c>
      <c r="R82" s="68" t="s">
        <v>77</v>
      </c>
      <c r="S82" s="344">
        <v>46327</v>
      </c>
      <c r="T82" s="318">
        <v>0</v>
      </c>
      <c r="U82" s="318"/>
      <c r="V82" s="199">
        <v>45658</v>
      </c>
      <c r="W82" s="309">
        <v>1</v>
      </c>
      <c r="X82" s="309">
        <v>1</v>
      </c>
      <c r="Y82" s="309">
        <v>2</v>
      </c>
      <c r="Z82" s="429">
        <v>6</v>
      </c>
      <c r="AA82" s="184">
        <f t="shared" si="9"/>
        <v>10</v>
      </c>
      <c r="AB82" s="185">
        <f t="shared" si="10"/>
        <v>2.5</v>
      </c>
      <c r="AC82" s="185">
        <f t="shared" si="11"/>
        <v>10</v>
      </c>
      <c r="AD82" s="185">
        <f t="shared" si="12"/>
        <v>20</v>
      </c>
      <c r="AE82" s="315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</row>
    <row r="83" spans="1:83" x14ac:dyDescent="0.25">
      <c r="A83" s="315">
        <f t="shared" si="13"/>
        <v>82</v>
      </c>
      <c r="B83" s="3" t="s">
        <v>1126</v>
      </c>
      <c r="C83" s="340">
        <v>9</v>
      </c>
      <c r="D83" s="361"/>
      <c r="E83" s="482"/>
      <c r="F83" s="361"/>
      <c r="G83" s="482"/>
      <c r="H83" s="361">
        <v>1</v>
      </c>
      <c r="I83" s="482">
        <v>1</v>
      </c>
      <c r="J83" s="361"/>
      <c r="K83" s="482"/>
      <c r="L83" s="361"/>
      <c r="M83" s="482"/>
      <c r="N83" s="563"/>
      <c r="O83" s="340">
        <f t="shared" si="8"/>
        <v>7</v>
      </c>
      <c r="P83" s="438">
        <f t="shared" si="14"/>
        <v>9</v>
      </c>
      <c r="Q83" s="7">
        <v>20</v>
      </c>
      <c r="R83" s="68" t="s">
        <v>1330</v>
      </c>
      <c r="S83" s="344">
        <v>46266</v>
      </c>
      <c r="T83" s="318">
        <v>1</v>
      </c>
      <c r="U83" s="318"/>
      <c r="V83" s="199">
        <v>45658</v>
      </c>
      <c r="W83" s="309">
        <v>2</v>
      </c>
      <c r="X83" s="309">
        <v>3</v>
      </c>
      <c r="Y83" s="309">
        <v>1</v>
      </c>
      <c r="Z83" s="429">
        <v>2</v>
      </c>
      <c r="AA83" s="184">
        <f t="shared" si="9"/>
        <v>8</v>
      </c>
      <c r="AB83" s="185">
        <f t="shared" si="10"/>
        <v>2</v>
      </c>
      <c r="AC83" s="185">
        <f t="shared" si="11"/>
        <v>8</v>
      </c>
      <c r="AD83" s="185">
        <f t="shared" si="12"/>
        <v>16</v>
      </c>
      <c r="AE83" s="61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</row>
    <row r="84" spans="1:83" x14ac:dyDescent="0.25">
      <c r="A84" s="315">
        <f t="shared" si="13"/>
        <v>83</v>
      </c>
      <c r="B84" s="3" t="s">
        <v>24</v>
      </c>
      <c r="C84" s="340">
        <v>2</v>
      </c>
      <c r="D84" s="361"/>
      <c r="E84" s="478"/>
      <c r="F84" s="361"/>
      <c r="G84" s="480"/>
      <c r="H84" s="361"/>
      <c r="I84" s="482"/>
      <c r="J84" s="361"/>
      <c r="K84" s="480"/>
      <c r="L84" s="361"/>
      <c r="M84" s="480"/>
      <c r="N84" s="562"/>
      <c r="O84" s="340">
        <f t="shared" si="8"/>
        <v>2</v>
      </c>
      <c r="P84" s="438">
        <f t="shared" si="14"/>
        <v>6</v>
      </c>
      <c r="Q84" s="7">
        <v>25</v>
      </c>
      <c r="R84" s="63"/>
      <c r="S84" s="83">
        <v>46753</v>
      </c>
      <c r="T84" s="313">
        <v>0</v>
      </c>
      <c r="U84" s="313">
        <v>2</v>
      </c>
      <c r="V84" s="118">
        <v>45717</v>
      </c>
      <c r="W84" s="28">
        <v>1</v>
      </c>
      <c r="X84" s="28">
        <v>1</v>
      </c>
      <c r="Y84" s="28">
        <v>1</v>
      </c>
      <c r="Z84" s="429">
        <v>1</v>
      </c>
      <c r="AA84" s="184">
        <f t="shared" si="9"/>
        <v>4</v>
      </c>
      <c r="AB84" s="185">
        <f t="shared" si="10"/>
        <v>1</v>
      </c>
      <c r="AC84" s="185">
        <f t="shared" si="11"/>
        <v>4</v>
      </c>
      <c r="AD84" s="185">
        <f t="shared" si="12"/>
        <v>8</v>
      </c>
      <c r="AE84" s="61"/>
      <c r="AF84" s="315"/>
      <c r="AG84" s="315"/>
      <c r="AH84" s="315"/>
      <c r="AI84" s="315"/>
      <c r="AJ84" s="315"/>
      <c r="AK84" s="315"/>
      <c r="AL84" s="315"/>
      <c r="AM84" s="315"/>
      <c r="AN84" s="315"/>
      <c r="AO84" s="315"/>
      <c r="AP84" s="315"/>
      <c r="AQ84" s="315"/>
      <c r="AR84" s="315"/>
      <c r="AS84" s="315"/>
      <c r="AT84" s="315"/>
      <c r="AU84" s="315"/>
      <c r="AV84" s="315"/>
      <c r="AW84" s="315"/>
      <c r="AX84" s="315"/>
      <c r="AY84" s="315"/>
      <c r="AZ84" s="315"/>
      <c r="BA84" s="315"/>
      <c r="BB84" s="315"/>
      <c r="BC84" s="315"/>
      <c r="BD84" s="315"/>
      <c r="BE84" s="315"/>
      <c r="BF84" s="315"/>
      <c r="BG84" s="315"/>
      <c r="BH84" s="315"/>
      <c r="BI84" s="315"/>
      <c r="BJ84" s="315"/>
      <c r="BK84" s="315"/>
      <c r="BL84" s="315"/>
      <c r="BM84" s="315"/>
      <c r="BN84" s="315"/>
      <c r="BO84" s="315"/>
      <c r="BP84" s="315"/>
      <c r="BQ84" s="315"/>
      <c r="BR84" s="315"/>
      <c r="BS84" s="315"/>
      <c r="BT84" s="315"/>
      <c r="BU84" s="315"/>
      <c r="BV84" s="315"/>
      <c r="BW84" s="315"/>
      <c r="BX84" s="315"/>
      <c r="BY84" s="315"/>
      <c r="BZ84" s="315"/>
      <c r="CA84" s="315"/>
      <c r="CB84" s="315"/>
      <c r="CC84" s="315"/>
      <c r="CD84" s="315"/>
      <c r="CE84" s="315"/>
    </row>
    <row r="85" spans="1:83" ht="15" customHeight="1" x14ac:dyDescent="0.25">
      <c r="A85" s="315">
        <f t="shared" si="13"/>
        <v>84</v>
      </c>
      <c r="B85" s="3" t="s">
        <v>25</v>
      </c>
      <c r="C85" s="340">
        <v>5</v>
      </c>
      <c r="D85" s="361"/>
      <c r="E85" s="478"/>
      <c r="F85" s="361">
        <v>1</v>
      </c>
      <c r="G85" s="478"/>
      <c r="H85" s="361"/>
      <c r="I85" s="482"/>
      <c r="J85" s="361"/>
      <c r="K85" s="478"/>
      <c r="L85" s="361"/>
      <c r="M85" s="478"/>
      <c r="N85" s="561"/>
      <c r="O85" s="340">
        <f t="shared" si="8"/>
        <v>4</v>
      </c>
      <c r="P85" s="438">
        <f t="shared" si="14"/>
        <v>4</v>
      </c>
      <c r="Q85" s="7">
        <v>41</v>
      </c>
      <c r="R85" s="437" t="s">
        <v>77</v>
      </c>
      <c r="S85" s="344">
        <v>46600</v>
      </c>
      <c r="T85" s="318">
        <v>5</v>
      </c>
      <c r="U85" s="318"/>
      <c r="V85" s="344">
        <v>45689</v>
      </c>
      <c r="W85" s="309">
        <v>1</v>
      </c>
      <c r="X85" s="309">
        <v>1</v>
      </c>
      <c r="Y85" s="309">
        <v>1</v>
      </c>
      <c r="Z85" s="429">
        <v>1</v>
      </c>
      <c r="AA85" s="184">
        <f t="shared" si="9"/>
        <v>4</v>
      </c>
      <c r="AB85" s="185">
        <f t="shared" si="10"/>
        <v>1</v>
      </c>
      <c r="AC85" s="185">
        <f t="shared" si="11"/>
        <v>4</v>
      </c>
      <c r="AD85" s="185">
        <f t="shared" si="12"/>
        <v>8</v>
      </c>
      <c r="AE85" s="61"/>
      <c r="AF85" s="13"/>
      <c r="AG85" s="13"/>
      <c r="AH85" s="13"/>
      <c r="AI85" s="13"/>
      <c r="AJ85" s="13"/>
      <c r="AK85" s="315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</row>
    <row r="86" spans="1:83" ht="15" customHeight="1" x14ac:dyDescent="0.25">
      <c r="A86" s="315">
        <f t="shared" si="13"/>
        <v>85</v>
      </c>
      <c r="B86" s="3" t="s">
        <v>500</v>
      </c>
      <c r="C86" s="340">
        <v>5</v>
      </c>
      <c r="D86" s="361"/>
      <c r="E86" s="478"/>
      <c r="F86" s="361"/>
      <c r="G86" s="478"/>
      <c r="H86" s="361"/>
      <c r="I86" s="478"/>
      <c r="J86" s="361"/>
      <c r="K86" s="478"/>
      <c r="L86" s="361"/>
      <c r="M86" s="478"/>
      <c r="N86" s="561"/>
      <c r="O86" s="340">
        <f t="shared" si="8"/>
        <v>5</v>
      </c>
      <c r="P86" s="438">
        <f t="shared" si="14"/>
        <v>7</v>
      </c>
      <c r="Q86" s="7">
        <v>8</v>
      </c>
      <c r="R86" s="68"/>
      <c r="S86" s="100">
        <v>46631</v>
      </c>
      <c r="T86" s="307">
        <v>0</v>
      </c>
      <c r="U86" s="307">
        <v>5</v>
      </c>
      <c r="V86" s="199">
        <v>45717</v>
      </c>
      <c r="W86" s="309">
        <v>2</v>
      </c>
      <c r="X86" s="309">
        <v>1</v>
      </c>
      <c r="Y86" s="309">
        <v>1</v>
      </c>
      <c r="Z86" s="429">
        <v>2</v>
      </c>
      <c r="AA86" s="184">
        <f t="shared" si="9"/>
        <v>6</v>
      </c>
      <c r="AB86" s="185">
        <f t="shared" si="10"/>
        <v>1.5</v>
      </c>
      <c r="AC86" s="185">
        <f t="shared" si="11"/>
        <v>6</v>
      </c>
      <c r="AD86" s="185">
        <f t="shared" si="12"/>
        <v>12</v>
      </c>
      <c r="AE86" s="61"/>
      <c r="AF86" s="315"/>
      <c r="AG86" s="315"/>
      <c r="AH86" s="315"/>
      <c r="AI86" s="315"/>
      <c r="AJ86" s="315"/>
      <c r="AK86" s="315"/>
      <c r="AL86" s="315"/>
      <c r="AM86" s="315"/>
      <c r="AN86" s="315"/>
      <c r="AO86" s="315"/>
      <c r="AP86" s="315"/>
      <c r="AQ86" s="315"/>
      <c r="AR86" s="315"/>
      <c r="AS86" s="315"/>
      <c r="AT86" s="315"/>
      <c r="AU86" s="315"/>
      <c r="AV86" s="315"/>
      <c r="AW86" s="315"/>
      <c r="AX86" s="315"/>
      <c r="AY86" s="315"/>
      <c r="AZ86" s="315"/>
      <c r="BA86" s="315"/>
      <c r="BB86" s="315"/>
      <c r="BC86" s="315"/>
      <c r="BD86" s="315"/>
      <c r="BE86" s="315"/>
      <c r="BF86" s="315"/>
      <c r="BG86" s="315"/>
      <c r="BH86" s="315"/>
      <c r="BI86" s="315"/>
      <c r="BJ86" s="315"/>
      <c r="BK86" s="315"/>
      <c r="BL86" s="315"/>
      <c r="BM86" s="315"/>
      <c r="BN86" s="315"/>
      <c r="BO86" s="315"/>
      <c r="BP86" s="315"/>
      <c r="BQ86" s="315"/>
      <c r="BR86" s="315"/>
      <c r="BS86" s="315"/>
      <c r="BT86" s="315"/>
      <c r="BU86" s="315"/>
      <c r="BV86" s="315"/>
      <c r="BW86" s="315"/>
      <c r="BX86" s="315"/>
      <c r="BY86" s="315"/>
      <c r="BZ86" s="315"/>
      <c r="CA86" s="315"/>
      <c r="CB86" s="315"/>
      <c r="CC86" s="315"/>
      <c r="CD86" s="315"/>
      <c r="CE86" s="315"/>
    </row>
    <row r="87" spans="1:83" s="113" customFormat="1" ht="15" customHeight="1" x14ac:dyDescent="0.25">
      <c r="A87" s="315">
        <f t="shared" si="13"/>
        <v>86</v>
      </c>
      <c r="B87" s="3" t="s">
        <v>1202</v>
      </c>
      <c r="C87" s="340">
        <v>84</v>
      </c>
      <c r="D87" s="361"/>
      <c r="E87" s="478"/>
      <c r="F87" s="361"/>
      <c r="G87" s="480"/>
      <c r="H87" s="361"/>
      <c r="I87" s="480"/>
      <c r="J87" s="361"/>
      <c r="K87" s="480"/>
      <c r="L87" s="361"/>
      <c r="M87" s="480">
        <v>10</v>
      </c>
      <c r="N87" s="562"/>
      <c r="O87" s="340">
        <f t="shared" si="8"/>
        <v>74</v>
      </c>
      <c r="P87" s="438">
        <f t="shared" si="14"/>
        <v>36</v>
      </c>
      <c r="Q87" s="7">
        <v>0.9</v>
      </c>
      <c r="R87" s="63" t="s">
        <v>77</v>
      </c>
      <c r="S87" s="83">
        <v>46722</v>
      </c>
      <c r="T87" s="313">
        <v>0</v>
      </c>
      <c r="U87" s="313"/>
      <c r="V87" s="118">
        <v>45689</v>
      </c>
      <c r="W87" s="28">
        <v>30</v>
      </c>
      <c r="X87" s="28">
        <v>10</v>
      </c>
      <c r="Y87" s="28">
        <v>5</v>
      </c>
      <c r="Z87" s="429">
        <v>10</v>
      </c>
      <c r="AA87" s="184">
        <f t="shared" si="9"/>
        <v>55</v>
      </c>
      <c r="AB87" s="185">
        <f t="shared" si="10"/>
        <v>13.75</v>
      </c>
      <c r="AC87" s="185">
        <f t="shared" si="11"/>
        <v>55</v>
      </c>
      <c r="AD87" s="185">
        <f t="shared" si="12"/>
        <v>110</v>
      </c>
      <c r="AE87" s="61"/>
      <c r="AF87" s="315"/>
      <c r="AG87" s="315"/>
      <c r="AH87" s="315"/>
      <c r="AI87" s="315"/>
      <c r="AJ87" s="315"/>
      <c r="AK87" s="315"/>
      <c r="AL87" s="315"/>
      <c r="AM87" s="315"/>
      <c r="AN87" s="315"/>
      <c r="AO87" s="315"/>
      <c r="AP87" s="315"/>
      <c r="AQ87" s="315"/>
      <c r="AR87" s="315"/>
      <c r="AS87" s="315"/>
      <c r="AT87" s="315"/>
      <c r="AU87" s="315"/>
      <c r="AV87" s="315"/>
      <c r="AW87" s="315"/>
      <c r="AX87" s="315"/>
      <c r="AY87" s="315"/>
      <c r="AZ87" s="315"/>
      <c r="BA87" s="315"/>
      <c r="BB87" s="315"/>
      <c r="BC87" s="315"/>
      <c r="BD87" s="315"/>
      <c r="BE87" s="315"/>
      <c r="BF87" s="315"/>
      <c r="BG87" s="315"/>
      <c r="BH87" s="315"/>
      <c r="BI87" s="315"/>
      <c r="BJ87" s="315"/>
      <c r="BK87" s="315"/>
      <c r="BL87" s="315"/>
      <c r="BM87" s="315"/>
      <c r="BN87" s="315"/>
      <c r="BO87" s="315"/>
      <c r="BP87" s="315"/>
      <c r="BQ87" s="315"/>
      <c r="BR87" s="315"/>
      <c r="BS87" s="315"/>
      <c r="BT87" s="315"/>
      <c r="BU87" s="315"/>
      <c r="BV87" s="315"/>
      <c r="BW87" s="315"/>
      <c r="BX87" s="315"/>
      <c r="BY87" s="315"/>
      <c r="BZ87" s="315"/>
      <c r="CA87" s="315"/>
      <c r="CB87" s="315"/>
      <c r="CC87" s="315"/>
      <c r="CD87" s="315"/>
      <c r="CE87" s="315"/>
    </row>
    <row r="88" spans="1:83" s="113" customFormat="1" ht="15" customHeight="1" x14ac:dyDescent="0.25">
      <c r="A88" s="315">
        <f t="shared" si="13"/>
        <v>87</v>
      </c>
      <c r="B88" s="314" t="s">
        <v>23</v>
      </c>
      <c r="C88" s="340">
        <v>3</v>
      </c>
      <c r="D88" s="359"/>
      <c r="E88" s="478"/>
      <c r="F88" s="359"/>
      <c r="G88" s="478"/>
      <c r="H88" s="361"/>
      <c r="I88" s="478"/>
      <c r="J88" s="359"/>
      <c r="K88" s="478"/>
      <c r="L88" s="359"/>
      <c r="M88" s="478"/>
      <c r="N88" s="561"/>
      <c r="O88" s="340">
        <f t="shared" si="8"/>
        <v>3</v>
      </c>
      <c r="P88" s="438">
        <f t="shared" si="14"/>
        <v>5</v>
      </c>
      <c r="Q88" s="7">
        <v>20</v>
      </c>
      <c r="R88" s="106"/>
      <c r="S88" s="344">
        <v>46631</v>
      </c>
      <c r="T88" s="318">
        <v>2</v>
      </c>
      <c r="U88" s="318"/>
      <c r="V88" s="199">
        <v>45658</v>
      </c>
      <c r="W88" s="309">
        <v>1</v>
      </c>
      <c r="X88" s="309">
        <v>1</v>
      </c>
      <c r="Y88" s="309">
        <v>1</v>
      </c>
      <c r="Z88" s="429">
        <v>1</v>
      </c>
      <c r="AA88" s="184">
        <f t="shared" si="9"/>
        <v>4</v>
      </c>
      <c r="AB88" s="185">
        <f t="shared" si="10"/>
        <v>1</v>
      </c>
      <c r="AC88" s="185">
        <f t="shared" si="11"/>
        <v>4</v>
      </c>
      <c r="AD88" s="185">
        <f t="shared" si="12"/>
        <v>8</v>
      </c>
      <c r="AE88" s="61"/>
      <c r="AF88" s="315"/>
      <c r="AG88" s="315"/>
      <c r="AH88" s="315"/>
      <c r="AI88" s="315"/>
      <c r="AJ88" s="315"/>
      <c r="AK88" s="315"/>
      <c r="AL88" s="315"/>
      <c r="AM88" s="315"/>
      <c r="AN88" s="315"/>
      <c r="AO88" s="315"/>
      <c r="AP88" s="315"/>
      <c r="AQ88" s="315"/>
      <c r="AR88" s="315"/>
      <c r="AS88" s="315"/>
      <c r="AT88" s="315"/>
      <c r="AU88" s="315"/>
      <c r="AV88" s="315"/>
      <c r="AW88" s="315"/>
      <c r="AX88" s="315"/>
      <c r="AY88" s="315"/>
      <c r="AZ88" s="315"/>
      <c r="BA88" s="315"/>
      <c r="BB88" s="315"/>
      <c r="BC88" s="315"/>
      <c r="BD88" s="315"/>
      <c r="BE88" s="315"/>
      <c r="BF88" s="315"/>
      <c r="BG88" s="315"/>
      <c r="BH88" s="315"/>
      <c r="BI88" s="315"/>
      <c r="BJ88" s="315"/>
      <c r="BK88" s="315"/>
      <c r="BL88" s="315"/>
      <c r="BM88" s="315"/>
      <c r="BN88" s="315"/>
      <c r="BO88" s="315"/>
      <c r="BP88" s="315"/>
      <c r="BQ88" s="315"/>
      <c r="BR88" s="315"/>
      <c r="BS88" s="315"/>
      <c r="BT88" s="315"/>
      <c r="BU88" s="315"/>
      <c r="BV88" s="315"/>
      <c r="BW88" s="315"/>
      <c r="BX88" s="315"/>
      <c r="BY88" s="315"/>
      <c r="BZ88" s="315"/>
      <c r="CA88" s="315"/>
      <c r="CB88" s="315"/>
      <c r="CC88" s="315"/>
      <c r="CD88" s="315"/>
      <c r="CE88" s="315"/>
    </row>
    <row r="89" spans="1:83" ht="15" customHeight="1" x14ac:dyDescent="0.25">
      <c r="A89" s="315">
        <f t="shared" si="13"/>
        <v>88</v>
      </c>
      <c r="B89" s="3" t="s">
        <v>748</v>
      </c>
      <c r="C89" s="340">
        <v>2</v>
      </c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340">
        <f t="shared" si="8"/>
        <v>2</v>
      </c>
      <c r="P89" s="438">
        <f t="shared" si="14"/>
        <v>6</v>
      </c>
      <c r="Q89" s="7">
        <v>23</v>
      </c>
      <c r="R89" s="63"/>
      <c r="S89" s="77">
        <v>46143</v>
      </c>
      <c r="T89" s="16">
        <v>0</v>
      </c>
      <c r="U89" s="16"/>
      <c r="V89" s="77">
        <v>45627</v>
      </c>
      <c r="W89" s="14">
        <v>2</v>
      </c>
      <c r="X89" s="14"/>
      <c r="Y89" s="315">
        <v>1</v>
      </c>
      <c r="Z89" s="315">
        <v>1</v>
      </c>
      <c r="AA89" s="184">
        <f t="shared" si="9"/>
        <v>4</v>
      </c>
      <c r="AB89" s="185">
        <f t="shared" si="10"/>
        <v>1</v>
      </c>
      <c r="AC89" s="185">
        <f t="shared" si="11"/>
        <v>4</v>
      </c>
      <c r="AD89" s="185">
        <f t="shared" si="12"/>
        <v>8</v>
      </c>
      <c r="AE89" s="61"/>
      <c r="AF89" s="315"/>
      <c r="AG89" s="315"/>
      <c r="AH89" s="315"/>
      <c r="AI89" s="315"/>
      <c r="AJ89" s="315"/>
      <c r="AK89" s="315"/>
      <c r="AL89" s="315"/>
      <c r="AM89" s="315"/>
      <c r="AN89" s="315"/>
      <c r="AO89" s="315"/>
      <c r="AP89" s="315"/>
      <c r="AQ89" s="315"/>
      <c r="AR89" s="315"/>
      <c r="AS89" s="315"/>
      <c r="AT89" s="315"/>
      <c r="AU89" s="315"/>
      <c r="AV89" s="315"/>
      <c r="AW89" s="315"/>
      <c r="AX89" s="315"/>
      <c r="AY89" s="315"/>
      <c r="AZ89" s="315"/>
      <c r="BA89" s="315"/>
      <c r="BB89" s="315"/>
      <c r="BC89" s="315"/>
      <c r="BD89" s="315"/>
      <c r="BE89" s="315"/>
      <c r="BF89" s="315"/>
      <c r="BG89" s="315"/>
      <c r="BH89" s="315"/>
      <c r="BI89" s="315"/>
      <c r="BJ89" s="315"/>
      <c r="BK89" s="315"/>
      <c r="BL89" s="315"/>
      <c r="BM89" s="315"/>
      <c r="BN89" s="315"/>
      <c r="BO89" s="315"/>
      <c r="BP89" s="315"/>
      <c r="BQ89" s="315"/>
      <c r="BR89" s="315"/>
      <c r="BS89" s="315"/>
      <c r="BT89" s="315"/>
      <c r="BU89" s="315"/>
      <c r="BV89" s="315"/>
      <c r="BW89" s="315"/>
      <c r="BX89" s="315"/>
      <c r="BY89" s="315"/>
      <c r="BZ89" s="315"/>
      <c r="CA89" s="315"/>
      <c r="CB89" s="315"/>
      <c r="CC89" s="315"/>
      <c r="CD89" s="315"/>
      <c r="CE89" s="315"/>
    </row>
    <row r="90" spans="1:83" s="117" customFormat="1" ht="15" customHeight="1" x14ac:dyDescent="0.25">
      <c r="A90" s="315">
        <f t="shared" si="13"/>
        <v>89</v>
      </c>
      <c r="B90" s="3" t="s">
        <v>640</v>
      </c>
      <c r="C90" s="340">
        <v>5.8000000000000007</v>
      </c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340">
        <f t="shared" si="8"/>
        <v>5.8000000000000007</v>
      </c>
      <c r="P90" s="438">
        <f t="shared" si="14"/>
        <v>8.1999999999999993</v>
      </c>
      <c r="Q90" s="7">
        <v>5</v>
      </c>
      <c r="R90" s="68"/>
      <c r="S90" s="335">
        <v>46143</v>
      </c>
      <c r="T90" s="318">
        <v>0</v>
      </c>
      <c r="U90" s="318"/>
      <c r="V90" s="199">
        <v>45658</v>
      </c>
      <c r="W90" s="309">
        <v>2</v>
      </c>
      <c r="X90" s="309">
        <v>1</v>
      </c>
      <c r="Y90" s="309">
        <v>3</v>
      </c>
      <c r="Z90" s="429">
        <v>1</v>
      </c>
      <c r="AA90" s="184">
        <f t="shared" si="9"/>
        <v>7</v>
      </c>
      <c r="AB90" s="185">
        <f t="shared" si="10"/>
        <v>1.75</v>
      </c>
      <c r="AC90" s="185">
        <f t="shared" si="11"/>
        <v>7</v>
      </c>
      <c r="AD90" s="185">
        <f t="shared" si="12"/>
        <v>14</v>
      </c>
      <c r="AE90" s="105"/>
      <c r="AF90" s="315"/>
      <c r="AG90" s="315"/>
      <c r="AH90" s="315"/>
      <c r="AI90" s="315"/>
      <c r="AJ90" s="315"/>
      <c r="AK90" s="315"/>
      <c r="AL90" s="315"/>
      <c r="AM90" s="315"/>
      <c r="AN90" s="315"/>
      <c r="AO90" s="315"/>
      <c r="AP90" s="315"/>
      <c r="AQ90" s="315"/>
      <c r="AR90" s="315"/>
      <c r="AS90" s="315"/>
      <c r="AT90" s="315"/>
      <c r="AU90" s="315"/>
      <c r="AV90" s="315"/>
      <c r="AW90" s="315"/>
      <c r="AX90" s="315"/>
      <c r="AY90" s="315"/>
      <c r="AZ90" s="315"/>
      <c r="BA90" s="315"/>
      <c r="BB90" s="315"/>
      <c r="BC90" s="315"/>
      <c r="BD90" s="315"/>
      <c r="BE90" s="315"/>
      <c r="BF90" s="315"/>
      <c r="BG90" s="315"/>
      <c r="BH90" s="315"/>
      <c r="BI90" s="315"/>
      <c r="BJ90" s="315"/>
      <c r="BK90" s="315"/>
      <c r="BL90" s="315"/>
      <c r="BM90" s="315"/>
      <c r="BN90" s="315"/>
      <c r="BO90" s="315"/>
      <c r="BP90" s="315"/>
      <c r="BQ90" s="315"/>
      <c r="BR90" s="315"/>
      <c r="BS90" s="315"/>
      <c r="BT90" s="315"/>
      <c r="BU90" s="315"/>
      <c r="BV90" s="315"/>
      <c r="BW90" s="315"/>
      <c r="BX90" s="315"/>
      <c r="BY90" s="315"/>
      <c r="BZ90" s="315"/>
      <c r="CA90" s="315"/>
      <c r="CB90" s="315"/>
      <c r="CC90" s="315"/>
      <c r="CD90" s="315"/>
      <c r="CE90" s="315"/>
    </row>
    <row r="91" spans="1:83" ht="15" customHeight="1" x14ac:dyDescent="0.25">
      <c r="A91" s="315">
        <f t="shared" si="13"/>
        <v>90</v>
      </c>
      <c r="B91" s="3" t="s">
        <v>438</v>
      </c>
      <c r="C91" s="340">
        <v>1</v>
      </c>
      <c r="D91" s="359"/>
      <c r="E91" s="478"/>
      <c r="F91" s="359"/>
      <c r="G91" s="480"/>
      <c r="H91" s="360"/>
      <c r="I91" s="480"/>
      <c r="J91" s="360"/>
      <c r="K91" s="480"/>
      <c r="L91" s="360"/>
      <c r="M91" s="480"/>
      <c r="N91" s="562"/>
      <c r="O91" s="340">
        <f t="shared" si="8"/>
        <v>1</v>
      </c>
      <c r="P91" s="438">
        <f t="shared" si="14"/>
        <v>7</v>
      </c>
      <c r="Q91" s="7">
        <v>75</v>
      </c>
      <c r="R91" s="63"/>
      <c r="S91" s="83">
        <v>46174</v>
      </c>
      <c r="T91" s="313">
        <v>0</v>
      </c>
      <c r="U91" s="313"/>
      <c r="V91" s="81">
        <v>45505</v>
      </c>
      <c r="W91" s="28">
        <v>1</v>
      </c>
      <c r="X91" s="28">
        <v>1</v>
      </c>
      <c r="Y91" s="28">
        <v>1</v>
      </c>
      <c r="Z91" s="429">
        <v>1</v>
      </c>
      <c r="AA91" s="184">
        <f t="shared" si="9"/>
        <v>4</v>
      </c>
      <c r="AB91" s="185">
        <f t="shared" si="10"/>
        <v>1</v>
      </c>
      <c r="AC91" s="185">
        <f t="shared" si="11"/>
        <v>4</v>
      </c>
      <c r="AD91" s="185">
        <f t="shared" si="12"/>
        <v>8</v>
      </c>
      <c r="AE91" s="61"/>
      <c r="AF91" s="315"/>
      <c r="AG91" s="315"/>
      <c r="AH91" s="315"/>
      <c r="AI91" s="315"/>
      <c r="AJ91" s="315"/>
      <c r="AK91" s="315"/>
      <c r="AL91" s="315"/>
      <c r="AM91" s="315"/>
      <c r="AN91" s="315"/>
      <c r="AO91" s="315"/>
      <c r="AP91" s="315"/>
      <c r="AQ91" s="315"/>
      <c r="AR91" s="315"/>
      <c r="AS91" s="315"/>
      <c r="AT91" s="315"/>
      <c r="AU91" s="315"/>
      <c r="AV91" s="315"/>
      <c r="AW91" s="315"/>
      <c r="AX91" s="315"/>
      <c r="AY91" s="315"/>
      <c r="AZ91" s="315"/>
      <c r="BA91" s="315"/>
      <c r="BB91" s="315"/>
      <c r="BC91" s="315"/>
      <c r="BD91" s="315"/>
      <c r="BE91" s="315"/>
      <c r="BF91" s="315"/>
      <c r="BG91" s="315"/>
      <c r="BH91" s="315"/>
      <c r="BI91" s="315"/>
      <c r="BJ91" s="315"/>
      <c r="BK91" s="315"/>
      <c r="BL91" s="315"/>
      <c r="BM91" s="315"/>
      <c r="BN91" s="315"/>
      <c r="BO91" s="315"/>
      <c r="BP91" s="315"/>
      <c r="BQ91" s="315"/>
      <c r="BR91" s="315"/>
      <c r="BS91" s="315"/>
      <c r="BT91" s="315"/>
      <c r="BU91" s="315"/>
      <c r="BV91" s="315"/>
      <c r="BW91" s="315"/>
      <c r="BX91" s="315"/>
      <c r="BY91" s="315"/>
      <c r="BZ91" s="315"/>
      <c r="CA91" s="315"/>
      <c r="CB91" s="315"/>
      <c r="CC91" s="315"/>
      <c r="CD91" s="315"/>
      <c r="CE91" s="315"/>
    </row>
    <row r="92" spans="1:83" s="113" customFormat="1" ht="15" customHeight="1" x14ac:dyDescent="0.25">
      <c r="A92" s="315">
        <f t="shared" si="13"/>
        <v>91</v>
      </c>
      <c r="B92" s="3" t="s">
        <v>323</v>
      </c>
      <c r="C92" s="340">
        <v>3</v>
      </c>
      <c r="D92" s="359"/>
      <c r="E92" s="478"/>
      <c r="F92" s="359"/>
      <c r="G92" s="478">
        <v>1</v>
      </c>
      <c r="H92" s="359">
        <v>2</v>
      </c>
      <c r="I92" s="478"/>
      <c r="J92" s="359"/>
      <c r="K92" s="478"/>
      <c r="L92" s="359"/>
      <c r="M92" s="478"/>
      <c r="N92" s="561"/>
      <c r="O92" s="340">
        <f t="shared" si="8"/>
        <v>0</v>
      </c>
      <c r="P92" s="438">
        <f t="shared" si="14"/>
        <v>20</v>
      </c>
      <c r="Q92" s="7">
        <v>6</v>
      </c>
      <c r="R92" s="68"/>
      <c r="S92" s="336">
        <v>46508</v>
      </c>
      <c r="T92" s="316">
        <v>1</v>
      </c>
      <c r="U92" s="321"/>
      <c r="V92" s="77">
        <v>45658</v>
      </c>
      <c r="W92" s="28">
        <v>2</v>
      </c>
      <c r="X92" s="28">
        <v>2</v>
      </c>
      <c r="Y92" s="28">
        <v>3</v>
      </c>
      <c r="Z92" s="429">
        <v>3</v>
      </c>
      <c r="AA92" s="184">
        <f t="shared" si="9"/>
        <v>10</v>
      </c>
      <c r="AB92" s="185">
        <f t="shared" si="10"/>
        <v>2.5</v>
      </c>
      <c r="AC92" s="185">
        <f t="shared" si="11"/>
        <v>10</v>
      </c>
      <c r="AD92" s="185">
        <f t="shared" si="12"/>
        <v>20</v>
      </c>
      <c r="AE92" s="61"/>
      <c r="AF92" s="315"/>
      <c r="AG92" s="315"/>
      <c r="AH92" s="315"/>
      <c r="AI92" s="315"/>
      <c r="AJ92" s="315"/>
      <c r="AK92" s="315"/>
      <c r="AL92" s="315"/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5"/>
      <c r="AY92" s="315"/>
      <c r="AZ92" s="315"/>
      <c r="BA92" s="315"/>
      <c r="BB92" s="315"/>
      <c r="BC92" s="315"/>
      <c r="BD92" s="315"/>
      <c r="BE92" s="315"/>
      <c r="BF92" s="315"/>
      <c r="BG92" s="315"/>
      <c r="BH92" s="315"/>
      <c r="BI92" s="315"/>
      <c r="BJ92" s="315"/>
      <c r="BK92" s="315"/>
      <c r="BL92" s="315"/>
      <c r="BM92" s="315"/>
      <c r="BN92" s="315"/>
      <c r="BO92" s="315"/>
      <c r="BP92" s="315"/>
      <c r="BQ92" s="315"/>
      <c r="BR92" s="315"/>
      <c r="BS92" s="315"/>
      <c r="BT92" s="315"/>
      <c r="BU92" s="315"/>
      <c r="BV92" s="315"/>
      <c r="BW92" s="315"/>
      <c r="BX92" s="315"/>
      <c r="BY92" s="315"/>
      <c r="BZ92" s="315"/>
      <c r="CA92" s="315"/>
      <c r="CB92" s="315"/>
      <c r="CC92" s="315"/>
      <c r="CD92" s="315"/>
      <c r="CE92" s="315"/>
    </row>
    <row r="93" spans="1:83" ht="15" customHeight="1" x14ac:dyDescent="0.25">
      <c r="A93" s="315">
        <f t="shared" si="13"/>
        <v>92</v>
      </c>
      <c r="B93" s="314" t="s">
        <v>447</v>
      </c>
      <c r="C93" s="340">
        <v>3</v>
      </c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340">
        <f t="shared" si="8"/>
        <v>3</v>
      </c>
      <c r="P93" s="438">
        <f t="shared" si="14"/>
        <v>11</v>
      </c>
      <c r="Q93" s="44">
        <v>6</v>
      </c>
      <c r="R93" s="106"/>
      <c r="S93" s="344">
        <v>46235</v>
      </c>
      <c r="T93" s="318">
        <v>5</v>
      </c>
      <c r="U93" s="318">
        <v>5</v>
      </c>
      <c r="V93" s="199">
        <v>45717</v>
      </c>
      <c r="W93" s="309">
        <v>1</v>
      </c>
      <c r="X93" s="309">
        <v>1</v>
      </c>
      <c r="Y93" s="309">
        <v>1</v>
      </c>
      <c r="Z93" s="429">
        <v>4</v>
      </c>
      <c r="AA93" s="184">
        <f t="shared" si="9"/>
        <v>7</v>
      </c>
      <c r="AB93" s="185">
        <f t="shared" si="10"/>
        <v>1.75</v>
      </c>
      <c r="AC93" s="185">
        <f t="shared" si="11"/>
        <v>7</v>
      </c>
      <c r="AD93" s="185">
        <f t="shared" si="12"/>
        <v>14</v>
      </c>
      <c r="AE93" s="61"/>
      <c r="AF93" s="315"/>
      <c r="AG93" s="315"/>
      <c r="AH93" s="315"/>
      <c r="AI93" s="315"/>
      <c r="AJ93" s="315"/>
      <c r="AK93" s="315"/>
      <c r="AL93" s="315"/>
      <c r="AM93" s="315"/>
      <c r="AN93" s="315"/>
      <c r="AO93" s="315"/>
      <c r="AP93" s="315"/>
      <c r="AQ93" s="315"/>
      <c r="AR93" s="315"/>
      <c r="AS93" s="315"/>
      <c r="AT93" s="315"/>
      <c r="AU93" s="315"/>
      <c r="AV93" s="315"/>
      <c r="AW93" s="315"/>
      <c r="AX93" s="315"/>
      <c r="AY93" s="315"/>
      <c r="AZ93" s="315"/>
      <c r="BA93" s="315"/>
      <c r="BB93" s="315"/>
      <c r="BC93" s="315"/>
      <c r="BD93" s="315"/>
      <c r="BE93" s="315"/>
      <c r="BF93" s="315"/>
      <c r="BG93" s="315"/>
      <c r="BH93" s="315"/>
      <c r="BI93" s="315"/>
      <c r="BJ93" s="315"/>
      <c r="BK93" s="315"/>
      <c r="BL93" s="315"/>
      <c r="BM93" s="315"/>
      <c r="BN93" s="315"/>
      <c r="BO93" s="315"/>
      <c r="BP93" s="315"/>
      <c r="BQ93" s="315"/>
      <c r="BR93" s="315"/>
      <c r="BS93" s="315"/>
      <c r="BT93" s="315"/>
      <c r="BU93" s="315"/>
      <c r="BV93" s="315"/>
      <c r="BW93" s="315"/>
      <c r="BX93" s="315"/>
      <c r="BY93" s="315"/>
      <c r="BZ93" s="315"/>
      <c r="CA93" s="315"/>
      <c r="CB93" s="315"/>
      <c r="CC93" s="315"/>
      <c r="CD93" s="315"/>
      <c r="CE93" s="315"/>
    </row>
    <row r="94" spans="1:83" ht="15" customHeight="1" x14ac:dyDescent="0.25">
      <c r="A94" s="315">
        <f t="shared" si="13"/>
        <v>93</v>
      </c>
      <c r="B94" s="314" t="s">
        <v>401</v>
      </c>
      <c r="C94" s="340">
        <v>6</v>
      </c>
      <c r="D94" s="359">
        <v>2</v>
      </c>
      <c r="E94" s="478"/>
      <c r="F94" s="359"/>
      <c r="G94" s="478"/>
      <c r="H94" s="359"/>
      <c r="I94" s="478"/>
      <c r="J94" s="359"/>
      <c r="K94" s="478">
        <v>2</v>
      </c>
      <c r="L94" s="359"/>
      <c r="M94" s="478"/>
      <c r="N94" s="561"/>
      <c r="O94" s="340">
        <f t="shared" si="8"/>
        <v>2</v>
      </c>
      <c r="P94" s="438">
        <f t="shared" si="14"/>
        <v>18</v>
      </c>
      <c r="Q94" s="7">
        <v>15</v>
      </c>
      <c r="R94" s="73"/>
      <c r="S94" s="344">
        <v>46327</v>
      </c>
      <c r="T94" s="318">
        <v>12</v>
      </c>
      <c r="U94" s="318"/>
      <c r="V94" s="199">
        <v>45689</v>
      </c>
      <c r="W94" s="309">
        <v>2</v>
      </c>
      <c r="X94" s="309">
        <v>2</v>
      </c>
      <c r="Y94" s="309">
        <v>2</v>
      </c>
      <c r="Z94" s="429">
        <v>4</v>
      </c>
      <c r="AA94" s="184">
        <f t="shared" si="9"/>
        <v>10</v>
      </c>
      <c r="AB94" s="185">
        <f t="shared" si="10"/>
        <v>2.5</v>
      </c>
      <c r="AC94" s="185">
        <f t="shared" si="11"/>
        <v>10</v>
      </c>
      <c r="AD94" s="185">
        <f t="shared" si="12"/>
        <v>20</v>
      </c>
      <c r="AE94" s="61"/>
      <c r="AF94" s="13"/>
      <c r="AG94" s="13"/>
      <c r="AH94" s="13"/>
      <c r="AI94" s="13"/>
      <c r="AJ94" s="13"/>
      <c r="AK94" s="315"/>
      <c r="AL94" s="315"/>
      <c r="AM94" s="315"/>
      <c r="AN94" s="315"/>
      <c r="AO94" s="315"/>
      <c r="AP94" s="315"/>
      <c r="AQ94" s="315"/>
      <c r="AR94" s="315"/>
      <c r="AS94" s="315"/>
      <c r="AT94" s="315"/>
      <c r="AU94" s="315"/>
      <c r="AV94" s="315"/>
      <c r="AW94" s="315"/>
      <c r="AX94" s="315"/>
      <c r="AY94" s="315"/>
      <c r="AZ94" s="315"/>
      <c r="BA94" s="315"/>
      <c r="BB94" s="315"/>
      <c r="BC94" s="315"/>
      <c r="BD94" s="315"/>
      <c r="BE94" s="315"/>
      <c r="BF94" s="315"/>
      <c r="BG94" s="315"/>
      <c r="BH94" s="315"/>
      <c r="BI94" s="315"/>
      <c r="BJ94" s="315"/>
      <c r="BK94" s="315"/>
      <c r="BL94" s="315"/>
      <c r="BM94" s="315"/>
      <c r="BN94" s="315"/>
      <c r="BO94" s="315"/>
      <c r="BP94" s="315"/>
      <c r="BQ94" s="315"/>
      <c r="BR94" s="315"/>
      <c r="BS94" s="315"/>
      <c r="BT94" s="315"/>
      <c r="BU94" s="315"/>
      <c r="BV94" s="315"/>
      <c r="BW94" s="315"/>
      <c r="BX94" s="315"/>
      <c r="BY94" s="315"/>
      <c r="BZ94" s="315"/>
      <c r="CA94" s="315"/>
      <c r="CB94" s="315"/>
      <c r="CC94" s="315"/>
      <c r="CD94" s="315"/>
      <c r="CE94" s="315"/>
    </row>
    <row r="95" spans="1:83" ht="15" customHeight="1" x14ac:dyDescent="0.25">
      <c r="A95" s="315">
        <f t="shared" si="13"/>
        <v>94</v>
      </c>
      <c r="B95" s="3" t="s">
        <v>271</v>
      </c>
      <c r="C95" s="340">
        <v>4</v>
      </c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340">
        <f t="shared" si="8"/>
        <v>4</v>
      </c>
      <c r="P95" s="438">
        <f t="shared" si="14"/>
        <v>8</v>
      </c>
      <c r="Q95" s="7">
        <v>8</v>
      </c>
      <c r="R95" s="106"/>
      <c r="S95" s="344">
        <v>46813</v>
      </c>
      <c r="T95" s="318">
        <v>6</v>
      </c>
      <c r="U95" s="318"/>
      <c r="V95" s="199">
        <v>45689</v>
      </c>
      <c r="W95" s="309">
        <v>1</v>
      </c>
      <c r="X95" s="309">
        <v>2</v>
      </c>
      <c r="Y95" s="309">
        <v>2</v>
      </c>
      <c r="Z95" s="429">
        <v>1</v>
      </c>
      <c r="AA95" s="184">
        <f t="shared" si="9"/>
        <v>6</v>
      </c>
      <c r="AB95" s="185">
        <f t="shared" si="10"/>
        <v>1.5</v>
      </c>
      <c r="AC95" s="185">
        <f t="shared" si="11"/>
        <v>6</v>
      </c>
      <c r="AD95" s="185">
        <f t="shared" si="12"/>
        <v>12</v>
      </c>
      <c r="AE95" s="61"/>
      <c r="AF95" s="315"/>
      <c r="AG95" s="315"/>
      <c r="AH95" s="315"/>
      <c r="AI95" s="315"/>
      <c r="AJ95" s="315"/>
      <c r="AK95" s="315"/>
      <c r="AL95" s="315"/>
      <c r="AM95" s="315"/>
      <c r="AN95" s="315"/>
      <c r="AO95" s="315"/>
      <c r="AP95" s="315"/>
      <c r="AQ95" s="315"/>
      <c r="AR95" s="315"/>
      <c r="AS95" s="315"/>
      <c r="AT95" s="315"/>
      <c r="AU95" s="315"/>
      <c r="AV95" s="315"/>
      <c r="AW95" s="315"/>
      <c r="AX95" s="315"/>
      <c r="AY95" s="315"/>
      <c r="AZ95" s="315"/>
      <c r="BA95" s="315"/>
      <c r="BB95" s="315"/>
      <c r="BC95" s="315"/>
      <c r="BD95" s="315"/>
      <c r="BE95" s="315"/>
      <c r="BF95" s="315"/>
      <c r="BG95" s="315"/>
      <c r="BH95" s="315"/>
      <c r="BI95" s="315"/>
      <c r="BJ95" s="315"/>
      <c r="BK95" s="315"/>
      <c r="BL95" s="315"/>
      <c r="BM95" s="315"/>
      <c r="BN95" s="315"/>
      <c r="BO95" s="315"/>
      <c r="BP95" s="315"/>
      <c r="BQ95" s="315"/>
      <c r="BR95" s="315"/>
      <c r="BS95" s="315"/>
      <c r="BT95" s="315"/>
      <c r="BU95" s="315"/>
      <c r="BV95" s="315"/>
      <c r="BW95" s="315"/>
      <c r="BX95" s="315"/>
      <c r="BY95" s="315"/>
      <c r="BZ95" s="315"/>
      <c r="CA95" s="315"/>
      <c r="CB95" s="315"/>
      <c r="CC95" s="315"/>
      <c r="CD95" s="315"/>
      <c r="CE95" s="315"/>
    </row>
    <row r="96" spans="1:83" ht="15" customHeight="1" x14ac:dyDescent="0.25">
      <c r="A96" s="315">
        <f t="shared" si="13"/>
        <v>95</v>
      </c>
      <c r="B96" s="314" t="s">
        <v>234</v>
      </c>
      <c r="C96" s="340">
        <v>105</v>
      </c>
      <c r="D96" s="361"/>
      <c r="E96" s="482"/>
      <c r="F96" s="361"/>
      <c r="G96" s="482">
        <v>3</v>
      </c>
      <c r="H96" s="361"/>
      <c r="I96" s="482"/>
      <c r="J96" s="361"/>
      <c r="K96" s="482"/>
      <c r="L96" s="361"/>
      <c r="M96" s="482"/>
      <c r="N96" s="563"/>
      <c r="O96" s="340">
        <f t="shared" si="8"/>
        <v>102</v>
      </c>
      <c r="P96" s="340">
        <f t="shared" si="14"/>
        <v>-14</v>
      </c>
      <c r="Q96" s="7">
        <v>1.2</v>
      </c>
      <c r="R96" s="68"/>
      <c r="S96" s="344">
        <v>46327</v>
      </c>
      <c r="T96" s="318">
        <v>1</v>
      </c>
      <c r="U96" s="318">
        <v>1</v>
      </c>
      <c r="V96" s="199">
        <v>45717</v>
      </c>
      <c r="W96" s="309">
        <v>10</v>
      </c>
      <c r="X96" s="309">
        <v>23</v>
      </c>
      <c r="Y96" s="309">
        <v>8</v>
      </c>
      <c r="Z96" s="429">
        <v>3</v>
      </c>
      <c r="AA96" s="184">
        <f t="shared" si="9"/>
        <v>44</v>
      </c>
      <c r="AB96" s="185">
        <f t="shared" si="10"/>
        <v>11</v>
      </c>
      <c r="AC96" s="185">
        <f t="shared" si="11"/>
        <v>44</v>
      </c>
      <c r="AD96" s="185">
        <f t="shared" si="12"/>
        <v>88</v>
      </c>
      <c r="AE96" s="61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</row>
    <row r="97" spans="1:83" s="97" customFormat="1" ht="15" customHeight="1" x14ac:dyDescent="0.25">
      <c r="A97" s="315">
        <f t="shared" si="13"/>
        <v>96</v>
      </c>
      <c r="B97" s="314" t="s">
        <v>172</v>
      </c>
      <c r="C97" s="340">
        <v>10</v>
      </c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340">
        <f t="shared" si="8"/>
        <v>10</v>
      </c>
      <c r="P97" s="438">
        <f t="shared" si="14"/>
        <v>34</v>
      </c>
      <c r="Q97" s="7">
        <v>3.5</v>
      </c>
      <c r="R97" s="68" t="s">
        <v>77</v>
      </c>
      <c r="S97" s="344">
        <v>45962</v>
      </c>
      <c r="T97" s="318">
        <v>0</v>
      </c>
      <c r="U97" s="318"/>
      <c r="V97" s="344">
        <v>45352</v>
      </c>
      <c r="W97" s="309">
        <v>4</v>
      </c>
      <c r="X97" s="309">
        <v>7</v>
      </c>
      <c r="Y97" s="309">
        <v>2</v>
      </c>
      <c r="Z97" s="429">
        <v>9</v>
      </c>
      <c r="AA97" s="184">
        <f t="shared" si="9"/>
        <v>22</v>
      </c>
      <c r="AB97" s="185">
        <f t="shared" si="10"/>
        <v>5.5</v>
      </c>
      <c r="AC97" s="185">
        <f t="shared" si="11"/>
        <v>22</v>
      </c>
      <c r="AD97" s="185">
        <f t="shared" si="12"/>
        <v>44</v>
      </c>
      <c r="AE97" s="61"/>
      <c r="AF97" s="315"/>
      <c r="AG97" s="315"/>
      <c r="AH97" s="315"/>
      <c r="AI97" s="315"/>
      <c r="AJ97" s="315"/>
      <c r="AK97" s="315"/>
      <c r="AL97" s="315"/>
      <c r="AM97" s="315"/>
      <c r="AN97" s="315"/>
      <c r="AO97" s="315"/>
      <c r="AP97" s="315"/>
      <c r="AQ97" s="315"/>
      <c r="AR97" s="315"/>
      <c r="AS97" s="315"/>
      <c r="AT97" s="315"/>
      <c r="AU97" s="315"/>
      <c r="AV97" s="315"/>
      <c r="AW97" s="315"/>
      <c r="AX97" s="315"/>
      <c r="AY97" s="315"/>
      <c r="AZ97" s="315"/>
      <c r="BA97" s="315"/>
      <c r="BB97" s="315"/>
      <c r="BC97" s="315"/>
      <c r="BD97" s="315"/>
      <c r="BE97" s="315"/>
      <c r="BF97" s="315"/>
      <c r="BG97" s="315"/>
      <c r="BH97" s="315"/>
      <c r="BI97" s="315"/>
      <c r="BJ97" s="315"/>
      <c r="BK97" s="315"/>
      <c r="BL97" s="315"/>
      <c r="BM97" s="315"/>
      <c r="BN97" s="315"/>
      <c r="BO97" s="315"/>
      <c r="BP97" s="315"/>
      <c r="BQ97" s="315"/>
      <c r="BR97" s="315"/>
      <c r="BS97" s="315"/>
      <c r="BT97" s="315"/>
      <c r="BU97" s="315"/>
      <c r="BV97" s="315"/>
      <c r="BW97" s="315"/>
      <c r="BX97" s="315"/>
      <c r="BY97" s="315"/>
      <c r="BZ97" s="315"/>
      <c r="CA97" s="315"/>
      <c r="CB97" s="315"/>
      <c r="CC97" s="315"/>
      <c r="CD97" s="315"/>
      <c r="CE97" s="315"/>
    </row>
    <row r="98" spans="1:83" s="113" customFormat="1" ht="15" customHeight="1" x14ac:dyDescent="0.25">
      <c r="A98" s="315">
        <f t="shared" si="13"/>
        <v>97</v>
      </c>
      <c r="B98" s="314" t="s">
        <v>251</v>
      </c>
      <c r="C98" s="340">
        <v>4</v>
      </c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340">
        <f t="shared" si="8"/>
        <v>4</v>
      </c>
      <c r="P98" s="438">
        <f t="shared" si="14"/>
        <v>6</v>
      </c>
      <c r="Q98" s="7">
        <v>4</v>
      </c>
      <c r="R98" s="106"/>
      <c r="S98" s="344">
        <v>46023</v>
      </c>
      <c r="T98" s="318">
        <v>0</v>
      </c>
      <c r="U98" s="318"/>
      <c r="V98" s="344">
        <v>45231</v>
      </c>
      <c r="W98" s="309">
        <v>1</v>
      </c>
      <c r="X98" s="309">
        <v>2</v>
      </c>
      <c r="Y98" s="309">
        <v>1</v>
      </c>
      <c r="Z98" s="429">
        <v>1</v>
      </c>
      <c r="AA98" s="184">
        <f t="shared" si="9"/>
        <v>5</v>
      </c>
      <c r="AB98" s="185">
        <f t="shared" si="10"/>
        <v>1.25</v>
      </c>
      <c r="AC98" s="185">
        <f t="shared" si="11"/>
        <v>5</v>
      </c>
      <c r="AD98" s="185">
        <f t="shared" si="12"/>
        <v>10</v>
      </c>
      <c r="AE98" s="61"/>
      <c r="AF98" s="315"/>
      <c r="AG98" s="315"/>
      <c r="AH98" s="315"/>
      <c r="AI98" s="315"/>
      <c r="AJ98" s="315"/>
      <c r="AK98" s="315"/>
      <c r="AL98" s="315"/>
      <c r="AM98" s="315"/>
      <c r="AN98" s="315"/>
      <c r="AO98" s="315"/>
      <c r="AP98" s="315"/>
      <c r="AQ98" s="315"/>
      <c r="AR98" s="315"/>
      <c r="AS98" s="315"/>
      <c r="AT98" s="315"/>
      <c r="AU98" s="315"/>
      <c r="AV98" s="315"/>
      <c r="AW98" s="315"/>
      <c r="AX98" s="315"/>
      <c r="AY98" s="315"/>
      <c r="AZ98" s="315"/>
      <c r="BA98" s="315"/>
      <c r="BB98" s="315"/>
      <c r="BC98" s="315"/>
      <c r="BD98" s="315"/>
      <c r="BE98" s="315"/>
      <c r="BF98" s="315"/>
      <c r="BG98" s="315"/>
      <c r="BH98" s="315"/>
      <c r="BI98" s="315"/>
      <c r="BJ98" s="315"/>
      <c r="BK98" s="315"/>
      <c r="BL98" s="315"/>
      <c r="BM98" s="315"/>
      <c r="BN98" s="315"/>
      <c r="BO98" s="315"/>
      <c r="BP98" s="315"/>
      <c r="BQ98" s="315"/>
      <c r="BR98" s="315"/>
      <c r="BS98" s="315"/>
      <c r="BT98" s="315"/>
      <c r="BU98" s="315"/>
      <c r="BV98" s="315"/>
      <c r="BW98" s="315"/>
      <c r="BX98" s="315"/>
      <c r="BY98" s="315"/>
      <c r="BZ98" s="315"/>
      <c r="CA98" s="315"/>
      <c r="CB98" s="315"/>
      <c r="CC98" s="315"/>
      <c r="CD98" s="315"/>
      <c r="CE98" s="315"/>
    </row>
    <row r="99" spans="1:83" ht="15" customHeight="1" x14ac:dyDescent="0.25">
      <c r="A99" s="315">
        <f t="shared" ref="A99:A130" si="15">A98+1</f>
        <v>98</v>
      </c>
      <c r="B99" s="314" t="s">
        <v>332</v>
      </c>
      <c r="C99" s="340">
        <v>13</v>
      </c>
      <c r="D99" s="359"/>
      <c r="E99" s="478">
        <v>1</v>
      </c>
      <c r="F99" s="359"/>
      <c r="G99" s="478">
        <v>1</v>
      </c>
      <c r="H99" s="359"/>
      <c r="I99" s="478"/>
      <c r="J99" s="359"/>
      <c r="K99" s="478"/>
      <c r="L99" s="359"/>
      <c r="M99" s="478"/>
      <c r="N99" s="561"/>
      <c r="O99" s="340">
        <f t="shared" si="8"/>
        <v>11</v>
      </c>
      <c r="P99" s="438">
        <f t="shared" si="14"/>
        <v>5</v>
      </c>
      <c r="Q99" s="7">
        <v>3</v>
      </c>
      <c r="R99" s="106"/>
      <c r="S99" s="344">
        <v>46447</v>
      </c>
      <c r="T99" s="318">
        <v>1</v>
      </c>
      <c r="U99" s="318">
        <v>1</v>
      </c>
      <c r="V99" s="344">
        <v>45717</v>
      </c>
      <c r="W99" s="309">
        <v>3</v>
      </c>
      <c r="X99" s="309">
        <v>2</v>
      </c>
      <c r="Y99" s="309">
        <v>1</v>
      </c>
      <c r="Z99" s="429">
        <v>2</v>
      </c>
      <c r="AA99" s="184">
        <f t="shared" si="9"/>
        <v>8</v>
      </c>
      <c r="AB99" s="185">
        <f t="shared" si="10"/>
        <v>2</v>
      </c>
      <c r="AC99" s="185">
        <f t="shared" si="11"/>
        <v>8</v>
      </c>
      <c r="AD99" s="185">
        <f t="shared" si="12"/>
        <v>16</v>
      </c>
      <c r="AE99" s="61"/>
      <c r="AF99" s="315"/>
      <c r="AG99" s="315"/>
      <c r="AH99" s="315"/>
      <c r="AI99" s="315"/>
      <c r="AJ99" s="315"/>
      <c r="AK99" s="315"/>
      <c r="AL99" s="315"/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5"/>
      <c r="AY99" s="315"/>
      <c r="AZ99" s="315"/>
      <c r="BA99" s="315"/>
      <c r="BB99" s="315"/>
      <c r="BC99" s="315"/>
      <c r="BD99" s="315"/>
      <c r="BE99" s="315"/>
      <c r="BF99" s="315"/>
      <c r="BG99" s="315"/>
      <c r="BH99" s="315"/>
      <c r="BI99" s="315"/>
      <c r="BJ99" s="315"/>
      <c r="BK99" s="315"/>
      <c r="BL99" s="315"/>
      <c r="BM99" s="315"/>
      <c r="BN99" s="315"/>
      <c r="BO99" s="315"/>
      <c r="BP99" s="315"/>
      <c r="BQ99" s="315"/>
      <c r="BR99" s="315"/>
      <c r="BS99" s="315"/>
      <c r="BT99" s="315"/>
      <c r="BU99" s="315"/>
      <c r="BV99" s="315"/>
      <c r="BW99" s="315"/>
      <c r="BX99" s="315"/>
      <c r="BY99" s="315"/>
      <c r="BZ99" s="315"/>
      <c r="CA99" s="315"/>
      <c r="CB99" s="315"/>
      <c r="CC99" s="315"/>
      <c r="CD99" s="315"/>
      <c r="CE99" s="315"/>
    </row>
    <row r="100" spans="1:83" ht="15" customHeight="1" x14ac:dyDescent="0.25">
      <c r="A100" s="315">
        <f t="shared" si="15"/>
        <v>99</v>
      </c>
      <c r="B100" s="314" t="s">
        <v>304</v>
      </c>
      <c r="C100" s="340">
        <v>2</v>
      </c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340">
        <f t="shared" si="8"/>
        <v>2</v>
      </c>
      <c r="P100" s="438">
        <f t="shared" si="14"/>
        <v>8</v>
      </c>
      <c r="Q100" s="7">
        <v>5</v>
      </c>
      <c r="R100" s="68" t="s">
        <v>77</v>
      </c>
      <c r="S100" s="344">
        <v>47150</v>
      </c>
      <c r="T100" s="318">
        <v>0</v>
      </c>
      <c r="U100" s="318"/>
      <c r="V100" s="344">
        <v>45658</v>
      </c>
      <c r="W100" s="309">
        <v>1</v>
      </c>
      <c r="X100" s="309">
        <v>1</v>
      </c>
      <c r="Y100" s="309">
        <v>2</v>
      </c>
      <c r="Z100" s="429">
        <v>1</v>
      </c>
      <c r="AA100" s="184">
        <f t="shared" si="9"/>
        <v>5</v>
      </c>
      <c r="AB100" s="185">
        <f t="shared" si="10"/>
        <v>1.25</v>
      </c>
      <c r="AC100" s="185">
        <f t="shared" si="11"/>
        <v>5</v>
      </c>
      <c r="AD100" s="185">
        <f t="shared" si="12"/>
        <v>10</v>
      </c>
      <c r="AE100" s="61"/>
      <c r="AF100" s="83"/>
      <c r="AG100" s="13"/>
      <c r="AH100" s="13"/>
      <c r="AI100" s="13"/>
      <c r="AJ100" s="13"/>
      <c r="AK100" s="140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</row>
    <row r="101" spans="1:83" s="139" customFormat="1" ht="15" customHeight="1" x14ac:dyDescent="0.25">
      <c r="A101" s="315">
        <f t="shared" si="15"/>
        <v>100</v>
      </c>
      <c r="B101" s="314" t="s">
        <v>499</v>
      </c>
      <c r="C101" s="340">
        <v>8</v>
      </c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340">
        <f t="shared" si="8"/>
        <v>8</v>
      </c>
      <c r="P101" s="438">
        <f t="shared" si="14"/>
        <v>6</v>
      </c>
      <c r="Q101" s="7">
        <v>3</v>
      </c>
      <c r="R101" s="68"/>
      <c r="S101" s="344">
        <v>46082</v>
      </c>
      <c r="T101" s="318">
        <v>10</v>
      </c>
      <c r="U101" s="318"/>
      <c r="V101" s="344">
        <v>45658</v>
      </c>
      <c r="W101" s="309">
        <v>2</v>
      </c>
      <c r="X101" s="309">
        <v>3</v>
      </c>
      <c r="Y101" s="309">
        <v>1</v>
      </c>
      <c r="Z101" s="429">
        <v>1</v>
      </c>
      <c r="AA101" s="184">
        <f t="shared" si="9"/>
        <v>7</v>
      </c>
      <c r="AB101" s="185">
        <f t="shared" si="10"/>
        <v>1.75</v>
      </c>
      <c r="AC101" s="185">
        <f t="shared" si="11"/>
        <v>7</v>
      </c>
      <c r="AD101" s="185">
        <f t="shared" si="12"/>
        <v>14</v>
      </c>
      <c r="AE101" s="61"/>
      <c r="AF101" s="105"/>
      <c r="AG101" s="105"/>
      <c r="AH101" s="105"/>
      <c r="AI101" s="105"/>
      <c r="AJ101" s="105"/>
      <c r="AK101" s="149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</row>
    <row r="102" spans="1:83" s="117" customFormat="1" ht="15" customHeight="1" x14ac:dyDescent="0.25">
      <c r="A102" s="315">
        <f t="shared" si="15"/>
        <v>101</v>
      </c>
      <c r="B102" s="314" t="s">
        <v>1471</v>
      </c>
      <c r="C102" s="340">
        <v>4</v>
      </c>
      <c r="D102" s="359"/>
      <c r="E102" s="478"/>
      <c r="F102" s="359"/>
      <c r="G102" s="478">
        <v>2</v>
      </c>
      <c r="H102" s="359"/>
      <c r="I102" s="478"/>
      <c r="J102" s="359"/>
      <c r="K102" s="478"/>
      <c r="L102" s="359"/>
      <c r="M102" s="478"/>
      <c r="N102" s="561"/>
      <c r="O102" s="340">
        <f t="shared" si="8"/>
        <v>2</v>
      </c>
      <c r="P102" s="438">
        <f t="shared" si="14"/>
        <v>20</v>
      </c>
      <c r="Q102" s="7">
        <v>4</v>
      </c>
      <c r="R102" s="68"/>
      <c r="S102" s="344">
        <v>46661</v>
      </c>
      <c r="T102" s="318">
        <v>0</v>
      </c>
      <c r="U102" s="318">
        <v>1</v>
      </c>
      <c r="V102" s="199">
        <v>45717</v>
      </c>
      <c r="W102" s="309">
        <v>3</v>
      </c>
      <c r="X102" s="122">
        <v>3</v>
      </c>
      <c r="Y102" s="309">
        <v>3</v>
      </c>
      <c r="Z102" s="429">
        <v>2</v>
      </c>
      <c r="AA102" s="184">
        <f t="shared" si="9"/>
        <v>11</v>
      </c>
      <c r="AB102" s="185">
        <f t="shared" si="10"/>
        <v>2.75</v>
      </c>
      <c r="AC102" s="185">
        <f t="shared" si="11"/>
        <v>11</v>
      </c>
      <c r="AD102" s="185">
        <f t="shared" si="12"/>
        <v>22</v>
      </c>
      <c r="AE102" s="61"/>
      <c r="AF102" s="13"/>
      <c r="AG102" s="13"/>
      <c r="AH102" s="13"/>
      <c r="AI102" s="13"/>
      <c r="AJ102" s="13"/>
      <c r="AK102" s="140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</row>
    <row r="103" spans="1:83" ht="15" customHeight="1" x14ac:dyDescent="0.25">
      <c r="A103" s="315">
        <f t="shared" si="15"/>
        <v>102</v>
      </c>
      <c r="B103" s="314" t="s">
        <v>1127</v>
      </c>
      <c r="C103" s="340">
        <v>9</v>
      </c>
      <c r="D103" s="359"/>
      <c r="E103" s="478"/>
      <c r="F103" s="359"/>
      <c r="G103" s="478">
        <v>1</v>
      </c>
      <c r="H103" s="359"/>
      <c r="I103" s="478"/>
      <c r="J103" s="359"/>
      <c r="K103" s="478"/>
      <c r="L103" s="359"/>
      <c r="M103" s="478"/>
      <c r="N103" s="561"/>
      <c r="O103" s="340">
        <f t="shared" si="8"/>
        <v>8</v>
      </c>
      <c r="P103" s="438">
        <f t="shared" si="14"/>
        <v>6</v>
      </c>
      <c r="Q103" s="7">
        <v>6</v>
      </c>
      <c r="R103" s="68"/>
      <c r="S103" s="344">
        <v>46204</v>
      </c>
      <c r="T103" s="318">
        <v>0</v>
      </c>
      <c r="U103" s="318"/>
      <c r="V103" s="199">
        <v>45689</v>
      </c>
      <c r="W103" s="309">
        <v>2</v>
      </c>
      <c r="X103" s="309">
        <v>3</v>
      </c>
      <c r="Y103" s="309">
        <v>1</v>
      </c>
      <c r="Z103" s="429">
        <v>1</v>
      </c>
      <c r="AA103" s="184">
        <f t="shared" si="9"/>
        <v>7</v>
      </c>
      <c r="AB103" s="185">
        <f t="shared" si="10"/>
        <v>1.75</v>
      </c>
      <c r="AC103" s="185">
        <f t="shared" si="11"/>
        <v>7</v>
      </c>
      <c r="AD103" s="185">
        <f t="shared" si="12"/>
        <v>14</v>
      </c>
      <c r="AE103" s="61"/>
      <c r="AF103" s="13"/>
      <c r="AG103" s="13"/>
      <c r="AH103" s="13"/>
      <c r="AI103" s="13"/>
      <c r="AJ103" s="13"/>
      <c r="AK103" s="140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</row>
    <row r="104" spans="1:83" ht="15" customHeight="1" x14ac:dyDescent="0.25">
      <c r="A104" s="315">
        <f t="shared" si="15"/>
        <v>103</v>
      </c>
      <c r="B104" s="4" t="s">
        <v>295</v>
      </c>
      <c r="C104" s="341">
        <v>3</v>
      </c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340">
        <f t="shared" si="8"/>
        <v>3</v>
      </c>
      <c r="P104" s="438">
        <f t="shared" si="14"/>
        <v>7</v>
      </c>
      <c r="Q104" s="44">
        <v>4</v>
      </c>
      <c r="R104" s="68"/>
      <c r="S104" s="198"/>
      <c r="T104" s="312">
        <v>6</v>
      </c>
      <c r="U104" s="312"/>
      <c r="V104" s="344">
        <v>45689</v>
      </c>
      <c r="W104" s="309">
        <v>2</v>
      </c>
      <c r="X104" s="309">
        <v>1</v>
      </c>
      <c r="Y104" s="309">
        <v>1</v>
      </c>
      <c r="Z104" s="309">
        <v>1</v>
      </c>
      <c r="AA104" s="184">
        <f t="shared" si="9"/>
        <v>5</v>
      </c>
      <c r="AB104" s="185">
        <f t="shared" si="10"/>
        <v>1.25</v>
      </c>
      <c r="AC104" s="185">
        <f t="shared" si="11"/>
        <v>5</v>
      </c>
      <c r="AD104" s="185">
        <f t="shared" si="12"/>
        <v>10</v>
      </c>
      <c r="AE104" s="61"/>
      <c r="AF104" s="13"/>
      <c r="AG104" s="13"/>
      <c r="AH104" s="13"/>
      <c r="AI104" s="13"/>
      <c r="AJ104" s="13"/>
      <c r="AK104" s="140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</row>
    <row r="105" spans="1:83" ht="15" customHeight="1" x14ac:dyDescent="0.25">
      <c r="A105" s="315">
        <f t="shared" si="15"/>
        <v>104</v>
      </c>
      <c r="B105" s="3" t="s">
        <v>204</v>
      </c>
      <c r="C105" s="340">
        <v>2</v>
      </c>
      <c r="D105" s="359"/>
      <c r="E105" s="478"/>
      <c r="F105" s="359"/>
      <c r="G105" s="480"/>
      <c r="H105" s="360"/>
      <c r="I105" s="480"/>
      <c r="J105" s="360"/>
      <c r="K105" s="480"/>
      <c r="L105" s="360"/>
      <c r="M105" s="480"/>
      <c r="N105" s="562"/>
      <c r="O105" s="340">
        <f t="shared" si="8"/>
        <v>2</v>
      </c>
      <c r="P105" s="438">
        <f t="shared" si="14"/>
        <v>10</v>
      </c>
      <c r="Q105" s="7">
        <v>24</v>
      </c>
      <c r="R105" s="8"/>
      <c r="S105" s="83">
        <v>46419</v>
      </c>
      <c r="T105" s="313">
        <v>3</v>
      </c>
      <c r="U105" s="313"/>
      <c r="V105" s="118">
        <v>45689</v>
      </c>
      <c r="W105" s="28">
        <v>1</v>
      </c>
      <c r="X105" s="28">
        <v>1</v>
      </c>
      <c r="Y105" s="28">
        <v>1</v>
      </c>
      <c r="Z105" s="429">
        <v>3</v>
      </c>
      <c r="AA105" s="184">
        <f t="shared" si="9"/>
        <v>6</v>
      </c>
      <c r="AB105" s="185">
        <f t="shared" si="10"/>
        <v>1.5</v>
      </c>
      <c r="AC105" s="185">
        <f t="shared" si="11"/>
        <v>6</v>
      </c>
      <c r="AD105" s="185">
        <f t="shared" si="12"/>
        <v>12</v>
      </c>
      <c r="AE105" s="61"/>
      <c r="AF105" s="13"/>
      <c r="AG105" s="13"/>
      <c r="AH105" s="13"/>
      <c r="AI105" s="13"/>
      <c r="AJ105" s="13"/>
      <c r="AK105" s="140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</row>
    <row r="106" spans="1:83" ht="15" customHeight="1" x14ac:dyDescent="0.25">
      <c r="A106" s="315">
        <f t="shared" si="15"/>
        <v>105</v>
      </c>
      <c r="B106" s="314" t="s">
        <v>916</v>
      </c>
      <c r="C106" s="340">
        <v>2</v>
      </c>
      <c r="D106" s="359"/>
      <c r="E106" s="478"/>
      <c r="F106" s="359"/>
      <c r="G106" s="478">
        <v>1</v>
      </c>
      <c r="H106" s="359"/>
      <c r="I106" s="478"/>
      <c r="J106" s="359"/>
      <c r="K106" s="478"/>
      <c r="L106" s="359"/>
      <c r="M106" s="478"/>
      <c r="N106" s="561"/>
      <c r="O106" s="340">
        <f t="shared" si="8"/>
        <v>1</v>
      </c>
      <c r="P106" s="438">
        <f t="shared" si="14"/>
        <v>7</v>
      </c>
      <c r="Q106" s="7">
        <v>16</v>
      </c>
      <c r="R106" s="63"/>
      <c r="S106" s="77">
        <v>46569</v>
      </c>
      <c r="T106" s="16">
        <v>0</v>
      </c>
      <c r="U106" s="16"/>
      <c r="V106" s="77">
        <v>45597</v>
      </c>
      <c r="W106" s="309">
        <v>2</v>
      </c>
      <c r="X106" s="309"/>
      <c r="Y106" s="309">
        <v>1</v>
      </c>
      <c r="Z106" s="309">
        <v>1</v>
      </c>
      <c r="AA106" s="184">
        <f t="shared" si="9"/>
        <v>4</v>
      </c>
      <c r="AB106" s="185">
        <f t="shared" si="10"/>
        <v>1</v>
      </c>
      <c r="AC106" s="185">
        <f t="shared" si="11"/>
        <v>4</v>
      </c>
      <c r="AD106" s="185">
        <f t="shared" si="12"/>
        <v>8</v>
      </c>
      <c r="AE106" s="61"/>
      <c r="AF106" s="315"/>
      <c r="AG106" s="315"/>
      <c r="AH106" s="315"/>
      <c r="AI106" s="315"/>
      <c r="AJ106" s="315"/>
      <c r="AK106" s="140"/>
      <c r="AL106" s="315"/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5"/>
      <c r="AY106" s="315"/>
      <c r="AZ106" s="315"/>
      <c r="BA106" s="315"/>
      <c r="BB106" s="315"/>
      <c r="BC106" s="315"/>
      <c r="BD106" s="315"/>
      <c r="BE106" s="315"/>
      <c r="BF106" s="315"/>
      <c r="BG106" s="315"/>
      <c r="BH106" s="315"/>
      <c r="BI106" s="315"/>
      <c r="BJ106" s="315"/>
      <c r="BK106" s="315"/>
      <c r="BL106" s="315"/>
      <c r="BM106" s="315"/>
      <c r="BN106" s="315"/>
      <c r="BO106" s="315"/>
      <c r="BP106" s="315"/>
      <c r="BQ106" s="315"/>
      <c r="BR106" s="315"/>
      <c r="BS106" s="315"/>
      <c r="BT106" s="315"/>
      <c r="BU106" s="315"/>
      <c r="BV106" s="315"/>
      <c r="BW106" s="315"/>
      <c r="BX106" s="315"/>
      <c r="BY106" s="315"/>
      <c r="BZ106" s="315"/>
      <c r="CA106" s="315"/>
      <c r="CB106" s="315"/>
      <c r="CC106" s="315"/>
      <c r="CD106" s="315"/>
      <c r="CE106" s="315"/>
    </row>
    <row r="107" spans="1:83" s="113" customFormat="1" ht="15" customHeight="1" x14ac:dyDescent="0.25">
      <c r="A107" s="315">
        <f t="shared" si="15"/>
        <v>106</v>
      </c>
      <c r="B107" s="3" t="s">
        <v>308</v>
      </c>
      <c r="C107" s="340">
        <v>2</v>
      </c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340">
        <f t="shared" si="8"/>
        <v>2</v>
      </c>
      <c r="P107" s="438">
        <f t="shared" si="14"/>
        <v>6</v>
      </c>
      <c r="Q107" s="7">
        <v>20</v>
      </c>
      <c r="R107" s="68" t="s">
        <v>77</v>
      </c>
      <c r="S107" s="344">
        <v>46631</v>
      </c>
      <c r="T107" s="318">
        <v>4</v>
      </c>
      <c r="U107" s="318"/>
      <c r="V107" s="199">
        <v>45658</v>
      </c>
      <c r="W107" s="309">
        <v>1</v>
      </c>
      <c r="X107" s="309">
        <v>1</v>
      </c>
      <c r="Y107" s="309">
        <v>1</v>
      </c>
      <c r="Z107" s="429">
        <v>1</v>
      </c>
      <c r="AA107" s="184">
        <f t="shared" si="9"/>
        <v>4</v>
      </c>
      <c r="AB107" s="185">
        <f t="shared" si="10"/>
        <v>1</v>
      </c>
      <c r="AC107" s="185">
        <f t="shared" si="11"/>
        <v>4</v>
      </c>
      <c r="AD107" s="185">
        <f t="shared" si="12"/>
        <v>8</v>
      </c>
      <c r="AE107" s="61"/>
      <c r="AF107" s="315"/>
      <c r="AG107" s="315"/>
      <c r="AH107" s="315"/>
      <c r="AI107" s="315"/>
      <c r="AJ107" s="315"/>
      <c r="AK107" s="140"/>
      <c r="AL107" s="315"/>
      <c r="AM107" s="315"/>
      <c r="AN107" s="315"/>
      <c r="AO107" s="315"/>
      <c r="AP107" s="315"/>
      <c r="AQ107" s="315"/>
      <c r="AR107" s="315"/>
      <c r="AS107" s="315"/>
      <c r="AT107" s="315"/>
      <c r="AU107" s="315"/>
      <c r="AV107" s="315"/>
      <c r="AW107" s="315"/>
      <c r="AX107" s="315"/>
      <c r="AY107" s="315"/>
      <c r="AZ107" s="315"/>
      <c r="BA107" s="315"/>
      <c r="BB107" s="315"/>
      <c r="BC107" s="315"/>
      <c r="BD107" s="315"/>
      <c r="BE107" s="315"/>
      <c r="BF107" s="315"/>
      <c r="BG107" s="315"/>
      <c r="BH107" s="315"/>
      <c r="BI107" s="315"/>
      <c r="BJ107" s="315"/>
      <c r="BK107" s="315"/>
      <c r="BL107" s="315"/>
      <c r="BM107" s="315"/>
      <c r="BN107" s="315"/>
      <c r="BO107" s="315"/>
      <c r="BP107" s="315"/>
      <c r="BQ107" s="315"/>
      <c r="BR107" s="315"/>
      <c r="BS107" s="315"/>
      <c r="BT107" s="315"/>
      <c r="BU107" s="315"/>
      <c r="BV107" s="315"/>
      <c r="BW107" s="315"/>
      <c r="BX107" s="315"/>
      <c r="BY107" s="315"/>
      <c r="BZ107" s="315"/>
      <c r="CA107" s="315"/>
      <c r="CB107" s="315"/>
      <c r="CC107" s="315"/>
      <c r="CD107" s="315"/>
      <c r="CE107" s="315"/>
    </row>
    <row r="108" spans="1:83" s="113" customFormat="1" ht="15" customHeight="1" x14ac:dyDescent="0.25">
      <c r="A108" s="315">
        <f t="shared" si="15"/>
        <v>107</v>
      </c>
      <c r="B108" s="3" t="s">
        <v>454</v>
      </c>
      <c r="C108" s="340">
        <v>4</v>
      </c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340">
        <f t="shared" si="8"/>
        <v>4</v>
      </c>
      <c r="P108" s="438">
        <f t="shared" si="14"/>
        <v>4</v>
      </c>
      <c r="Q108" s="44">
        <v>17</v>
      </c>
      <c r="R108" s="68" t="s">
        <v>77</v>
      </c>
      <c r="S108" s="344">
        <v>46539</v>
      </c>
      <c r="T108" s="318">
        <v>0</v>
      </c>
      <c r="U108" s="318"/>
      <c r="V108" s="344">
        <v>45597</v>
      </c>
      <c r="W108" s="309">
        <v>1</v>
      </c>
      <c r="X108" s="309">
        <v>1</v>
      </c>
      <c r="Y108" s="309">
        <v>1</v>
      </c>
      <c r="Z108" s="429">
        <v>1</v>
      </c>
      <c r="AA108" s="184">
        <f t="shared" si="9"/>
        <v>4</v>
      </c>
      <c r="AB108" s="185">
        <f t="shared" si="10"/>
        <v>1</v>
      </c>
      <c r="AC108" s="185">
        <f t="shared" si="11"/>
        <v>4</v>
      </c>
      <c r="AD108" s="185">
        <f t="shared" si="12"/>
        <v>8</v>
      </c>
      <c r="AE108" s="61"/>
      <c r="AF108" s="315"/>
      <c r="AG108" s="315"/>
      <c r="AH108" s="315"/>
      <c r="AI108" s="315"/>
      <c r="AJ108" s="315"/>
      <c r="AK108" s="140"/>
      <c r="AL108" s="315"/>
      <c r="AM108" s="315"/>
      <c r="AN108" s="315"/>
      <c r="AO108" s="315"/>
      <c r="AP108" s="315"/>
      <c r="AQ108" s="315"/>
      <c r="AR108" s="315"/>
      <c r="AS108" s="315"/>
      <c r="AT108" s="315"/>
      <c r="AU108" s="315"/>
      <c r="AV108" s="315"/>
      <c r="AW108" s="315"/>
      <c r="AX108" s="315"/>
      <c r="AY108" s="315"/>
      <c r="AZ108" s="315"/>
      <c r="BA108" s="315"/>
      <c r="BB108" s="315"/>
      <c r="BC108" s="315"/>
      <c r="BD108" s="315"/>
      <c r="BE108" s="315"/>
      <c r="BF108" s="315"/>
      <c r="BG108" s="315"/>
      <c r="BH108" s="315"/>
      <c r="BI108" s="315"/>
      <c r="BJ108" s="315"/>
      <c r="BK108" s="315"/>
      <c r="BL108" s="315"/>
      <c r="BM108" s="315"/>
      <c r="BN108" s="315"/>
      <c r="BO108" s="315"/>
      <c r="BP108" s="315"/>
      <c r="BQ108" s="315"/>
      <c r="BR108" s="315"/>
      <c r="BS108" s="315"/>
      <c r="BT108" s="315"/>
      <c r="BU108" s="315"/>
      <c r="BV108" s="315"/>
      <c r="BW108" s="315"/>
      <c r="BX108" s="315"/>
      <c r="BY108" s="315"/>
      <c r="BZ108" s="315"/>
      <c r="CA108" s="315"/>
      <c r="CB108" s="315"/>
      <c r="CC108" s="315"/>
      <c r="CD108" s="315"/>
      <c r="CE108" s="315"/>
    </row>
    <row r="109" spans="1:83" s="117" customFormat="1" ht="15" customHeight="1" x14ac:dyDescent="0.25">
      <c r="A109" s="315">
        <f t="shared" si="15"/>
        <v>108</v>
      </c>
      <c r="B109" s="3" t="s">
        <v>26</v>
      </c>
      <c r="C109" s="340">
        <v>5</v>
      </c>
      <c r="D109" s="361"/>
      <c r="E109" s="482"/>
      <c r="F109" s="361"/>
      <c r="G109" s="482"/>
      <c r="H109" s="361"/>
      <c r="I109" s="482"/>
      <c r="J109" s="361"/>
      <c r="K109" s="482"/>
      <c r="L109" s="361"/>
      <c r="M109" s="482"/>
      <c r="N109" s="563"/>
      <c r="O109" s="340">
        <f t="shared" si="8"/>
        <v>5</v>
      </c>
      <c r="P109" s="438">
        <f t="shared" si="14"/>
        <v>5</v>
      </c>
      <c r="Q109" s="7">
        <v>14</v>
      </c>
      <c r="R109" s="69"/>
      <c r="S109" s="344">
        <v>46935</v>
      </c>
      <c r="T109" s="318">
        <v>2</v>
      </c>
      <c r="U109" s="318">
        <v>2</v>
      </c>
      <c r="V109" s="199">
        <v>45717</v>
      </c>
      <c r="W109" s="309">
        <v>1</v>
      </c>
      <c r="X109" s="309">
        <v>1</v>
      </c>
      <c r="Y109" s="309">
        <v>2</v>
      </c>
      <c r="Z109" s="429">
        <v>1</v>
      </c>
      <c r="AA109" s="184">
        <f t="shared" si="9"/>
        <v>5</v>
      </c>
      <c r="AB109" s="185">
        <f t="shared" si="10"/>
        <v>1.25</v>
      </c>
      <c r="AC109" s="185">
        <f t="shared" si="11"/>
        <v>5</v>
      </c>
      <c r="AD109" s="185">
        <f t="shared" si="12"/>
        <v>10</v>
      </c>
      <c r="AE109" s="61"/>
      <c r="AF109" s="315"/>
      <c r="AG109" s="315"/>
      <c r="AH109" s="315"/>
      <c r="AI109" s="315"/>
      <c r="AJ109" s="315"/>
      <c r="AK109" s="140"/>
      <c r="AL109" s="315"/>
      <c r="AM109" s="315"/>
      <c r="AN109" s="315"/>
      <c r="AO109" s="315"/>
      <c r="AP109" s="315"/>
      <c r="AQ109" s="315"/>
      <c r="AR109" s="315"/>
      <c r="AS109" s="315"/>
      <c r="AT109" s="315"/>
      <c r="AU109" s="315"/>
      <c r="AV109" s="315"/>
      <c r="AW109" s="315"/>
      <c r="AX109" s="315"/>
      <c r="AY109" s="315"/>
      <c r="AZ109" s="315"/>
      <c r="BA109" s="315"/>
      <c r="BB109" s="315"/>
      <c r="BC109" s="315"/>
      <c r="BD109" s="315"/>
      <c r="BE109" s="315"/>
      <c r="BF109" s="315"/>
      <c r="BG109" s="315"/>
      <c r="BH109" s="315"/>
      <c r="BI109" s="315"/>
      <c r="BJ109" s="315"/>
      <c r="BK109" s="315"/>
      <c r="BL109" s="315"/>
      <c r="BM109" s="315"/>
      <c r="BN109" s="315"/>
      <c r="BO109" s="315"/>
      <c r="BP109" s="315"/>
      <c r="BQ109" s="315"/>
      <c r="BR109" s="315"/>
      <c r="BS109" s="315"/>
      <c r="BT109" s="315"/>
      <c r="BU109" s="315"/>
      <c r="BV109" s="315"/>
      <c r="BW109" s="315"/>
      <c r="BX109" s="315"/>
      <c r="BY109" s="315"/>
      <c r="BZ109" s="315"/>
      <c r="CA109" s="315"/>
      <c r="CB109" s="315"/>
      <c r="CC109" s="315"/>
      <c r="CD109" s="315"/>
      <c r="CE109" s="315"/>
    </row>
    <row r="110" spans="1:83" x14ac:dyDescent="0.25">
      <c r="A110" s="315">
        <f t="shared" si="15"/>
        <v>109</v>
      </c>
      <c r="B110" s="3" t="s">
        <v>1128</v>
      </c>
      <c r="C110" s="340">
        <v>134</v>
      </c>
      <c r="D110" s="359">
        <v>10</v>
      </c>
      <c r="E110" s="478">
        <v>3</v>
      </c>
      <c r="F110" s="359"/>
      <c r="G110" s="478"/>
      <c r="H110" s="359"/>
      <c r="I110" s="478">
        <v>4</v>
      </c>
      <c r="J110" s="359"/>
      <c r="K110" s="478"/>
      <c r="L110" s="359"/>
      <c r="M110" s="478">
        <v>10</v>
      </c>
      <c r="N110" s="561"/>
      <c r="O110" s="340">
        <f t="shared" si="8"/>
        <v>107</v>
      </c>
      <c r="P110" s="438">
        <f t="shared" si="14"/>
        <v>105</v>
      </c>
      <c r="Q110" s="7">
        <v>1.9</v>
      </c>
      <c r="R110" s="106"/>
      <c r="S110" s="344">
        <v>46539</v>
      </c>
      <c r="T110" s="318">
        <v>2</v>
      </c>
      <c r="U110" s="318">
        <v>5</v>
      </c>
      <c r="V110" s="344">
        <v>45717</v>
      </c>
      <c r="W110" s="309">
        <v>38</v>
      </c>
      <c r="X110" s="309">
        <v>20</v>
      </c>
      <c r="Y110" s="309">
        <v>21</v>
      </c>
      <c r="Z110" s="429">
        <v>27</v>
      </c>
      <c r="AA110" s="184">
        <f t="shared" si="9"/>
        <v>106</v>
      </c>
      <c r="AB110" s="185">
        <f t="shared" si="10"/>
        <v>26.5</v>
      </c>
      <c r="AC110" s="185">
        <f t="shared" si="11"/>
        <v>106</v>
      </c>
      <c r="AD110" s="185">
        <f t="shared" si="12"/>
        <v>212</v>
      </c>
      <c r="AE110" s="61"/>
      <c r="AF110" s="315"/>
      <c r="AG110" s="315"/>
      <c r="AH110" s="315"/>
      <c r="AI110" s="315"/>
      <c r="AJ110" s="315"/>
      <c r="AK110" s="140"/>
      <c r="AL110" s="315"/>
      <c r="AM110" s="315"/>
      <c r="AN110" s="315"/>
      <c r="AO110" s="315"/>
      <c r="AP110" s="315"/>
      <c r="AQ110" s="315"/>
      <c r="AR110" s="315"/>
      <c r="AS110" s="315"/>
      <c r="AT110" s="315"/>
      <c r="AU110" s="315"/>
      <c r="AV110" s="315"/>
      <c r="AW110" s="315"/>
      <c r="AX110" s="315"/>
      <c r="AY110" s="315"/>
      <c r="AZ110" s="315"/>
      <c r="BA110" s="315"/>
      <c r="BB110" s="315"/>
      <c r="BC110" s="315"/>
      <c r="BD110" s="315"/>
      <c r="BE110" s="315"/>
      <c r="BF110" s="315"/>
      <c r="BG110" s="315"/>
      <c r="BH110" s="315"/>
      <c r="BI110" s="315"/>
      <c r="BJ110" s="315"/>
      <c r="BK110" s="315"/>
      <c r="BL110" s="315"/>
      <c r="BM110" s="315"/>
      <c r="BN110" s="315"/>
      <c r="BO110" s="315"/>
      <c r="BP110" s="315"/>
      <c r="BQ110" s="315"/>
      <c r="BR110" s="315"/>
      <c r="BS110" s="315"/>
      <c r="BT110" s="315"/>
      <c r="BU110" s="315"/>
      <c r="BV110" s="315"/>
      <c r="BW110" s="315"/>
      <c r="BX110" s="315"/>
      <c r="BY110" s="315"/>
      <c r="BZ110" s="315"/>
      <c r="CA110" s="315"/>
      <c r="CB110" s="315"/>
      <c r="CC110" s="315"/>
      <c r="CD110" s="315"/>
      <c r="CE110" s="315"/>
    </row>
    <row r="111" spans="1:83" x14ac:dyDescent="0.25">
      <c r="A111" s="315">
        <f t="shared" si="15"/>
        <v>110</v>
      </c>
      <c r="B111" s="3" t="s">
        <v>700</v>
      </c>
      <c r="C111" s="340">
        <v>7</v>
      </c>
      <c r="D111" s="359"/>
      <c r="E111" s="478">
        <v>1</v>
      </c>
      <c r="F111" s="359"/>
      <c r="G111" s="478"/>
      <c r="H111" s="359"/>
      <c r="I111" s="478"/>
      <c r="J111" s="359"/>
      <c r="K111" s="478"/>
      <c r="L111" s="359"/>
      <c r="M111" s="478"/>
      <c r="N111" s="561"/>
      <c r="O111" s="340">
        <f t="shared" si="8"/>
        <v>6</v>
      </c>
      <c r="P111" s="438">
        <f t="shared" si="14"/>
        <v>4</v>
      </c>
      <c r="Q111" s="7">
        <v>28</v>
      </c>
      <c r="R111" s="106"/>
      <c r="S111" s="344">
        <v>46905</v>
      </c>
      <c r="T111" s="324">
        <v>4</v>
      </c>
      <c r="U111" s="316"/>
      <c r="V111" s="344">
        <v>45689</v>
      </c>
      <c r="W111" s="309">
        <v>1</v>
      </c>
      <c r="X111" s="309">
        <v>2</v>
      </c>
      <c r="Y111" s="309">
        <v>1</v>
      </c>
      <c r="Z111" s="429">
        <v>1</v>
      </c>
      <c r="AA111" s="184">
        <f t="shared" si="9"/>
        <v>5</v>
      </c>
      <c r="AB111" s="185">
        <f t="shared" si="10"/>
        <v>1.25</v>
      </c>
      <c r="AC111" s="185">
        <f t="shared" si="11"/>
        <v>5</v>
      </c>
      <c r="AD111" s="185">
        <f t="shared" si="12"/>
        <v>10</v>
      </c>
      <c r="AE111" s="61"/>
      <c r="AF111" s="315"/>
      <c r="AG111" s="315"/>
      <c r="AH111" s="315"/>
      <c r="AI111" s="315"/>
      <c r="AJ111" s="315"/>
      <c r="AK111" s="140"/>
      <c r="AL111" s="315"/>
      <c r="AM111" s="315"/>
      <c r="AN111" s="315"/>
      <c r="AO111" s="315"/>
      <c r="AP111" s="315"/>
      <c r="AQ111" s="315"/>
      <c r="AR111" s="315"/>
      <c r="AS111" s="315"/>
      <c r="AT111" s="315"/>
      <c r="AU111" s="315"/>
      <c r="AV111" s="315"/>
      <c r="AW111" s="315"/>
      <c r="AX111" s="315"/>
      <c r="AY111" s="315"/>
      <c r="AZ111" s="315"/>
      <c r="BA111" s="315"/>
      <c r="BB111" s="315"/>
      <c r="BC111" s="315"/>
      <c r="BD111" s="315"/>
      <c r="BE111" s="315"/>
      <c r="BF111" s="315"/>
      <c r="BG111" s="315"/>
      <c r="BH111" s="315"/>
      <c r="BI111" s="315"/>
      <c r="BJ111" s="315"/>
      <c r="BK111" s="315"/>
      <c r="BL111" s="315"/>
      <c r="BM111" s="315"/>
      <c r="BN111" s="315"/>
      <c r="BO111" s="315"/>
      <c r="BP111" s="315"/>
      <c r="BQ111" s="315"/>
      <c r="BR111" s="315"/>
      <c r="BS111" s="315"/>
      <c r="BT111" s="315"/>
      <c r="BU111" s="315"/>
      <c r="BV111" s="315"/>
      <c r="BW111" s="315"/>
      <c r="BX111" s="315"/>
      <c r="BY111" s="315"/>
      <c r="BZ111" s="315"/>
      <c r="CA111" s="315"/>
      <c r="CB111" s="315"/>
      <c r="CC111" s="315"/>
      <c r="CD111" s="315"/>
      <c r="CE111" s="315"/>
    </row>
    <row r="112" spans="1:83" ht="13.5" customHeight="1" x14ac:dyDescent="0.25">
      <c r="A112" s="315">
        <f t="shared" si="15"/>
        <v>111</v>
      </c>
      <c r="B112" s="3" t="s">
        <v>310</v>
      </c>
      <c r="C112" s="340">
        <v>5</v>
      </c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340">
        <f t="shared" si="8"/>
        <v>5</v>
      </c>
      <c r="P112" s="438">
        <f t="shared" si="14"/>
        <v>3</v>
      </c>
      <c r="Q112" s="7">
        <v>33</v>
      </c>
      <c r="R112" s="68"/>
      <c r="S112" s="344">
        <v>46204</v>
      </c>
      <c r="T112" s="318">
        <v>0</v>
      </c>
      <c r="U112" s="318"/>
      <c r="V112" s="199">
        <v>45566</v>
      </c>
      <c r="W112" s="309">
        <v>1</v>
      </c>
      <c r="X112" s="309">
        <v>1</v>
      </c>
      <c r="Y112" s="309">
        <v>1</v>
      </c>
      <c r="Z112" s="429">
        <v>1</v>
      </c>
      <c r="AA112" s="184">
        <f t="shared" si="9"/>
        <v>4</v>
      </c>
      <c r="AB112" s="185">
        <f t="shared" si="10"/>
        <v>1</v>
      </c>
      <c r="AC112" s="185">
        <f t="shared" si="11"/>
        <v>4</v>
      </c>
      <c r="AD112" s="185">
        <f t="shared" si="12"/>
        <v>8</v>
      </c>
      <c r="AE112" s="61"/>
      <c r="AF112" s="315"/>
      <c r="AG112" s="315"/>
      <c r="AH112" s="315"/>
      <c r="AI112" s="315"/>
      <c r="AJ112" s="315"/>
      <c r="AK112" s="140"/>
      <c r="AL112" s="315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5"/>
      <c r="AY112" s="315"/>
      <c r="AZ112" s="315"/>
      <c r="BA112" s="315"/>
      <c r="BB112" s="315"/>
      <c r="BC112" s="315"/>
      <c r="BD112" s="315"/>
      <c r="BE112" s="315"/>
      <c r="BF112" s="315"/>
      <c r="BG112" s="315"/>
      <c r="BH112" s="315"/>
      <c r="BI112" s="315"/>
      <c r="BJ112" s="315"/>
      <c r="BK112" s="315"/>
      <c r="BL112" s="315"/>
      <c r="BM112" s="315"/>
      <c r="BN112" s="315"/>
      <c r="BO112" s="315"/>
      <c r="BP112" s="315"/>
      <c r="BQ112" s="315"/>
      <c r="BR112" s="315"/>
      <c r="BS112" s="315"/>
      <c r="BT112" s="315"/>
      <c r="BU112" s="315"/>
      <c r="BV112" s="315"/>
      <c r="BW112" s="315"/>
      <c r="BX112" s="315"/>
      <c r="BY112" s="315"/>
      <c r="BZ112" s="315"/>
      <c r="CA112" s="315"/>
      <c r="CB112" s="315"/>
      <c r="CC112" s="315"/>
      <c r="CD112" s="315"/>
      <c r="CE112" s="315"/>
    </row>
    <row r="113" spans="1:83" s="117" customFormat="1" ht="15" customHeight="1" x14ac:dyDescent="0.25">
      <c r="A113" s="315">
        <f t="shared" si="15"/>
        <v>112</v>
      </c>
      <c r="B113" s="651" t="s">
        <v>416</v>
      </c>
      <c r="C113" s="653">
        <v>5</v>
      </c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340">
        <f t="shared" si="8"/>
        <v>5</v>
      </c>
      <c r="P113" s="438">
        <f t="shared" si="14"/>
        <v>3</v>
      </c>
      <c r="Q113" s="44">
        <v>38.33</v>
      </c>
      <c r="R113" s="106"/>
      <c r="S113" s="655">
        <v>45901</v>
      </c>
      <c r="T113" s="318">
        <v>0</v>
      </c>
      <c r="U113" s="318"/>
      <c r="V113" s="199">
        <v>45444</v>
      </c>
      <c r="W113" s="309">
        <v>1</v>
      </c>
      <c r="X113" s="309">
        <v>1</v>
      </c>
      <c r="Y113" s="309">
        <v>1</v>
      </c>
      <c r="Z113" s="429">
        <v>1</v>
      </c>
      <c r="AA113" s="184">
        <f t="shared" si="9"/>
        <v>4</v>
      </c>
      <c r="AB113" s="185">
        <f t="shared" si="10"/>
        <v>1</v>
      </c>
      <c r="AC113" s="185">
        <f t="shared" si="11"/>
        <v>4</v>
      </c>
      <c r="AD113" s="185">
        <f t="shared" si="12"/>
        <v>8</v>
      </c>
      <c r="AE113" s="181"/>
      <c r="AF113" s="13"/>
      <c r="AG113" s="13"/>
      <c r="AH113" s="13"/>
      <c r="AI113" s="13"/>
      <c r="AJ113" s="13"/>
      <c r="AK113" s="140"/>
      <c r="AL113" s="315"/>
      <c r="AM113" s="315"/>
      <c r="AN113" s="315"/>
      <c r="AO113" s="315"/>
      <c r="AP113" s="315"/>
      <c r="AQ113" s="315"/>
      <c r="AR113" s="315"/>
      <c r="AS113" s="315"/>
      <c r="AT113" s="315"/>
      <c r="AU113" s="315"/>
      <c r="AV113" s="315"/>
      <c r="AW113" s="315"/>
      <c r="AX113" s="315"/>
      <c r="AY113" s="315"/>
      <c r="AZ113" s="315"/>
      <c r="BA113" s="315"/>
      <c r="BB113" s="315"/>
      <c r="BC113" s="315"/>
      <c r="BD113" s="315"/>
      <c r="BE113" s="315"/>
      <c r="BF113" s="315"/>
      <c r="BG113" s="315"/>
      <c r="BH113" s="315"/>
      <c r="BI113" s="315"/>
      <c r="BJ113" s="315"/>
      <c r="BK113" s="315"/>
      <c r="BL113" s="315"/>
      <c r="BM113" s="315"/>
      <c r="BN113" s="315"/>
      <c r="BO113" s="315"/>
      <c r="BP113" s="315"/>
      <c r="BQ113" s="315"/>
      <c r="BR113" s="315"/>
      <c r="BS113" s="315"/>
      <c r="BT113" s="315"/>
      <c r="BU113" s="315"/>
      <c r="BV113" s="315"/>
      <c r="BW113" s="315"/>
      <c r="BX113" s="315"/>
      <c r="BY113" s="315"/>
      <c r="BZ113" s="315"/>
      <c r="CA113" s="315"/>
      <c r="CB113" s="315"/>
      <c r="CC113" s="315"/>
      <c r="CD113" s="315"/>
      <c r="CE113" s="315"/>
    </row>
    <row r="114" spans="1:83" s="113" customFormat="1" ht="15.75" customHeight="1" x14ac:dyDescent="0.25">
      <c r="A114" s="315">
        <f t="shared" si="15"/>
        <v>113</v>
      </c>
      <c r="B114" s="3" t="s">
        <v>188</v>
      </c>
      <c r="C114" s="340">
        <v>4</v>
      </c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340">
        <f t="shared" si="8"/>
        <v>4</v>
      </c>
      <c r="P114" s="438">
        <f t="shared" si="14"/>
        <v>16</v>
      </c>
      <c r="Q114" s="7">
        <v>13</v>
      </c>
      <c r="R114" s="106"/>
      <c r="S114" s="344">
        <v>45931</v>
      </c>
      <c r="T114" s="318">
        <v>8</v>
      </c>
      <c r="U114" s="318">
        <v>8</v>
      </c>
      <c r="V114" s="344">
        <v>45717</v>
      </c>
      <c r="W114" s="309">
        <v>1</v>
      </c>
      <c r="X114" s="309">
        <v>4</v>
      </c>
      <c r="Y114" s="309">
        <v>3</v>
      </c>
      <c r="Z114" s="429">
        <v>2</v>
      </c>
      <c r="AA114" s="184">
        <f t="shared" si="9"/>
        <v>10</v>
      </c>
      <c r="AB114" s="185">
        <f t="shared" si="10"/>
        <v>2.5</v>
      </c>
      <c r="AC114" s="185">
        <f t="shared" si="11"/>
        <v>10</v>
      </c>
      <c r="AD114" s="185">
        <f t="shared" si="12"/>
        <v>20</v>
      </c>
      <c r="AE114" s="61"/>
      <c r="AF114" s="315"/>
      <c r="AG114" s="315"/>
      <c r="AH114" s="315"/>
      <c r="AI114" s="315"/>
      <c r="AJ114" s="315"/>
      <c r="AK114" s="140"/>
      <c r="AL114" s="315"/>
      <c r="AM114" s="315"/>
      <c r="AN114" s="315"/>
      <c r="AO114" s="315"/>
      <c r="AP114" s="315"/>
      <c r="AQ114" s="315"/>
      <c r="AR114" s="315"/>
      <c r="AS114" s="315"/>
      <c r="AT114" s="315"/>
      <c r="AU114" s="315"/>
      <c r="AV114" s="315"/>
      <c r="AW114" s="315"/>
      <c r="AX114" s="315"/>
      <c r="AY114" s="315"/>
      <c r="AZ114" s="315"/>
      <c r="BA114" s="315"/>
      <c r="BB114" s="315"/>
      <c r="BC114" s="315"/>
      <c r="BD114" s="315"/>
      <c r="BE114" s="315"/>
      <c r="BF114" s="315"/>
      <c r="BG114" s="315"/>
      <c r="BH114" s="315"/>
      <c r="BI114" s="315"/>
      <c r="BJ114" s="315"/>
      <c r="BK114" s="315"/>
      <c r="BL114" s="315"/>
      <c r="BM114" s="315"/>
      <c r="BN114" s="315"/>
      <c r="BO114" s="315"/>
      <c r="BP114" s="315"/>
      <c r="BQ114" s="315"/>
      <c r="BR114" s="315"/>
      <c r="BS114" s="315"/>
      <c r="BT114" s="315"/>
      <c r="BU114" s="315"/>
      <c r="BV114" s="315"/>
      <c r="BW114" s="315"/>
      <c r="BX114" s="315"/>
      <c r="BY114" s="315"/>
      <c r="BZ114" s="315"/>
      <c r="CA114" s="315"/>
      <c r="CB114" s="315"/>
      <c r="CC114" s="315"/>
      <c r="CD114" s="315"/>
      <c r="CE114" s="315"/>
    </row>
    <row r="115" spans="1:83" s="113" customFormat="1" ht="15" customHeight="1" x14ac:dyDescent="0.25">
      <c r="A115" s="315">
        <f t="shared" si="15"/>
        <v>114</v>
      </c>
      <c r="B115" s="3" t="s">
        <v>206</v>
      </c>
      <c r="C115" s="340">
        <v>0</v>
      </c>
      <c r="D115" s="359"/>
      <c r="E115" s="478"/>
      <c r="F115" s="359"/>
      <c r="G115" s="480"/>
      <c r="H115" s="360"/>
      <c r="I115" s="480"/>
      <c r="J115" s="360"/>
      <c r="K115" s="480"/>
      <c r="L115" s="360"/>
      <c r="M115" s="480"/>
      <c r="N115" s="562"/>
      <c r="O115" s="340">
        <f t="shared" si="8"/>
        <v>0</v>
      </c>
      <c r="P115" s="438">
        <f t="shared" si="14"/>
        <v>8</v>
      </c>
      <c r="Q115" s="7">
        <v>30</v>
      </c>
      <c r="R115" s="297" t="s">
        <v>688</v>
      </c>
      <c r="S115" s="83">
        <v>46478</v>
      </c>
      <c r="T115" s="313">
        <v>0</v>
      </c>
      <c r="U115" s="313"/>
      <c r="V115" s="81">
        <v>45597</v>
      </c>
      <c r="W115" s="28">
        <v>1</v>
      </c>
      <c r="X115" s="28">
        <v>1</v>
      </c>
      <c r="Y115" s="28">
        <v>1</v>
      </c>
      <c r="Z115" s="429">
        <v>1</v>
      </c>
      <c r="AA115" s="184">
        <f t="shared" si="9"/>
        <v>4</v>
      </c>
      <c r="AB115" s="185">
        <f t="shared" si="10"/>
        <v>1</v>
      </c>
      <c r="AC115" s="185">
        <f t="shared" si="11"/>
        <v>4</v>
      </c>
      <c r="AD115" s="185">
        <f t="shared" si="12"/>
        <v>8</v>
      </c>
      <c r="AE115" s="61"/>
      <c r="AF115" s="315"/>
      <c r="AG115" s="315"/>
      <c r="AH115" s="315"/>
      <c r="AI115" s="315"/>
      <c r="AJ115" s="315"/>
      <c r="AK115" s="140"/>
      <c r="AL115" s="315"/>
      <c r="AM115" s="315"/>
      <c r="AN115" s="315"/>
      <c r="AO115" s="315"/>
      <c r="AP115" s="315"/>
      <c r="AQ115" s="315"/>
      <c r="AR115" s="315"/>
      <c r="AS115" s="315"/>
      <c r="AT115" s="315"/>
      <c r="AU115" s="315"/>
      <c r="AV115" s="315"/>
      <c r="AW115" s="315"/>
      <c r="AX115" s="315"/>
      <c r="AY115" s="315"/>
      <c r="AZ115" s="315"/>
      <c r="BA115" s="315"/>
      <c r="BB115" s="315"/>
      <c r="BC115" s="315"/>
      <c r="BD115" s="315"/>
      <c r="BE115" s="315"/>
      <c r="BF115" s="315"/>
      <c r="BG115" s="315"/>
      <c r="BH115" s="315"/>
      <c r="BI115" s="315"/>
      <c r="BJ115" s="315"/>
      <c r="BK115" s="315"/>
      <c r="BL115" s="315"/>
      <c r="BM115" s="315"/>
      <c r="BN115" s="315"/>
      <c r="BO115" s="315"/>
      <c r="BP115" s="315"/>
      <c r="BQ115" s="315"/>
      <c r="BR115" s="315"/>
      <c r="BS115" s="315"/>
      <c r="BT115" s="315"/>
      <c r="BU115" s="315"/>
      <c r="BV115" s="315"/>
      <c r="BW115" s="315"/>
      <c r="BX115" s="315"/>
      <c r="BY115" s="315"/>
      <c r="BZ115" s="315"/>
      <c r="CA115" s="315"/>
      <c r="CB115" s="315"/>
      <c r="CC115" s="315"/>
      <c r="CD115" s="315"/>
      <c r="CE115" s="315"/>
    </row>
    <row r="116" spans="1:83" s="113" customFormat="1" ht="15" customHeight="1" x14ac:dyDescent="0.25">
      <c r="A116" s="315">
        <f t="shared" si="15"/>
        <v>115</v>
      </c>
      <c r="B116" s="3" t="s">
        <v>1379</v>
      </c>
      <c r="C116" s="340">
        <v>253</v>
      </c>
      <c r="D116" s="359"/>
      <c r="E116" s="478">
        <v>20</v>
      </c>
      <c r="F116" s="359"/>
      <c r="G116" s="478"/>
      <c r="H116" s="359">
        <v>20</v>
      </c>
      <c r="I116" s="478"/>
      <c r="J116" s="359"/>
      <c r="K116" s="478">
        <v>6</v>
      </c>
      <c r="L116" s="359"/>
      <c r="M116" s="478">
        <v>40</v>
      </c>
      <c r="N116" s="561"/>
      <c r="O116" s="340">
        <f t="shared" si="8"/>
        <v>167</v>
      </c>
      <c r="P116" s="438">
        <f t="shared" si="14"/>
        <v>599</v>
      </c>
      <c r="Q116" s="44">
        <v>0.7</v>
      </c>
      <c r="R116" s="68"/>
      <c r="S116" s="344">
        <v>46235</v>
      </c>
      <c r="T116" s="318">
        <v>5</v>
      </c>
      <c r="U116" s="318">
        <v>6</v>
      </c>
      <c r="V116" s="199">
        <v>45717</v>
      </c>
      <c r="W116" s="309">
        <v>2</v>
      </c>
      <c r="X116" s="309">
        <v>153</v>
      </c>
      <c r="Y116" s="309">
        <v>142</v>
      </c>
      <c r="Z116" s="429">
        <v>86</v>
      </c>
      <c r="AA116" s="184">
        <f t="shared" si="9"/>
        <v>383</v>
      </c>
      <c r="AB116" s="185">
        <f t="shared" si="10"/>
        <v>95.75</v>
      </c>
      <c r="AC116" s="185">
        <f t="shared" si="11"/>
        <v>383</v>
      </c>
      <c r="AD116" s="185">
        <f t="shared" si="12"/>
        <v>766</v>
      </c>
      <c r="AE116" s="61"/>
      <c r="AF116" s="13"/>
      <c r="AG116" s="13"/>
      <c r="AH116" s="13"/>
      <c r="AI116" s="13"/>
      <c r="AJ116" s="13"/>
      <c r="AK116" s="140"/>
      <c r="AL116" s="315"/>
      <c r="AM116" s="315"/>
      <c r="AN116" s="315"/>
      <c r="AO116" s="315"/>
      <c r="AP116" s="315"/>
      <c r="AQ116" s="315"/>
      <c r="AR116" s="315"/>
      <c r="AS116" s="315"/>
      <c r="AT116" s="315"/>
      <c r="AU116" s="315"/>
      <c r="AV116" s="315"/>
      <c r="AW116" s="315"/>
      <c r="AX116" s="315"/>
      <c r="AY116" s="315"/>
      <c r="AZ116" s="315"/>
      <c r="BA116" s="315"/>
      <c r="BB116" s="315"/>
      <c r="BC116" s="315"/>
      <c r="BD116" s="315"/>
      <c r="BE116" s="315"/>
      <c r="BF116" s="315"/>
      <c r="BG116" s="315"/>
      <c r="BH116" s="315"/>
      <c r="BI116" s="315"/>
      <c r="BJ116" s="315"/>
      <c r="BK116" s="315"/>
      <c r="BL116" s="315"/>
      <c r="BM116" s="315"/>
      <c r="BN116" s="315"/>
      <c r="BO116" s="315"/>
      <c r="BP116" s="315"/>
      <c r="BQ116" s="315"/>
      <c r="BR116" s="315"/>
      <c r="BS116" s="315"/>
      <c r="BT116" s="315"/>
      <c r="BU116" s="315"/>
      <c r="BV116" s="315"/>
      <c r="BW116" s="315"/>
      <c r="BX116" s="315"/>
      <c r="BY116" s="315"/>
      <c r="BZ116" s="315"/>
      <c r="CA116" s="315"/>
      <c r="CB116" s="315"/>
      <c r="CC116" s="315"/>
      <c r="CD116" s="315"/>
      <c r="CE116" s="315"/>
    </row>
    <row r="117" spans="1:83" ht="15" customHeight="1" x14ac:dyDescent="0.25">
      <c r="A117" s="315">
        <f t="shared" si="15"/>
        <v>116</v>
      </c>
      <c r="B117" s="3" t="s">
        <v>339</v>
      </c>
      <c r="C117" s="340">
        <v>4</v>
      </c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340">
        <f t="shared" si="8"/>
        <v>4</v>
      </c>
      <c r="P117" s="438">
        <f t="shared" si="14"/>
        <v>10</v>
      </c>
      <c r="Q117" s="7">
        <v>28</v>
      </c>
      <c r="R117" s="68" t="s">
        <v>81</v>
      </c>
      <c r="S117" s="344">
        <v>46296</v>
      </c>
      <c r="T117" s="324">
        <v>3</v>
      </c>
      <c r="U117" s="318"/>
      <c r="V117" s="344">
        <v>45627</v>
      </c>
      <c r="W117" s="309">
        <v>1</v>
      </c>
      <c r="X117" s="309">
        <v>2</v>
      </c>
      <c r="Y117" s="309">
        <v>2</v>
      </c>
      <c r="Z117" s="429">
        <v>2</v>
      </c>
      <c r="AA117" s="184">
        <f t="shared" si="9"/>
        <v>7</v>
      </c>
      <c r="AB117" s="185">
        <f t="shared" si="10"/>
        <v>1.75</v>
      </c>
      <c r="AC117" s="185">
        <f t="shared" si="11"/>
        <v>7</v>
      </c>
      <c r="AD117" s="185">
        <f t="shared" si="12"/>
        <v>14</v>
      </c>
      <c r="AE117" s="61"/>
      <c r="AF117" s="77"/>
      <c r="AG117" s="16"/>
      <c r="AH117" s="16"/>
      <c r="AI117" s="16"/>
      <c r="AJ117" s="16"/>
    </row>
    <row r="118" spans="1:83" ht="15" customHeight="1" x14ac:dyDescent="0.25">
      <c r="A118" s="315">
        <f t="shared" si="15"/>
        <v>117</v>
      </c>
      <c r="B118" s="314" t="s">
        <v>312</v>
      </c>
      <c r="C118" s="340">
        <v>10</v>
      </c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340">
        <f t="shared" si="8"/>
        <v>10</v>
      </c>
      <c r="P118" s="438">
        <f t="shared" si="14"/>
        <v>10</v>
      </c>
      <c r="Q118" s="7">
        <v>3</v>
      </c>
      <c r="R118" s="73"/>
      <c r="S118" s="344">
        <v>46174</v>
      </c>
      <c r="T118" s="318">
        <v>0</v>
      </c>
      <c r="U118" s="318"/>
      <c r="V118" s="199">
        <v>45658</v>
      </c>
      <c r="W118" s="309">
        <v>3</v>
      </c>
      <c r="X118" s="309">
        <v>3</v>
      </c>
      <c r="Y118" s="309">
        <v>2</v>
      </c>
      <c r="Z118" s="429">
        <v>2</v>
      </c>
      <c r="AA118" s="184">
        <f t="shared" si="9"/>
        <v>10</v>
      </c>
      <c r="AB118" s="185">
        <f t="shared" si="10"/>
        <v>2.5</v>
      </c>
      <c r="AC118" s="185">
        <f t="shared" si="11"/>
        <v>10</v>
      </c>
      <c r="AD118" s="185">
        <f t="shared" si="12"/>
        <v>20</v>
      </c>
      <c r="AE118" s="61"/>
      <c r="AF118" s="16"/>
      <c r="AG118" s="16"/>
      <c r="AH118" s="16"/>
      <c r="AI118" s="16"/>
      <c r="AJ118" s="16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</row>
    <row r="119" spans="1:83" s="296" customFormat="1" x14ac:dyDescent="0.25">
      <c r="A119" s="315">
        <f t="shared" si="15"/>
        <v>118</v>
      </c>
      <c r="B119" s="314" t="s">
        <v>417</v>
      </c>
      <c r="C119" s="340">
        <v>18</v>
      </c>
      <c r="D119" s="359"/>
      <c r="E119" s="478"/>
      <c r="F119" s="359"/>
      <c r="G119" s="478"/>
      <c r="H119" s="359">
        <v>1</v>
      </c>
      <c r="I119" s="478"/>
      <c r="J119" s="359"/>
      <c r="K119" s="478"/>
      <c r="L119" s="359"/>
      <c r="M119" s="478"/>
      <c r="N119" s="561"/>
      <c r="O119" s="340">
        <f t="shared" si="8"/>
        <v>17</v>
      </c>
      <c r="P119" s="438">
        <f t="shared" si="14"/>
        <v>5</v>
      </c>
      <c r="Q119" s="44">
        <v>3</v>
      </c>
      <c r="R119" s="73"/>
      <c r="S119" s="344">
        <v>46235</v>
      </c>
      <c r="T119" s="318">
        <v>0</v>
      </c>
      <c r="U119" s="318"/>
      <c r="V119" s="199">
        <v>45689</v>
      </c>
      <c r="W119" s="309">
        <v>1</v>
      </c>
      <c r="X119" s="309">
        <v>4</v>
      </c>
      <c r="Y119" s="309">
        <v>3</v>
      </c>
      <c r="Z119" s="429">
        <v>3</v>
      </c>
      <c r="AA119" s="184">
        <f t="shared" si="9"/>
        <v>11</v>
      </c>
      <c r="AB119" s="185">
        <f t="shared" si="10"/>
        <v>2.75</v>
      </c>
      <c r="AC119" s="185">
        <f t="shared" si="11"/>
        <v>11</v>
      </c>
      <c r="AD119" s="185">
        <f t="shared" si="12"/>
        <v>22</v>
      </c>
      <c r="AE119" s="61"/>
      <c r="AF119" s="315"/>
      <c r="AG119" s="315"/>
      <c r="AH119" s="315"/>
      <c r="AI119" s="315"/>
      <c r="AJ119" s="295"/>
    </row>
    <row r="120" spans="1:83" ht="15" customHeight="1" x14ac:dyDescent="0.25">
      <c r="A120" s="315">
        <f t="shared" si="15"/>
        <v>119</v>
      </c>
      <c r="B120" s="314" t="s">
        <v>903</v>
      </c>
      <c r="C120" s="340">
        <v>7</v>
      </c>
      <c r="D120" s="359">
        <v>1</v>
      </c>
      <c r="E120" s="478"/>
      <c r="F120" s="359"/>
      <c r="G120" s="478">
        <v>1</v>
      </c>
      <c r="H120" s="359"/>
      <c r="I120" s="478"/>
      <c r="J120" s="359"/>
      <c r="K120" s="478"/>
      <c r="L120" s="359">
        <v>1</v>
      </c>
      <c r="M120" s="478">
        <v>1</v>
      </c>
      <c r="N120" s="561"/>
      <c r="O120" s="340">
        <f t="shared" si="8"/>
        <v>3</v>
      </c>
      <c r="P120" s="438">
        <f t="shared" si="14"/>
        <v>15</v>
      </c>
      <c r="Q120" s="7">
        <v>10</v>
      </c>
      <c r="R120" s="106"/>
      <c r="S120" s="335">
        <v>46966</v>
      </c>
      <c r="T120" s="318">
        <v>1</v>
      </c>
      <c r="U120" s="318">
        <v>2</v>
      </c>
      <c r="V120" s="344">
        <v>45717</v>
      </c>
      <c r="W120" s="309">
        <v>2</v>
      </c>
      <c r="X120" s="309">
        <v>1</v>
      </c>
      <c r="Y120" s="309">
        <v>2</v>
      </c>
      <c r="Z120" s="429">
        <v>4</v>
      </c>
      <c r="AA120" s="184">
        <f t="shared" si="9"/>
        <v>9</v>
      </c>
      <c r="AB120" s="185">
        <f t="shared" si="10"/>
        <v>2.25</v>
      </c>
      <c r="AC120" s="185">
        <f t="shared" si="11"/>
        <v>9</v>
      </c>
      <c r="AD120" s="185">
        <f t="shared" si="12"/>
        <v>18</v>
      </c>
      <c r="AE120" s="61"/>
      <c r="AF120" s="16"/>
      <c r="AG120" s="16"/>
      <c r="AH120" s="16"/>
      <c r="AI120" s="16"/>
      <c r="AJ120" s="16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</row>
    <row r="121" spans="1:83" ht="15" customHeight="1" x14ac:dyDescent="0.25">
      <c r="A121" s="315">
        <f t="shared" si="15"/>
        <v>120</v>
      </c>
      <c r="B121" s="314" t="s">
        <v>1129</v>
      </c>
      <c r="C121" s="340">
        <v>6</v>
      </c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340">
        <f t="shared" si="8"/>
        <v>6</v>
      </c>
      <c r="P121" s="438">
        <f t="shared" si="14"/>
        <v>6</v>
      </c>
      <c r="Q121" s="44">
        <v>7</v>
      </c>
      <c r="R121" s="73"/>
      <c r="S121" s="344">
        <v>46082</v>
      </c>
      <c r="T121" s="318">
        <v>0</v>
      </c>
      <c r="U121" s="318"/>
      <c r="V121" s="199">
        <v>45627</v>
      </c>
      <c r="W121" s="309">
        <v>2</v>
      </c>
      <c r="X121" s="309">
        <v>1</v>
      </c>
      <c r="Y121" s="309">
        <v>1</v>
      </c>
      <c r="Z121" s="429">
        <v>2</v>
      </c>
      <c r="AA121" s="184">
        <f t="shared" si="9"/>
        <v>6</v>
      </c>
      <c r="AB121" s="185">
        <f t="shared" si="10"/>
        <v>1.5</v>
      </c>
      <c r="AC121" s="185">
        <f t="shared" si="11"/>
        <v>6</v>
      </c>
      <c r="AD121" s="185">
        <f t="shared" si="12"/>
        <v>12</v>
      </c>
      <c r="AE121" s="61"/>
      <c r="AF121" s="16"/>
      <c r="AG121" s="16"/>
      <c r="AH121" s="16"/>
      <c r="AI121" s="16"/>
      <c r="AJ121" s="16"/>
    </row>
    <row r="122" spans="1:83" x14ac:dyDescent="0.25">
      <c r="A122" s="315">
        <f t="shared" si="15"/>
        <v>121</v>
      </c>
      <c r="B122" s="651" t="s">
        <v>1130</v>
      </c>
      <c r="C122" s="653">
        <v>6</v>
      </c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340">
        <f t="shared" si="8"/>
        <v>6</v>
      </c>
      <c r="P122" s="438">
        <f t="shared" si="14"/>
        <v>12</v>
      </c>
      <c r="Q122" s="7">
        <v>5</v>
      </c>
      <c r="R122" s="106"/>
      <c r="S122" s="655">
        <v>45839</v>
      </c>
      <c r="T122" s="318">
        <v>1</v>
      </c>
      <c r="U122" s="318"/>
      <c r="V122" s="344">
        <v>45627</v>
      </c>
      <c r="W122" s="309">
        <v>4</v>
      </c>
      <c r="X122" s="309">
        <v>1</v>
      </c>
      <c r="Y122" s="309">
        <v>2</v>
      </c>
      <c r="Z122" s="429">
        <v>2</v>
      </c>
      <c r="AA122" s="184">
        <f t="shared" si="9"/>
        <v>9</v>
      </c>
      <c r="AB122" s="185">
        <f t="shared" si="10"/>
        <v>2.25</v>
      </c>
      <c r="AC122" s="185">
        <f t="shared" si="11"/>
        <v>9</v>
      </c>
      <c r="AD122" s="185">
        <f t="shared" si="12"/>
        <v>18</v>
      </c>
      <c r="AE122" s="61"/>
      <c r="AF122" s="16"/>
      <c r="AG122" s="16"/>
      <c r="AH122" s="16"/>
      <c r="AI122" s="16"/>
      <c r="AJ122" s="16"/>
    </row>
    <row r="123" spans="1:83" x14ac:dyDescent="0.25">
      <c r="A123" s="315">
        <f t="shared" si="15"/>
        <v>122</v>
      </c>
      <c r="B123" s="314" t="s">
        <v>490</v>
      </c>
      <c r="C123" s="340">
        <v>1</v>
      </c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340">
        <f t="shared" si="8"/>
        <v>1</v>
      </c>
      <c r="P123" s="438">
        <f t="shared" si="14"/>
        <v>7</v>
      </c>
      <c r="Q123" s="44">
        <v>6</v>
      </c>
      <c r="R123" s="73"/>
      <c r="S123" s="344">
        <v>46447</v>
      </c>
      <c r="T123" s="318">
        <v>1</v>
      </c>
      <c r="U123" s="318"/>
      <c r="V123" s="344">
        <v>45658</v>
      </c>
      <c r="W123" s="309">
        <v>1</v>
      </c>
      <c r="X123" s="309">
        <v>1</v>
      </c>
      <c r="Y123" s="309">
        <v>1</v>
      </c>
      <c r="Z123" s="429">
        <v>1</v>
      </c>
      <c r="AA123" s="184">
        <f t="shared" si="9"/>
        <v>4</v>
      </c>
      <c r="AB123" s="185">
        <f t="shared" si="10"/>
        <v>1</v>
      </c>
      <c r="AC123" s="185">
        <f t="shared" si="11"/>
        <v>4</v>
      </c>
      <c r="AD123" s="185">
        <f t="shared" si="12"/>
        <v>8</v>
      </c>
      <c r="AE123" s="61"/>
      <c r="AF123" s="16"/>
      <c r="AG123" s="16"/>
      <c r="AH123" s="16"/>
      <c r="AI123" s="16"/>
      <c r="AJ123" s="16"/>
    </row>
    <row r="124" spans="1:83" x14ac:dyDescent="0.25">
      <c r="A124" s="315">
        <f t="shared" si="15"/>
        <v>123</v>
      </c>
      <c r="B124" s="314" t="s">
        <v>1380</v>
      </c>
      <c r="C124" s="340">
        <v>2</v>
      </c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340">
        <f t="shared" si="8"/>
        <v>2</v>
      </c>
      <c r="P124" s="438">
        <f t="shared" si="14"/>
        <v>6</v>
      </c>
      <c r="Q124" s="44">
        <v>6</v>
      </c>
      <c r="R124" s="106"/>
      <c r="S124" s="344">
        <v>46266</v>
      </c>
      <c r="T124" s="318">
        <v>1</v>
      </c>
      <c r="U124" s="318"/>
      <c r="V124" s="199">
        <v>45658</v>
      </c>
      <c r="W124" s="309">
        <v>1</v>
      </c>
      <c r="X124" s="309">
        <v>1</v>
      </c>
      <c r="Y124" s="309">
        <v>1</v>
      </c>
      <c r="Z124" s="429">
        <v>1</v>
      </c>
      <c r="AA124" s="184">
        <f t="shared" si="9"/>
        <v>4</v>
      </c>
      <c r="AB124" s="185">
        <f t="shared" si="10"/>
        <v>1</v>
      </c>
      <c r="AC124" s="185">
        <f t="shared" si="11"/>
        <v>4</v>
      </c>
      <c r="AD124" s="185">
        <f t="shared" si="12"/>
        <v>8</v>
      </c>
      <c r="AE124" s="61"/>
      <c r="AF124" s="16"/>
      <c r="AG124" s="16"/>
      <c r="AH124" s="16"/>
      <c r="AI124" s="16"/>
      <c r="AJ124" s="16"/>
    </row>
    <row r="125" spans="1:83" x14ac:dyDescent="0.25">
      <c r="A125" s="315">
        <f t="shared" si="15"/>
        <v>124</v>
      </c>
      <c r="B125" s="3" t="s">
        <v>512</v>
      </c>
      <c r="C125" s="340">
        <v>3</v>
      </c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340">
        <v>3</v>
      </c>
      <c r="P125" s="438">
        <f t="shared" si="14"/>
        <v>9</v>
      </c>
      <c r="Q125" s="7">
        <v>10</v>
      </c>
      <c r="R125" s="106"/>
      <c r="S125" s="99">
        <v>46478</v>
      </c>
      <c r="T125" s="311">
        <v>0</v>
      </c>
      <c r="U125" s="311">
        <v>4</v>
      </c>
      <c r="V125" s="104">
        <v>45717</v>
      </c>
      <c r="W125" s="309">
        <v>2</v>
      </c>
      <c r="X125" s="309">
        <v>2</v>
      </c>
      <c r="Y125" s="309">
        <v>1</v>
      </c>
      <c r="Z125" s="429">
        <v>1</v>
      </c>
      <c r="AA125" s="184">
        <f t="shared" si="9"/>
        <v>6</v>
      </c>
      <c r="AB125" s="185">
        <f t="shared" si="10"/>
        <v>1.5</v>
      </c>
      <c r="AC125" s="185">
        <f t="shared" si="11"/>
        <v>6</v>
      </c>
      <c r="AD125" s="185">
        <f t="shared" si="12"/>
        <v>12</v>
      </c>
      <c r="AE125" s="61"/>
      <c r="AF125" s="16"/>
      <c r="AG125" s="16"/>
      <c r="AH125" s="16"/>
      <c r="AI125" s="16"/>
      <c r="AJ125" s="16"/>
    </row>
    <row r="126" spans="1:83" s="139" customFormat="1" x14ac:dyDescent="0.25">
      <c r="A126" s="315">
        <f t="shared" si="15"/>
        <v>125</v>
      </c>
      <c r="B126" s="3" t="s">
        <v>316</v>
      </c>
      <c r="C126" s="340">
        <v>9</v>
      </c>
      <c r="D126" s="359"/>
      <c r="E126" s="478"/>
      <c r="F126" s="359"/>
      <c r="G126" s="478">
        <v>2</v>
      </c>
      <c r="H126" s="359"/>
      <c r="I126" s="478"/>
      <c r="J126" s="359"/>
      <c r="K126" s="478"/>
      <c r="L126" s="359"/>
      <c r="M126" s="478"/>
      <c r="N126" s="561"/>
      <c r="O126" s="340">
        <f t="shared" si="8"/>
        <v>7</v>
      </c>
      <c r="P126" s="438">
        <f t="shared" si="14"/>
        <v>15</v>
      </c>
      <c r="Q126" s="7">
        <v>4</v>
      </c>
      <c r="R126" s="106"/>
      <c r="S126" s="344">
        <v>46419</v>
      </c>
      <c r="T126" s="324">
        <v>3</v>
      </c>
      <c r="U126" s="318"/>
      <c r="V126" s="199">
        <v>45658</v>
      </c>
      <c r="W126" s="309">
        <v>2</v>
      </c>
      <c r="X126" s="309">
        <v>6</v>
      </c>
      <c r="Y126" s="309">
        <v>1</v>
      </c>
      <c r="Z126" s="429">
        <v>2</v>
      </c>
      <c r="AA126" s="184">
        <f t="shared" si="9"/>
        <v>11</v>
      </c>
      <c r="AB126" s="185">
        <f t="shared" si="10"/>
        <v>2.75</v>
      </c>
      <c r="AC126" s="185">
        <f t="shared" si="11"/>
        <v>11</v>
      </c>
      <c r="AD126" s="185">
        <f t="shared" si="12"/>
        <v>22</v>
      </c>
      <c r="AE126" s="61"/>
      <c r="AF126" s="103"/>
      <c r="AG126" s="103"/>
      <c r="AH126" s="103"/>
      <c r="AI126" s="103"/>
      <c r="AJ126" s="103"/>
    </row>
    <row r="127" spans="1:83" x14ac:dyDescent="0.25">
      <c r="A127" s="315">
        <f t="shared" si="15"/>
        <v>126</v>
      </c>
      <c r="B127" s="314" t="s">
        <v>185</v>
      </c>
      <c r="C127" s="340">
        <v>15</v>
      </c>
      <c r="D127" s="359"/>
      <c r="E127" s="478"/>
      <c r="F127" s="359"/>
      <c r="G127" s="480"/>
      <c r="H127" s="360"/>
      <c r="I127" s="480"/>
      <c r="J127" s="360"/>
      <c r="K127" s="480"/>
      <c r="L127" s="360"/>
      <c r="M127" s="480"/>
      <c r="N127" s="562"/>
      <c r="O127" s="340">
        <f t="shared" si="8"/>
        <v>15</v>
      </c>
      <c r="P127" s="438">
        <f t="shared" si="14"/>
        <v>5</v>
      </c>
      <c r="Q127" s="7">
        <v>7</v>
      </c>
      <c r="R127" s="63"/>
      <c r="S127" s="83">
        <v>46174</v>
      </c>
      <c r="T127" s="313">
        <v>0</v>
      </c>
      <c r="U127" s="313"/>
      <c r="V127" s="118">
        <v>45627</v>
      </c>
      <c r="W127" s="28">
        <v>4</v>
      </c>
      <c r="X127" s="28">
        <v>2</v>
      </c>
      <c r="Y127" s="28">
        <v>2</v>
      </c>
      <c r="Z127" s="429">
        <v>2</v>
      </c>
      <c r="AA127" s="184">
        <f t="shared" si="9"/>
        <v>10</v>
      </c>
      <c r="AB127" s="185">
        <f t="shared" si="10"/>
        <v>2.5</v>
      </c>
      <c r="AC127" s="185">
        <f t="shared" si="11"/>
        <v>10</v>
      </c>
      <c r="AD127" s="185">
        <f t="shared" si="12"/>
        <v>20</v>
      </c>
      <c r="AE127" s="61"/>
      <c r="AF127" s="16"/>
      <c r="AG127" s="16"/>
      <c r="AH127" s="16"/>
      <c r="AI127" s="16"/>
      <c r="AJ127" s="16"/>
    </row>
    <row r="128" spans="1:83" x14ac:dyDescent="0.25">
      <c r="A128" s="315">
        <f t="shared" si="15"/>
        <v>127</v>
      </c>
      <c r="B128" s="314" t="s">
        <v>269</v>
      </c>
      <c r="C128" s="340">
        <v>11</v>
      </c>
      <c r="D128" s="359">
        <v>1</v>
      </c>
      <c r="E128" s="478"/>
      <c r="F128" s="359"/>
      <c r="G128" s="478"/>
      <c r="H128" s="359"/>
      <c r="I128" s="478"/>
      <c r="J128" s="359"/>
      <c r="K128" s="478"/>
      <c r="L128" s="359"/>
      <c r="M128" s="478">
        <v>1</v>
      </c>
      <c r="N128" s="561"/>
      <c r="O128" s="340">
        <f t="shared" si="8"/>
        <v>9</v>
      </c>
      <c r="P128" s="438">
        <f t="shared" si="14"/>
        <v>11</v>
      </c>
      <c r="Q128" s="7">
        <v>6</v>
      </c>
      <c r="R128" s="68" t="s">
        <v>77</v>
      </c>
      <c r="S128" s="344">
        <v>47392</v>
      </c>
      <c r="T128" s="318">
        <v>0</v>
      </c>
      <c r="U128" s="318">
        <v>2</v>
      </c>
      <c r="V128" s="199">
        <v>45717</v>
      </c>
      <c r="W128" s="309">
        <v>1</v>
      </c>
      <c r="X128" s="309">
        <v>2</v>
      </c>
      <c r="Y128" s="309">
        <v>5</v>
      </c>
      <c r="Z128" s="429">
        <v>2</v>
      </c>
      <c r="AA128" s="184">
        <f t="shared" si="9"/>
        <v>10</v>
      </c>
      <c r="AB128" s="185">
        <f t="shared" si="10"/>
        <v>2.5</v>
      </c>
      <c r="AC128" s="185">
        <f t="shared" si="11"/>
        <v>10</v>
      </c>
      <c r="AD128" s="185">
        <f t="shared" si="12"/>
        <v>20</v>
      </c>
      <c r="AE128" s="158"/>
    </row>
    <row r="129" spans="1:31" x14ac:dyDescent="0.25">
      <c r="A129" s="315">
        <f t="shared" si="15"/>
        <v>128</v>
      </c>
      <c r="B129" s="314" t="s">
        <v>340</v>
      </c>
      <c r="C129" s="340">
        <v>1</v>
      </c>
      <c r="D129" s="361"/>
      <c r="E129" s="482"/>
      <c r="F129" s="361"/>
      <c r="G129" s="482"/>
      <c r="H129" s="361"/>
      <c r="I129" s="482"/>
      <c r="J129" s="361"/>
      <c r="K129" s="482"/>
      <c r="L129" s="361"/>
      <c r="M129" s="482"/>
      <c r="N129" s="563"/>
      <c r="O129" s="340">
        <f t="shared" si="8"/>
        <v>1</v>
      </c>
      <c r="P129" s="438">
        <f t="shared" si="14"/>
        <v>7</v>
      </c>
      <c r="Q129" s="7">
        <v>16</v>
      </c>
      <c r="R129" s="68"/>
      <c r="S129" s="344">
        <v>46023</v>
      </c>
      <c r="T129" s="318">
        <v>0</v>
      </c>
      <c r="U129" s="318"/>
      <c r="V129" s="199">
        <v>45383</v>
      </c>
      <c r="W129" s="309">
        <v>1</v>
      </c>
      <c r="X129" s="309">
        <v>1</v>
      </c>
      <c r="Y129" s="309">
        <v>1</v>
      </c>
      <c r="Z129" s="429">
        <v>1</v>
      </c>
      <c r="AA129" s="184">
        <f t="shared" si="9"/>
        <v>4</v>
      </c>
      <c r="AB129" s="185">
        <f t="shared" si="10"/>
        <v>1</v>
      </c>
      <c r="AC129" s="185">
        <f t="shared" si="11"/>
        <v>4</v>
      </c>
      <c r="AD129" s="185">
        <f t="shared" si="12"/>
        <v>8</v>
      </c>
      <c r="AE129" s="158"/>
    </row>
    <row r="130" spans="1:31" x14ac:dyDescent="0.25">
      <c r="A130" s="315">
        <f t="shared" si="15"/>
        <v>129</v>
      </c>
      <c r="B130" s="314" t="s">
        <v>1131</v>
      </c>
      <c r="C130" s="340">
        <v>17</v>
      </c>
      <c r="D130" s="361"/>
      <c r="E130" s="482">
        <v>2</v>
      </c>
      <c r="F130" s="361"/>
      <c r="G130" s="482"/>
      <c r="H130" s="361">
        <v>1</v>
      </c>
      <c r="I130" s="482"/>
      <c r="J130" s="361"/>
      <c r="K130" s="482"/>
      <c r="L130" s="361"/>
      <c r="M130" s="482"/>
      <c r="N130" s="563"/>
      <c r="O130" s="340">
        <f t="shared" ref="O130:O193" si="16">SUM(C130-D130-E130-F130-G130-H130-I130-J130-K130-L130-M130-N130)</f>
        <v>14</v>
      </c>
      <c r="P130" s="438">
        <f t="shared" si="14"/>
        <v>14</v>
      </c>
      <c r="Q130" s="7">
        <v>10</v>
      </c>
      <c r="R130" s="68"/>
      <c r="S130" s="344">
        <v>46539</v>
      </c>
      <c r="T130" s="318">
        <v>1</v>
      </c>
      <c r="U130" s="318"/>
      <c r="V130" s="344">
        <v>45689</v>
      </c>
      <c r="W130" s="309">
        <v>2</v>
      </c>
      <c r="X130" s="309">
        <v>2</v>
      </c>
      <c r="Y130" s="309">
        <v>7</v>
      </c>
      <c r="Z130" s="429">
        <v>3</v>
      </c>
      <c r="AA130" s="184">
        <f t="shared" ref="AA130:AA193" si="17">W130+X130+Y130+Z130</f>
        <v>14</v>
      </c>
      <c r="AB130" s="185">
        <f t="shared" ref="AB130:AB193" si="18">AA130/4</f>
        <v>3.5</v>
      </c>
      <c r="AC130" s="185">
        <f t="shared" ref="AC130:AC193" si="19">AB130*4</f>
        <v>14</v>
      </c>
      <c r="AD130" s="185">
        <f t="shared" ref="AD130:AD193" si="20">AC130*2</f>
        <v>28</v>
      </c>
      <c r="AE130" s="158"/>
    </row>
    <row r="131" spans="1:31" x14ac:dyDescent="0.25">
      <c r="A131" s="315">
        <f t="shared" ref="A131:A162" si="21">A130+1</f>
        <v>130</v>
      </c>
      <c r="B131" s="3" t="s">
        <v>1132</v>
      </c>
      <c r="C131" s="340">
        <v>2</v>
      </c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340">
        <f t="shared" si="16"/>
        <v>2</v>
      </c>
      <c r="P131" s="438">
        <f t="shared" ref="P131:P194" si="22">AD131-O131</f>
        <v>10</v>
      </c>
      <c r="Q131" s="7">
        <v>8.33</v>
      </c>
      <c r="R131" s="106"/>
      <c r="S131" s="344">
        <v>46905</v>
      </c>
      <c r="T131" s="318">
        <v>2</v>
      </c>
      <c r="U131" s="318"/>
      <c r="V131" s="344">
        <v>46784</v>
      </c>
      <c r="W131" s="309">
        <v>2</v>
      </c>
      <c r="X131" s="309">
        <v>1</v>
      </c>
      <c r="Y131" s="309">
        <v>2</v>
      </c>
      <c r="Z131" s="429">
        <v>1</v>
      </c>
      <c r="AA131" s="184">
        <f t="shared" si="17"/>
        <v>6</v>
      </c>
      <c r="AB131" s="185">
        <f t="shared" si="18"/>
        <v>1.5</v>
      </c>
      <c r="AC131" s="185">
        <f t="shared" si="19"/>
        <v>6</v>
      </c>
      <c r="AD131" s="185">
        <f t="shared" si="20"/>
        <v>12</v>
      </c>
      <c r="AE131" s="161"/>
    </row>
    <row r="132" spans="1:31" x14ac:dyDescent="0.25">
      <c r="A132" s="315">
        <f t="shared" si="21"/>
        <v>131</v>
      </c>
      <c r="B132" s="314" t="s">
        <v>175</v>
      </c>
      <c r="C132" s="340">
        <v>4</v>
      </c>
      <c r="D132" s="359"/>
      <c r="E132" s="478"/>
      <c r="F132" s="359"/>
      <c r="G132" s="480"/>
      <c r="H132" s="360"/>
      <c r="I132" s="480"/>
      <c r="J132" s="360"/>
      <c r="K132" s="480"/>
      <c r="L132" s="360"/>
      <c r="M132" s="480"/>
      <c r="N132" s="562"/>
      <c r="O132" s="340">
        <f t="shared" si="16"/>
        <v>4</v>
      </c>
      <c r="P132" s="438">
        <f t="shared" si="22"/>
        <v>10</v>
      </c>
      <c r="Q132" s="7">
        <v>8</v>
      </c>
      <c r="R132" s="63" t="s">
        <v>77</v>
      </c>
      <c r="S132" s="83">
        <v>46388</v>
      </c>
      <c r="T132" s="313">
        <v>5</v>
      </c>
      <c r="U132" s="313">
        <v>5</v>
      </c>
      <c r="V132" s="118">
        <v>45717</v>
      </c>
      <c r="W132" s="28">
        <v>3</v>
      </c>
      <c r="X132" s="28">
        <v>1</v>
      </c>
      <c r="Y132" s="28">
        <v>2</v>
      </c>
      <c r="Z132" s="429">
        <v>1</v>
      </c>
      <c r="AA132" s="184">
        <f t="shared" si="17"/>
        <v>7</v>
      </c>
      <c r="AB132" s="185">
        <f t="shared" si="18"/>
        <v>1.75</v>
      </c>
      <c r="AC132" s="185">
        <f t="shared" si="19"/>
        <v>7</v>
      </c>
      <c r="AD132" s="185">
        <f t="shared" si="20"/>
        <v>14</v>
      </c>
      <c r="AE132" s="158"/>
    </row>
    <row r="133" spans="1:31" ht="15.75" customHeight="1" x14ac:dyDescent="0.25">
      <c r="A133" s="315">
        <f t="shared" si="21"/>
        <v>132</v>
      </c>
      <c r="B133" s="314" t="s">
        <v>1182</v>
      </c>
      <c r="C133" s="340">
        <v>1</v>
      </c>
      <c r="D133" s="359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340">
        <f t="shared" si="16"/>
        <v>1</v>
      </c>
      <c r="P133" s="438">
        <f t="shared" si="22"/>
        <v>7</v>
      </c>
      <c r="Q133" s="7">
        <v>38</v>
      </c>
      <c r="R133" s="68"/>
      <c r="S133" s="344">
        <v>46143</v>
      </c>
      <c r="T133" s="318">
        <v>2</v>
      </c>
      <c r="U133" s="318"/>
      <c r="V133" s="199">
        <v>45627</v>
      </c>
      <c r="W133" s="309">
        <v>2</v>
      </c>
      <c r="X133" s="309">
        <v>1</v>
      </c>
      <c r="Y133" s="309">
        <v>1</v>
      </c>
      <c r="Z133" s="429"/>
      <c r="AA133" s="184">
        <f t="shared" si="17"/>
        <v>4</v>
      </c>
      <c r="AB133" s="185">
        <f t="shared" si="18"/>
        <v>1</v>
      </c>
      <c r="AC133" s="185">
        <f t="shared" si="19"/>
        <v>4</v>
      </c>
      <c r="AD133" s="185">
        <f t="shared" si="20"/>
        <v>8</v>
      </c>
      <c r="AE133" s="158"/>
    </row>
    <row r="134" spans="1:31" x14ac:dyDescent="0.25">
      <c r="A134" s="315">
        <f t="shared" si="21"/>
        <v>133</v>
      </c>
      <c r="B134" s="314" t="s">
        <v>127</v>
      </c>
      <c r="C134" s="340">
        <v>3</v>
      </c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340">
        <f t="shared" si="16"/>
        <v>3</v>
      </c>
      <c r="P134" s="438">
        <f t="shared" si="22"/>
        <v>13</v>
      </c>
      <c r="Q134" s="7">
        <v>13</v>
      </c>
      <c r="R134" s="106"/>
      <c r="S134" s="198">
        <v>46539</v>
      </c>
      <c r="T134" s="312">
        <v>9</v>
      </c>
      <c r="U134" s="312">
        <v>12</v>
      </c>
      <c r="V134" s="344">
        <v>45717</v>
      </c>
      <c r="W134" s="309">
        <v>1</v>
      </c>
      <c r="X134" s="309">
        <v>4</v>
      </c>
      <c r="Y134" s="309">
        <v>1</v>
      </c>
      <c r="Z134" s="429">
        <v>2</v>
      </c>
      <c r="AA134" s="184">
        <f t="shared" si="17"/>
        <v>8</v>
      </c>
      <c r="AB134" s="185">
        <f t="shared" si="18"/>
        <v>2</v>
      </c>
      <c r="AC134" s="185">
        <f t="shared" si="19"/>
        <v>8</v>
      </c>
      <c r="AD134" s="185">
        <f t="shared" si="20"/>
        <v>16</v>
      </c>
    </row>
    <row r="135" spans="1:31" x14ac:dyDescent="0.25">
      <c r="A135" s="315">
        <f t="shared" si="21"/>
        <v>134</v>
      </c>
      <c r="B135" s="314" t="s">
        <v>1133</v>
      </c>
      <c r="C135" s="340">
        <v>12</v>
      </c>
      <c r="D135" s="359"/>
      <c r="E135" s="478"/>
      <c r="F135" s="359"/>
      <c r="G135" s="478"/>
      <c r="H135" s="359"/>
      <c r="I135" s="478"/>
      <c r="J135" s="359"/>
      <c r="K135" s="478"/>
      <c r="L135" s="359">
        <v>1</v>
      </c>
      <c r="M135" s="478"/>
      <c r="N135" s="561"/>
      <c r="O135" s="340">
        <f t="shared" si="16"/>
        <v>11</v>
      </c>
      <c r="P135" s="438">
        <f t="shared" si="22"/>
        <v>13</v>
      </c>
      <c r="Q135" s="7">
        <v>5</v>
      </c>
      <c r="R135" s="72"/>
      <c r="S135" s="344">
        <v>46600</v>
      </c>
      <c r="T135" s="318">
        <v>2</v>
      </c>
      <c r="U135" s="318">
        <v>1</v>
      </c>
      <c r="V135" s="199">
        <v>45717</v>
      </c>
      <c r="W135" s="309">
        <v>3</v>
      </c>
      <c r="X135" s="309">
        <v>7</v>
      </c>
      <c r="Y135" s="309">
        <v>1</v>
      </c>
      <c r="Z135" s="429">
        <v>1</v>
      </c>
      <c r="AA135" s="184">
        <f t="shared" si="17"/>
        <v>12</v>
      </c>
      <c r="AB135" s="185">
        <f t="shared" si="18"/>
        <v>3</v>
      </c>
      <c r="AC135" s="185">
        <f t="shared" si="19"/>
        <v>12</v>
      </c>
      <c r="AD135" s="185">
        <f t="shared" si="20"/>
        <v>24</v>
      </c>
      <c r="AE135" s="158"/>
    </row>
    <row r="136" spans="1:31" x14ac:dyDescent="0.25">
      <c r="A136" s="315">
        <f t="shared" si="21"/>
        <v>135</v>
      </c>
      <c r="B136" s="314" t="s">
        <v>319</v>
      </c>
      <c r="C136" s="340">
        <v>2</v>
      </c>
      <c r="D136" s="361"/>
      <c r="E136" s="482"/>
      <c r="F136" s="361"/>
      <c r="G136" s="482"/>
      <c r="H136" s="361"/>
      <c r="I136" s="482">
        <v>1</v>
      </c>
      <c r="J136" s="361"/>
      <c r="K136" s="482"/>
      <c r="L136" s="361"/>
      <c r="M136" s="482"/>
      <c r="N136" s="563"/>
      <c r="O136" s="340">
        <f t="shared" si="16"/>
        <v>1</v>
      </c>
      <c r="P136" s="438">
        <f t="shared" si="22"/>
        <v>9</v>
      </c>
      <c r="Q136" s="7">
        <v>25</v>
      </c>
      <c r="R136" s="68"/>
      <c r="S136" s="344">
        <v>46357</v>
      </c>
      <c r="T136" s="318">
        <v>0</v>
      </c>
      <c r="U136" s="318"/>
      <c r="V136" s="199">
        <v>45689</v>
      </c>
      <c r="W136" s="309">
        <v>2</v>
      </c>
      <c r="X136" s="309">
        <v>1</v>
      </c>
      <c r="Y136" s="309">
        <v>1</v>
      </c>
      <c r="Z136" s="429">
        <v>1</v>
      </c>
      <c r="AA136" s="184">
        <f t="shared" si="17"/>
        <v>5</v>
      </c>
      <c r="AB136" s="185">
        <f t="shared" si="18"/>
        <v>1.25</v>
      </c>
      <c r="AC136" s="185">
        <f t="shared" si="19"/>
        <v>5</v>
      </c>
      <c r="AD136" s="185">
        <f t="shared" si="20"/>
        <v>10</v>
      </c>
    </row>
    <row r="137" spans="1:31" x14ac:dyDescent="0.25">
      <c r="A137" s="315">
        <f t="shared" si="21"/>
        <v>136</v>
      </c>
      <c r="B137" s="314" t="s">
        <v>17</v>
      </c>
      <c r="C137" s="340">
        <v>3</v>
      </c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340">
        <f t="shared" si="16"/>
        <v>3</v>
      </c>
      <c r="P137" s="438">
        <f t="shared" si="22"/>
        <v>5</v>
      </c>
      <c r="Q137" s="7">
        <v>26</v>
      </c>
      <c r="R137" s="68"/>
      <c r="S137" s="344">
        <v>46266</v>
      </c>
      <c r="T137" s="318">
        <v>2</v>
      </c>
      <c r="U137" s="318"/>
      <c r="V137" s="199">
        <v>45658</v>
      </c>
      <c r="W137" s="309">
        <v>1</v>
      </c>
      <c r="X137" s="309">
        <v>1</v>
      </c>
      <c r="Y137" s="309">
        <v>1</v>
      </c>
      <c r="Z137" s="429">
        <v>1</v>
      </c>
      <c r="AA137" s="184">
        <f t="shared" si="17"/>
        <v>4</v>
      </c>
      <c r="AB137" s="185">
        <f t="shared" si="18"/>
        <v>1</v>
      </c>
      <c r="AC137" s="185">
        <f t="shared" si="19"/>
        <v>4</v>
      </c>
      <c r="AD137" s="185">
        <f t="shared" si="20"/>
        <v>8</v>
      </c>
      <c r="AE137" s="161"/>
    </row>
    <row r="138" spans="1:31" x14ac:dyDescent="0.25">
      <c r="A138" s="315">
        <f t="shared" si="21"/>
        <v>137</v>
      </c>
      <c r="B138" s="314" t="s">
        <v>711</v>
      </c>
      <c r="C138" s="340">
        <v>2</v>
      </c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340">
        <f t="shared" si="16"/>
        <v>2</v>
      </c>
      <c r="P138" s="438">
        <f t="shared" si="22"/>
        <v>2</v>
      </c>
      <c r="Q138" s="7">
        <v>12</v>
      </c>
      <c r="R138" s="68"/>
      <c r="S138" s="344">
        <v>46539</v>
      </c>
      <c r="T138" s="318">
        <v>0</v>
      </c>
      <c r="U138" s="318"/>
      <c r="V138" s="344">
        <v>45658</v>
      </c>
      <c r="W138" s="309"/>
      <c r="X138" s="309">
        <v>1</v>
      </c>
      <c r="Y138" s="309"/>
      <c r="Z138" s="429">
        <v>1</v>
      </c>
      <c r="AA138" s="184">
        <f t="shared" si="17"/>
        <v>2</v>
      </c>
      <c r="AB138" s="185">
        <f t="shared" si="18"/>
        <v>0.5</v>
      </c>
      <c r="AC138" s="185">
        <f t="shared" si="19"/>
        <v>2</v>
      </c>
      <c r="AD138" s="185">
        <f t="shared" si="20"/>
        <v>4</v>
      </c>
      <c r="AE138" s="158"/>
    </row>
    <row r="139" spans="1:31" x14ac:dyDescent="0.25">
      <c r="A139" s="315">
        <f t="shared" si="21"/>
        <v>138</v>
      </c>
      <c r="B139" s="651" t="s">
        <v>607</v>
      </c>
      <c r="C139" s="653">
        <v>1</v>
      </c>
      <c r="D139" s="359"/>
      <c r="E139" s="478"/>
      <c r="F139" s="359"/>
      <c r="G139" s="478"/>
      <c r="H139" s="359"/>
      <c r="I139" s="478"/>
      <c r="J139" s="359"/>
      <c r="K139" s="478"/>
      <c r="L139" s="362"/>
      <c r="M139" s="499"/>
      <c r="N139" s="576"/>
      <c r="O139" s="340">
        <f t="shared" si="16"/>
        <v>1</v>
      </c>
      <c r="P139" s="438">
        <f t="shared" si="22"/>
        <v>49</v>
      </c>
      <c r="Q139" s="10">
        <v>2</v>
      </c>
      <c r="R139" s="73"/>
      <c r="S139" s="655">
        <v>45839</v>
      </c>
      <c r="T139" s="16">
        <v>0</v>
      </c>
      <c r="U139" s="309"/>
      <c r="V139" s="199">
        <v>44986</v>
      </c>
      <c r="W139" s="309">
        <v>4</v>
      </c>
      <c r="X139" s="309">
        <v>10</v>
      </c>
      <c r="Y139" s="309">
        <v>9</v>
      </c>
      <c r="Z139" s="429">
        <v>2</v>
      </c>
      <c r="AA139" s="184">
        <f t="shared" si="17"/>
        <v>25</v>
      </c>
      <c r="AB139" s="185">
        <f t="shared" si="18"/>
        <v>6.25</v>
      </c>
      <c r="AC139" s="185">
        <f t="shared" si="19"/>
        <v>25</v>
      </c>
      <c r="AD139" s="185">
        <f t="shared" si="20"/>
        <v>50</v>
      </c>
      <c r="AE139" s="158"/>
    </row>
    <row r="140" spans="1:31" x14ac:dyDescent="0.25">
      <c r="A140" s="315">
        <f t="shared" si="21"/>
        <v>139</v>
      </c>
      <c r="B140" s="3" t="s">
        <v>1134</v>
      </c>
      <c r="C140" s="340">
        <v>4</v>
      </c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340">
        <f t="shared" si="16"/>
        <v>4</v>
      </c>
      <c r="P140" s="438">
        <f t="shared" si="22"/>
        <v>6</v>
      </c>
      <c r="Q140" s="7">
        <v>32</v>
      </c>
      <c r="R140" s="63"/>
      <c r="S140" s="77">
        <v>46235</v>
      </c>
      <c r="T140" s="16">
        <v>2</v>
      </c>
      <c r="U140" s="16">
        <v>4</v>
      </c>
      <c r="V140" s="77">
        <v>45717</v>
      </c>
      <c r="W140" s="14">
        <v>1</v>
      </c>
      <c r="X140" s="14">
        <v>1</v>
      </c>
      <c r="Y140" s="315">
        <v>1</v>
      </c>
      <c r="Z140" s="315">
        <v>2</v>
      </c>
      <c r="AA140" s="184">
        <f t="shared" si="17"/>
        <v>5</v>
      </c>
      <c r="AB140" s="185">
        <f t="shared" si="18"/>
        <v>1.25</v>
      </c>
      <c r="AC140" s="185">
        <f t="shared" si="19"/>
        <v>5</v>
      </c>
      <c r="AD140" s="185">
        <f t="shared" si="20"/>
        <v>10</v>
      </c>
      <c r="AE140" s="158"/>
    </row>
    <row r="141" spans="1:31" x14ac:dyDescent="0.25">
      <c r="A141" s="315">
        <f t="shared" si="21"/>
        <v>140</v>
      </c>
      <c r="B141" s="314" t="s">
        <v>154</v>
      </c>
      <c r="C141" s="340">
        <v>7</v>
      </c>
      <c r="D141" s="359"/>
      <c r="E141" s="478"/>
      <c r="F141" s="359"/>
      <c r="G141" s="480"/>
      <c r="H141" s="360"/>
      <c r="I141" s="480"/>
      <c r="J141" s="360"/>
      <c r="K141" s="480"/>
      <c r="L141" s="360"/>
      <c r="M141" s="480"/>
      <c r="N141" s="562"/>
      <c r="O141" s="340">
        <f t="shared" si="16"/>
        <v>7</v>
      </c>
      <c r="P141" s="438">
        <f t="shared" si="22"/>
        <v>19</v>
      </c>
      <c r="Q141" s="7">
        <v>10</v>
      </c>
      <c r="R141" s="63"/>
      <c r="S141" s="83">
        <v>46204</v>
      </c>
      <c r="T141" s="313">
        <v>0</v>
      </c>
      <c r="U141" s="313"/>
      <c r="V141" s="118">
        <v>45597</v>
      </c>
      <c r="W141" s="28">
        <v>2</v>
      </c>
      <c r="X141" s="28">
        <v>2</v>
      </c>
      <c r="Y141" s="28">
        <v>5</v>
      </c>
      <c r="Z141" s="429">
        <v>4</v>
      </c>
      <c r="AA141" s="184">
        <f t="shared" si="17"/>
        <v>13</v>
      </c>
      <c r="AB141" s="185">
        <f t="shared" si="18"/>
        <v>3.25</v>
      </c>
      <c r="AC141" s="185">
        <f t="shared" si="19"/>
        <v>13</v>
      </c>
      <c r="AD141" s="185">
        <f t="shared" si="20"/>
        <v>26</v>
      </c>
    </row>
    <row r="142" spans="1:31" x14ac:dyDescent="0.25">
      <c r="A142" s="315">
        <f t="shared" si="21"/>
        <v>141</v>
      </c>
      <c r="B142" s="314" t="s">
        <v>740</v>
      </c>
      <c r="C142" s="340">
        <v>9</v>
      </c>
      <c r="D142" s="359"/>
      <c r="E142" s="478"/>
      <c r="F142" s="359"/>
      <c r="G142" s="480"/>
      <c r="H142" s="360"/>
      <c r="I142" s="480"/>
      <c r="J142" s="360"/>
      <c r="K142" s="480"/>
      <c r="L142" s="360"/>
      <c r="M142" s="480"/>
      <c r="N142" s="562"/>
      <c r="O142" s="340">
        <f t="shared" si="16"/>
        <v>9</v>
      </c>
      <c r="P142" s="438">
        <f t="shared" si="22"/>
        <v>11</v>
      </c>
      <c r="Q142" s="7">
        <v>12</v>
      </c>
      <c r="R142" s="63"/>
      <c r="S142" s="83">
        <v>46388</v>
      </c>
      <c r="T142" s="313">
        <v>0</v>
      </c>
      <c r="U142" s="313"/>
      <c r="V142" s="81">
        <v>45627</v>
      </c>
      <c r="W142" s="28">
        <v>3</v>
      </c>
      <c r="X142" s="28">
        <v>2</v>
      </c>
      <c r="Y142" s="28">
        <v>3</v>
      </c>
      <c r="Z142" s="429">
        <v>2</v>
      </c>
      <c r="AA142" s="184">
        <f t="shared" si="17"/>
        <v>10</v>
      </c>
      <c r="AB142" s="185">
        <f t="shared" si="18"/>
        <v>2.5</v>
      </c>
      <c r="AC142" s="185">
        <f t="shared" si="19"/>
        <v>10</v>
      </c>
      <c r="AD142" s="185">
        <f t="shared" si="20"/>
        <v>20</v>
      </c>
      <c r="AE142" s="158"/>
    </row>
    <row r="143" spans="1:31" x14ac:dyDescent="0.25">
      <c r="A143" s="315">
        <f t="shared" si="21"/>
        <v>142</v>
      </c>
      <c r="B143" s="314" t="s">
        <v>67</v>
      </c>
      <c r="C143" s="340">
        <v>4</v>
      </c>
      <c r="D143" s="359"/>
      <c r="E143" s="478"/>
      <c r="F143" s="359"/>
      <c r="G143" s="478">
        <v>3</v>
      </c>
      <c r="H143" s="359"/>
      <c r="I143" s="478"/>
      <c r="J143" s="359"/>
      <c r="K143" s="478"/>
      <c r="L143" s="359">
        <v>1</v>
      </c>
      <c r="M143" s="478"/>
      <c r="N143" s="561"/>
      <c r="O143" s="340">
        <f t="shared" si="16"/>
        <v>0</v>
      </c>
      <c r="P143" s="438">
        <f t="shared" si="22"/>
        <v>14</v>
      </c>
      <c r="Q143" s="7">
        <v>17</v>
      </c>
      <c r="R143" s="106" t="s">
        <v>77</v>
      </c>
      <c r="S143" s="344">
        <v>46478</v>
      </c>
      <c r="T143" s="318">
        <v>3</v>
      </c>
      <c r="U143" s="318"/>
      <c r="V143" s="344">
        <v>45627</v>
      </c>
      <c r="W143" s="309">
        <v>1</v>
      </c>
      <c r="X143" s="309">
        <v>1</v>
      </c>
      <c r="Y143" s="309">
        <v>1</v>
      </c>
      <c r="Z143" s="429">
        <v>4</v>
      </c>
      <c r="AA143" s="184">
        <f t="shared" si="17"/>
        <v>7</v>
      </c>
      <c r="AB143" s="185">
        <f t="shared" si="18"/>
        <v>1.75</v>
      </c>
      <c r="AC143" s="185">
        <f t="shared" si="19"/>
        <v>7</v>
      </c>
      <c r="AD143" s="185">
        <f t="shared" si="20"/>
        <v>14</v>
      </c>
      <c r="AE143" s="158"/>
    </row>
    <row r="144" spans="1:31" x14ac:dyDescent="0.25">
      <c r="A144" s="315">
        <f t="shared" si="21"/>
        <v>143</v>
      </c>
      <c r="B144" s="314" t="s">
        <v>1002</v>
      </c>
      <c r="C144" s="340">
        <v>6</v>
      </c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340">
        <f t="shared" si="16"/>
        <v>6</v>
      </c>
      <c r="P144" s="438">
        <f t="shared" si="22"/>
        <v>4.0399999999999991</v>
      </c>
      <c r="Q144" s="7">
        <v>10</v>
      </c>
      <c r="R144" s="106" t="s">
        <v>81</v>
      </c>
      <c r="S144" s="344">
        <v>46327</v>
      </c>
      <c r="T144" s="318">
        <v>0</v>
      </c>
      <c r="U144" s="318"/>
      <c r="V144" s="199">
        <v>45658</v>
      </c>
      <c r="W144" s="309">
        <v>1</v>
      </c>
      <c r="X144" s="309">
        <v>1.02</v>
      </c>
      <c r="Y144" s="309">
        <v>1</v>
      </c>
      <c r="Z144" s="429">
        <v>2</v>
      </c>
      <c r="AA144" s="184">
        <f t="shared" si="17"/>
        <v>5.0199999999999996</v>
      </c>
      <c r="AB144" s="185">
        <f t="shared" si="18"/>
        <v>1.2549999999999999</v>
      </c>
      <c r="AC144" s="185">
        <f t="shared" si="19"/>
        <v>5.0199999999999996</v>
      </c>
      <c r="AD144" s="185">
        <f t="shared" si="20"/>
        <v>10.039999999999999</v>
      </c>
      <c r="AE144" s="158"/>
    </row>
    <row r="145" spans="1:31" ht="14.25" customHeight="1" x14ac:dyDescent="0.25">
      <c r="A145" s="315">
        <f t="shared" si="21"/>
        <v>144</v>
      </c>
      <c r="B145" s="314" t="s">
        <v>1326</v>
      </c>
      <c r="C145" s="340">
        <v>6</v>
      </c>
      <c r="D145" s="359">
        <v>1</v>
      </c>
      <c r="E145" s="478"/>
      <c r="F145" s="360"/>
      <c r="G145" s="480"/>
      <c r="H145" s="360"/>
      <c r="I145" s="480"/>
      <c r="J145" s="360"/>
      <c r="K145" s="480"/>
      <c r="L145" s="362"/>
      <c r="M145" s="499"/>
      <c r="N145" s="576"/>
      <c r="O145" s="340">
        <f t="shared" si="16"/>
        <v>5</v>
      </c>
      <c r="P145" s="438">
        <f t="shared" si="22"/>
        <v>3</v>
      </c>
      <c r="Q145" s="7">
        <v>49</v>
      </c>
      <c r="R145" s="106"/>
      <c r="S145" s="344">
        <v>46539</v>
      </c>
      <c r="T145" s="318">
        <v>1</v>
      </c>
      <c r="U145" s="316">
        <v>2</v>
      </c>
      <c r="V145" s="344">
        <v>45717</v>
      </c>
      <c r="W145" s="309">
        <v>1</v>
      </c>
      <c r="X145" s="309">
        <v>1</v>
      </c>
      <c r="Y145" s="309">
        <v>1</v>
      </c>
      <c r="Z145" s="429">
        <v>1</v>
      </c>
      <c r="AA145" s="184">
        <f t="shared" si="17"/>
        <v>4</v>
      </c>
      <c r="AB145" s="185">
        <f t="shared" si="18"/>
        <v>1</v>
      </c>
      <c r="AC145" s="185">
        <f t="shared" si="19"/>
        <v>4</v>
      </c>
      <c r="AD145" s="185">
        <f t="shared" si="20"/>
        <v>8</v>
      </c>
    </row>
    <row r="146" spans="1:31" ht="14.25" customHeight="1" x14ac:dyDescent="0.25">
      <c r="A146" s="315">
        <f t="shared" si="21"/>
        <v>145</v>
      </c>
      <c r="B146" s="314" t="s">
        <v>443</v>
      </c>
      <c r="C146" s="340">
        <v>6</v>
      </c>
      <c r="D146" s="359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340">
        <f t="shared" si="16"/>
        <v>6</v>
      </c>
      <c r="P146" s="438">
        <f t="shared" si="22"/>
        <v>6</v>
      </c>
      <c r="Q146" s="7">
        <v>15</v>
      </c>
      <c r="R146" s="68"/>
      <c r="S146" s="198">
        <v>46569</v>
      </c>
      <c r="T146" s="312">
        <v>0</v>
      </c>
      <c r="U146" s="312"/>
      <c r="V146" s="199">
        <v>45689</v>
      </c>
      <c r="W146" s="309">
        <v>1</v>
      </c>
      <c r="X146" s="309">
        <v>2</v>
      </c>
      <c r="Y146" s="309">
        <v>1</v>
      </c>
      <c r="Z146" s="429">
        <v>2</v>
      </c>
      <c r="AA146" s="184">
        <f t="shared" si="17"/>
        <v>6</v>
      </c>
      <c r="AB146" s="185">
        <f t="shared" si="18"/>
        <v>1.5</v>
      </c>
      <c r="AC146" s="185">
        <f t="shared" si="19"/>
        <v>6</v>
      </c>
      <c r="AD146" s="185">
        <f t="shared" si="20"/>
        <v>12</v>
      </c>
      <c r="AE146" s="158"/>
    </row>
    <row r="147" spans="1:31" x14ac:dyDescent="0.25">
      <c r="A147" s="315">
        <f t="shared" si="21"/>
        <v>146</v>
      </c>
      <c r="B147" s="314" t="s">
        <v>1189</v>
      </c>
      <c r="C147" s="340">
        <v>11</v>
      </c>
      <c r="D147" s="359">
        <v>1</v>
      </c>
      <c r="E147" s="478"/>
      <c r="F147" s="359"/>
      <c r="G147" s="478"/>
      <c r="H147" s="359"/>
      <c r="I147" s="478"/>
      <c r="J147" s="359"/>
      <c r="K147" s="478"/>
      <c r="L147" s="359"/>
      <c r="M147" s="478"/>
      <c r="N147" s="576"/>
      <c r="O147" s="340">
        <f t="shared" si="16"/>
        <v>10</v>
      </c>
      <c r="P147" s="438">
        <f t="shared" si="22"/>
        <v>12</v>
      </c>
      <c r="Q147" s="10">
        <v>4</v>
      </c>
      <c r="R147" s="73"/>
      <c r="S147" s="344">
        <v>46143</v>
      </c>
      <c r="T147" s="16">
        <v>1</v>
      </c>
      <c r="U147" s="309"/>
      <c r="V147" s="199">
        <v>45689</v>
      </c>
      <c r="W147" s="309">
        <v>3</v>
      </c>
      <c r="X147" s="309">
        <v>3</v>
      </c>
      <c r="Y147" s="309">
        <v>4</v>
      </c>
      <c r="Z147" s="429">
        <v>1</v>
      </c>
      <c r="AA147" s="184">
        <f t="shared" si="17"/>
        <v>11</v>
      </c>
      <c r="AB147" s="185">
        <f t="shared" si="18"/>
        <v>2.75</v>
      </c>
      <c r="AC147" s="185">
        <f t="shared" si="19"/>
        <v>11</v>
      </c>
      <c r="AD147" s="185">
        <f t="shared" si="20"/>
        <v>22</v>
      </c>
      <c r="AE147" s="158"/>
    </row>
    <row r="148" spans="1:31" ht="15" customHeight="1" x14ac:dyDescent="0.25">
      <c r="A148" s="315">
        <f t="shared" si="21"/>
        <v>147</v>
      </c>
      <c r="B148" s="314" t="s">
        <v>1221</v>
      </c>
      <c r="C148" s="340">
        <v>14</v>
      </c>
      <c r="D148" s="359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340">
        <f t="shared" si="16"/>
        <v>14</v>
      </c>
      <c r="P148" s="438">
        <f t="shared" si="22"/>
        <v>26</v>
      </c>
      <c r="Q148" s="7">
        <v>4</v>
      </c>
      <c r="R148" s="106"/>
      <c r="S148" s="344">
        <v>46539</v>
      </c>
      <c r="T148" s="318">
        <v>10</v>
      </c>
      <c r="U148" s="318">
        <v>20</v>
      </c>
      <c r="V148" s="344">
        <v>45717</v>
      </c>
      <c r="W148" s="309">
        <v>9</v>
      </c>
      <c r="X148" s="309">
        <v>2</v>
      </c>
      <c r="Y148" s="309">
        <v>1</v>
      </c>
      <c r="Z148" s="429">
        <v>8</v>
      </c>
      <c r="AA148" s="184">
        <f t="shared" si="17"/>
        <v>20</v>
      </c>
      <c r="AB148" s="185">
        <f t="shared" si="18"/>
        <v>5</v>
      </c>
      <c r="AC148" s="185">
        <f t="shared" si="19"/>
        <v>20</v>
      </c>
      <c r="AD148" s="185">
        <f t="shared" si="20"/>
        <v>40</v>
      </c>
      <c r="AE148" s="158"/>
    </row>
    <row r="149" spans="1:31" x14ac:dyDescent="0.25">
      <c r="A149" s="315">
        <f t="shared" si="21"/>
        <v>148</v>
      </c>
      <c r="B149" s="3" t="s">
        <v>1135</v>
      </c>
      <c r="C149" s="340">
        <v>10</v>
      </c>
      <c r="D149" s="359">
        <v>1</v>
      </c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340">
        <f t="shared" si="16"/>
        <v>9</v>
      </c>
      <c r="P149" s="438">
        <f t="shared" si="22"/>
        <v>-1</v>
      </c>
      <c r="Q149" s="7">
        <v>10</v>
      </c>
      <c r="R149" s="106" t="s">
        <v>807</v>
      </c>
      <c r="S149" s="344">
        <v>46844</v>
      </c>
      <c r="T149" s="318">
        <v>0</v>
      </c>
      <c r="U149" s="318">
        <v>1</v>
      </c>
      <c r="V149" s="199">
        <v>45717</v>
      </c>
      <c r="W149" s="309">
        <v>1</v>
      </c>
      <c r="X149" s="309">
        <v>1</v>
      </c>
      <c r="Y149" s="309">
        <v>1</v>
      </c>
      <c r="Z149" s="429">
        <v>1</v>
      </c>
      <c r="AA149" s="184">
        <f t="shared" si="17"/>
        <v>4</v>
      </c>
      <c r="AB149" s="185">
        <f t="shared" si="18"/>
        <v>1</v>
      </c>
      <c r="AC149" s="185">
        <f t="shared" si="19"/>
        <v>4</v>
      </c>
      <c r="AD149" s="185">
        <f t="shared" si="20"/>
        <v>8</v>
      </c>
      <c r="AE149" s="158"/>
    </row>
    <row r="150" spans="1:31" ht="14.25" customHeight="1" x14ac:dyDescent="0.25">
      <c r="A150" s="315">
        <f t="shared" si="21"/>
        <v>149</v>
      </c>
      <c r="B150" s="314" t="s">
        <v>1136</v>
      </c>
      <c r="C150" s="340">
        <v>23</v>
      </c>
      <c r="D150" s="359">
        <v>2</v>
      </c>
      <c r="E150" s="478"/>
      <c r="F150" s="360"/>
      <c r="G150" s="480">
        <v>4</v>
      </c>
      <c r="H150" s="360"/>
      <c r="I150" s="480">
        <v>2</v>
      </c>
      <c r="J150" s="360"/>
      <c r="K150" s="480"/>
      <c r="L150" s="360"/>
      <c r="M150" s="480">
        <v>2</v>
      </c>
      <c r="N150" s="562"/>
      <c r="O150" s="340">
        <f t="shared" si="16"/>
        <v>13</v>
      </c>
      <c r="P150" s="438">
        <f t="shared" si="22"/>
        <v>33</v>
      </c>
      <c r="Q150" s="7">
        <v>9.5</v>
      </c>
      <c r="R150" s="155"/>
      <c r="S150" s="197">
        <v>46174</v>
      </c>
      <c r="T150" s="310">
        <v>0</v>
      </c>
      <c r="U150" s="310"/>
      <c r="V150" s="197">
        <v>45505</v>
      </c>
      <c r="W150" s="189">
        <v>2</v>
      </c>
      <c r="X150" s="189">
        <v>5</v>
      </c>
      <c r="Y150" s="189">
        <v>6</v>
      </c>
      <c r="Z150" s="430">
        <v>10</v>
      </c>
      <c r="AA150" s="184">
        <f t="shared" si="17"/>
        <v>23</v>
      </c>
      <c r="AB150" s="185">
        <f t="shared" si="18"/>
        <v>5.75</v>
      </c>
      <c r="AC150" s="185">
        <f t="shared" si="19"/>
        <v>23</v>
      </c>
      <c r="AD150" s="185">
        <f t="shared" si="20"/>
        <v>46</v>
      </c>
      <c r="AE150" s="158"/>
    </row>
    <row r="151" spans="1:31" ht="14.25" customHeight="1" x14ac:dyDescent="0.25">
      <c r="A151" s="315">
        <f t="shared" si="21"/>
        <v>150</v>
      </c>
      <c r="B151" s="314" t="s">
        <v>1137</v>
      </c>
      <c r="C151" s="340">
        <v>0</v>
      </c>
      <c r="D151" s="359"/>
      <c r="E151" s="478"/>
      <c r="F151" s="359"/>
      <c r="G151" s="480"/>
      <c r="H151" s="360"/>
      <c r="I151" s="480"/>
      <c r="J151" s="360"/>
      <c r="K151" s="480"/>
      <c r="L151" s="360"/>
      <c r="M151" s="480"/>
      <c r="N151" s="562"/>
      <c r="O151" s="340">
        <f t="shared" si="16"/>
        <v>0</v>
      </c>
      <c r="P151" s="689">
        <f t="shared" si="22"/>
        <v>0</v>
      </c>
      <c r="Q151" s="7">
        <v>4</v>
      </c>
      <c r="R151" s="63"/>
      <c r="S151" s="83"/>
      <c r="T151" s="313">
        <v>0</v>
      </c>
      <c r="U151" s="313"/>
      <c r="V151" s="81"/>
      <c r="W151" s="28"/>
      <c r="X151" s="28"/>
      <c r="Y151" s="28"/>
      <c r="Z151" s="429"/>
      <c r="AA151" s="184">
        <f t="shared" si="17"/>
        <v>0</v>
      </c>
      <c r="AB151" s="185">
        <f t="shared" si="18"/>
        <v>0</v>
      </c>
      <c r="AC151" s="185">
        <f t="shared" si="19"/>
        <v>0</v>
      </c>
      <c r="AD151" s="185">
        <f t="shared" si="20"/>
        <v>0</v>
      </c>
      <c r="AE151" s="158"/>
    </row>
    <row r="152" spans="1:31" x14ac:dyDescent="0.25">
      <c r="A152" s="315">
        <f t="shared" si="21"/>
        <v>151</v>
      </c>
      <c r="B152" s="314" t="s">
        <v>290</v>
      </c>
      <c r="C152" s="340">
        <v>7</v>
      </c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340">
        <f t="shared" si="16"/>
        <v>7</v>
      </c>
      <c r="P152" s="438">
        <f t="shared" si="22"/>
        <v>21</v>
      </c>
      <c r="Q152" s="7">
        <v>3</v>
      </c>
      <c r="R152" s="106"/>
      <c r="S152" s="344">
        <v>46266</v>
      </c>
      <c r="T152" s="318">
        <v>1</v>
      </c>
      <c r="U152" s="318">
        <v>1</v>
      </c>
      <c r="V152" s="344">
        <v>45717</v>
      </c>
      <c r="W152" s="309">
        <v>3</v>
      </c>
      <c r="X152" s="309">
        <v>6</v>
      </c>
      <c r="Y152" s="309">
        <v>2</v>
      </c>
      <c r="Z152" s="429">
        <v>3</v>
      </c>
      <c r="AA152" s="184">
        <f t="shared" si="17"/>
        <v>14</v>
      </c>
      <c r="AB152" s="185">
        <f t="shared" si="18"/>
        <v>3.5</v>
      </c>
      <c r="AC152" s="185">
        <f t="shared" si="19"/>
        <v>14</v>
      </c>
      <c r="AD152" s="185">
        <f t="shared" si="20"/>
        <v>28</v>
      </c>
      <c r="AE152" s="158"/>
    </row>
    <row r="153" spans="1:31" x14ac:dyDescent="0.25">
      <c r="A153" s="315">
        <f t="shared" si="21"/>
        <v>152</v>
      </c>
      <c r="B153" s="314" t="s">
        <v>617</v>
      </c>
      <c r="C153" s="340">
        <v>2</v>
      </c>
      <c r="D153" s="359"/>
      <c r="E153" s="478"/>
      <c r="F153" s="359"/>
      <c r="G153" s="480"/>
      <c r="H153" s="360"/>
      <c r="I153" s="480"/>
      <c r="J153" s="360"/>
      <c r="K153" s="480"/>
      <c r="L153" s="360"/>
      <c r="M153" s="480"/>
      <c r="N153" s="562"/>
      <c r="O153" s="340">
        <f t="shared" si="16"/>
        <v>2</v>
      </c>
      <c r="P153" s="438">
        <f t="shared" si="22"/>
        <v>6</v>
      </c>
      <c r="Q153" s="7">
        <v>55</v>
      </c>
      <c r="R153" s="63"/>
      <c r="S153" s="83">
        <v>46143</v>
      </c>
      <c r="T153" s="313">
        <v>2</v>
      </c>
      <c r="U153" s="313">
        <v>2</v>
      </c>
      <c r="V153" s="81">
        <v>45717</v>
      </c>
      <c r="W153" s="28">
        <v>1</v>
      </c>
      <c r="X153" s="28">
        <v>1</v>
      </c>
      <c r="Y153" s="28">
        <v>1</v>
      </c>
      <c r="Z153" s="429">
        <v>1</v>
      </c>
      <c r="AA153" s="184">
        <f t="shared" si="17"/>
        <v>4</v>
      </c>
      <c r="AB153" s="185">
        <f t="shared" si="18"/>
        <v>1</v>
      </c>
      <c r="AC153" s="185">
        <f t="shared" si="19"/>
        <v>4</v>
      </c>
      <c r="AD153" s="185">
        <f t="shared" si="20"/>
        <v>8</v>
      </c>
      <c r="AE153" s="158"/>
    </row>
    <row r="154" spans="1:31" x14ac:dyDescent="0.25">
      <c r="A154" s="315">
        <f t="shared" si="21"/>
        <v>153</v>
      </c>
      <c r="B154" s="314" t="s">
        <v>593</v>
      </c>
      <c r="C154" s="340">
        <v>1</v>
      </c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340">
        <f t="shared" si="16"/>
        <v>1</v>
      </c>
      <c r="P154" s="438">
        <f t="shared" si="22"/>
        <v>7</v>
      </c>
      <c r="Q154" s="44">
        <v>23</v>
      </c>
      <c r="R154" s="73"/>
      <c r="S154" s="344">
        <v>46327</v>
      </c>
      <c r="T154" s="318">
        <v>1</v>
      </c>
      <c r="U154" s="318">
        <v>1</v>
      </c>
      <c r="V154" s="344">
        <v>45717</v>
      </c>
      <c r="W154" s="309">
        <v>1</v>
      </c>
      <c r="X154" s="309">
        <v>1</v>
      </c>
      <c r="Y154" s="309">
        <v>1</v>
      </c>
      <c r="Z154" s="429">
        <v>1</v>
      </c>
      <c r="AA154" s="184">
        <f t="shared" si="17"/>
        <v>4</v>
      </c>
      <c r="AB154" s="185">
        <f t="shared" si="18"/>
        <v>1</v>
      </c>
      <c r="AC154" s="185">
        <f t="shared" si="19"/>
        <v>4</v>
      </c>
      <c r="AD154" s="185">
        <f t="shared" si="20"/>
        <v>8</v>
      </c>
      <c r="AE154" s="158"/>
    </row>
    <row r="155" spans="1:31" x14ac:dyDescent="0.25">
      <c r="A155" s="315">
        <f t="shared" si="21"/>
        <v>154</v>
      </c>
      <c r="B155" s="314" t="s">
        <v>594</v>
      </c>
      <c r="C155" s="340">
        <v>1</v>
      </c>
      <c r="D155" s="359"/>
      <c r="E155" s="478"/>
      <c r="F155" s="359"/>
      <c r="G155" s="478"/>
      <c r="H155" s="362"/>
      <c r="I155" s="499"/>
      <c r="J155" s="362"/>
      <c r="K155" s="499"/>
      <c r="L155" s="362"/>
      <c r="M155" s="499"/>
      <c r="N155" s="576"/>
      <c r="O155" s="340">
        <f t="shared" si="16"/>
        <v>1</v>
      </c>
      <c r="P155" s="438">
        <f t="shared" si="22"/>
        <v>9</v>
      </c>
      <c r="Q155" s="44">
        <v>23</v>
      </c>
      <c r="R155" s="253"/>
      <c r="S155" s="344">
        <v>46631</v>
      </c>
      <c r="T155" s="309">
        <v>2</v>
      </c>
      <c r="U155" s="309"/>
      <c r="V155" s="199">
        <v>45689</v>
      </c>
      <c r="W155" s="309">
        <v>1</v>
      </c>
      <c r="X155" s="309">
        <v>1</v>
      </c>
      <c r="Y155" s="309">
        <v>2</v>
      </c>
      <c r="Z155" s="429">
        <v>1</v>
      </c>
      <c r="AA155" s="184">
        <f t="shared" si="17"/>
        <v>5</v>
      </c>
      <c r="AB155" s="185">
        <f t="shared" si="18"/>
        <v>1.25</v>
      </c>
      <c r="AC155" s="185">
        <f t="shared" si="19"/>
        <v>5</v>
      </c>
      <c r="AD155" s="185">
        <f t="shared" si="20"/>
        <v>10</v>
      </c>
      <c r="AE155" s="158"/>
    </row>
    <row r="156" spans="1:31" x14ac:dyDescent="0.25">
      <c r="A156" s="315">
        <f t="shared" si="21"/>
        <v>155</v>
      </c>
      <c r="B156" s="314" t="s">
        <v>595</v>
      </c>
      <c r="C156" s="340">
        <v>1</v>
      </c>
      <c r="D156" s="359"/>
      <c r="E156" s="478"/>
      <c r="F156" s="359"/>
      <c r="G156" s="478"/>
      <c r="H156" s="359"/>
      <c r="I156" s="478"/>
      <c r="J156" s="359"/>
      <c r="K156" s="478"/>
      <c r="L156" s="362"/>
      <c r="M156" s="499"/>
      <c r="N156" s="576"/>
      <c r="O156" s="340">
        <f t="shared" si="16"/>
        <v>1</v>
      </c>
      <c r="P156" s="438">
        <f t="shared" si="22"/>
        <v>7</v>
      </c>
      <c r="Q156" s="44">
        <v>23</v>
      </c>
      <c r="R156" s="73"/>
      <c r="S156" s="344">
        <v>46327</v>
      </c>
      <c r="T156" s="16">
        <v>2</v>
      </c>
      <c r="U156" s="309">
        <v>1</v>
      </c>
      <c r="V156" s="199">
        <v>45717</v>
      </c>
      <c r="W156" s="309">
        <v>1</v>
      </c>
      <c r="X156" s="309">
        <v>1</v>
      </c>
      <c r="Y156" s="309">
        <v>1</v>
      </c>
      <c r="Z156" s="429">
        <v>1</v>
      </c>
      <c r="AA156" s="184">
        <f t="shared" si="17"/>
        <v>4</v>
      </c>
      <c r="AB156" s="185">
        <f t="shared" si="18"/>
        <v>1</v>
      </c>
      <c r="AC156" s="185">
        <f t="shared" si="19"/>
        <v>4</v>
      </c>
      <c r="AD156" s="185">
        <f t="shared" si="20"/>
        <v>8</v>
      </c>
      <c r="AE156" s="158"/>
    </row>
    <row r="157" spans="1:31" x14ac:dyDescent="0.25">
      <c r="A157" s="315">
        <f t="shared" si="21"/>
        <v>156</v>
      </c>
      <c r="B157" s="3" t="s">
        <v>596</v>
      </c>
      <c r="C157" s="340">
        <v>1</v>
      </c>
      <c r="D157" s="359"/>
      <c r="E157" s="478"/>
      <c r="F157" s="359"/>
      <c r="G157" s="478"/>
      <c r="H157" s="359"/>
      <c r="I157" s="478"/>
      <c r="J157" s="359"/>
      <c r="K157" s="478"/>
      <c r="L157" s="362"/>
      <c r="M157" s="499"/>
      <c r="N157" s="576"/>
      <c r="O157" s="340">
        <f t="shared" si="16"/>
        <v>1</v>
      </c>
      <c r="P157" s="438">
        <f t="shared" si="22"/>
        <v>9</v>
      </c>
      <c r="Q157" s="44">
        <v>23</v>
      </c>
      <c r="R157" s="73"/>
      <c r="S157" s="344">
        <v>46478</v>
      </c>
      <c r="T157" s="16">
        <v>1</v>
      </c>
      <c r="U157" s="309"/>
      <c r="V157" s="199">
        <v>45689</v>
      </c>
      <c r="W157" s="309">
        <v>1</v>
      </c>
      <c r="X157" s="309">
        <v>2</v>
      </c>
      <c r="Y157" s="309">
        <v>1</v>
      </c>
      <c r="Z157" s="429">
        <v>1</v>
      </c>
      <c r="AA157" s="184">
        <f t="shared" si="17"/>
        <v>5</v>
      </c>
      <c r="AB157" s="185">
        <f t="shared" si="18"/>
        <v>1.25</v>
      </c>
      <c r="AC157" s="185">
        <f t="shared" si="19"/>
        <v>5</v>
      </c>
      <c r="AD157" s="185">
        <f t="shared" si="20"/>
        <v>10</v>
      </c>
    </row>
    <row r="158" spans="1:31" x14ac:dyDescent="0.25">
      <c r="A158" s="315">
        <f t="shared" si="21"/>
        <v>157</v>
      </c>
      <c r="B158" s="3" t="s">
        <v>255</v>
      </c>
      <c r="C158" s="340">
        <v>1</v>
      </c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340">
        <f t="shared" si="16"/>
        <v>1</v>
      </c>
      <c r="P158" s="438">
        <f t="shared" si="22"/>
        <v>9</v>
      </c>
      <c r="Q158" s="7">
        <v>15</v>
      </c>
      <c r="R158" s="106"/>
      <c r="S158" s="344">
        <v>46327</v>
      </c>
      <c r="T158" s="318">
        <v>0</v>
      </c>
      <c r="U158" s="318"/>
      <c r="V158" s="199">
        <v>45689</v>
      </c>
      <c r="W158" s="309">
        <v>1</v>
      </c>
      <c r="X158" s="309">
        <v>1</v>
      </c>
      <c r="Y158" s="309">
        <v>1</v>
      </c>
      <c r="Z158" s="429">
        <v>2</v>
      </c>
      <c r="AA158" s="184">
        <f t="shared" si="17"/>
        <v>5</v>
      </c>
      <c r="AB158" s="185">
        <f t="shared" si="18"/>
        <v>1.25</v>
      </c>
      <c r="AC158" s="185">
        <f t="shared" si="19"/>
        <v>5</v>
      </c>
      <c r="AD158" s="185">
        <f t="shared" si="20"/>
        <v>10</v>
      </c>
      <c r="AE158" s="158"/>
    </row>
    <row r="159" spans="1:31" x14ac:dyDescent="0.25">
      <c r="A159" s="315">
        <f t="shared" si="21"/>
        <v>158</v>
      </c>
      <c r="B159" s="3" t="s">
        <v>333</v>
      </c>
      <c r="C159" s="340">
        <v>1</v>
      </c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340">
        <f t="shared" si="16"/>
        <v>1</v>
      </c>
      <c r="P159" s="438">
        <f t="shared" si="22"/>
        <v>9</v>
      </c>
      <c r="Q159" s="7">
        <v>15</v>
      </c>
      <c r="R159" s="106"/>
      <c r="S159" s="344">
        <v>46327</v>
      </c>
      <c r="T159" s="318">
        <v>0</v>
      </c>
      <c r="U159" s="318"/>
      <c r="V159" s="199">
        <v>45689</v>
      </c>
      <c r="W159" s="309">
        <v>1</v>
      </c>
      <c r="X159" s="309">
        <v>1</v>
      </c>
      <c r="Y159" s="309">
        <v>2</v>
      </c>
      <c r="Z159" s="429">
        <v>1</v>
      </c>
      <c r="AA159" s="184">
        <f t="shared" si="17"/>
        <v>5</v>
      </c>
      <c r="AB159" s="185">
        <f t="shared" si="18"/>
        <v>1.25</v>
      </c>
      <c r="AC159" s="185">
        <f t="shared" si="19"/>
        <v>5</v>
      </c>
      <c r="AD159" s="185">
        <f t="shared" si="20"/>
        <v>10</v>
      </c>
    </row>
    <row r="160" spans="1:31" x14ac:dyDescent="0.25">
      <c r="A160" s="315">
        <f t="shared" si="21"/>
        <v>159</v>
      </c>
      <c r="B160" s="314" t="s">
        <v>254</v>
      </c>
      <c r="C160" s="340">
        <v>1</v>
      </c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340">
        <f t="shared" si="16"/>
        <v>1</v>
      </c>
      <c r="P160" s="438">
        <f t="shared" si="22"/>
        <v>7</v>
      </c>
      <c r="Q160" s="7">
        <v>15</v>
      </c>
      <c r="R160" s="106" t="s">
        <v>81</v>
      </c>
      <c r="S160" s="344">
        <v>46388</v>
      </c>
      <c r="T160" s="318">
        <v>0</v>
      </c>
      <c r="U160" s="318">
        <v>2</v>
      </c>
      <c r="V160" s="199">
        <v>45717</v>
      </c>
      <c r="W160" s="309">
        <v>1</v>
      </c>
      <c r="X160" s="309">
        <v>1</v>
      </c>
      <c r="Y160" s="309">
        <v>1</v>
      </c>
      <c r="Z160" s="429">
        <v>1</v>
      </c>
      <c r="AA160" s="184">
        <f t="shared" si="17"/>
        <v>4</v>
      </c>
      <c r="AB160" s="185">
        <f t="shared" si="18"/>
        <v>1</v>
      </c>
      <c r="AC160" s="185">
        <f t="shared" si="19"/>
        <v>4</v>
      </c>
      <c r="AD160" s="185">
        <f t="shared" si="20"/>
        <v>8</v>
      </c>
      <c r="AE160" s="158"/>
    </row>
    <row r="161" spans="1:30" x14ac:dyDescent="0.25">
      <c r="A161" s="315">
        <f t="shared" si="21"/>
        <v>160</v>
      </c>
      <c r="B161" s="314" t="s">
        <v>301</v>
      </c>
      <c r="C161" s="340">
        <v>2</v>
      </c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340">
        <f t="shared" si="16"/>
        <v>2</v>
      </c>
      <c r="P161" s="438">
        <f t="shared" si="22"/>
        <v>8</v>
      </c>
      <c r="Q161" s="7">
        <v>15</v>
      </c>
      <c r="R161" s="106" t="s">
        <v>81</v>
      </c>
      <c r="S161" s="344">
        <v>46478</v>
      </c>
      <c r="T161" s="318">
        <v>0</v>
      </c>
      <c r="U161" s="318"/>
      <c r="V161" s="199">
        <v>45689</v>
      </c>
      <c r="W161" s="309">
        <v>2</v>
      </c>
      <c r="X161" s="309">
        <v>1</v>
      </c>
      <c r="Y161" s="309">
        <v>1</v>
      </c>
      <c r="Z161" s="429">
        <v>1</v>
      </c>
      <c r="AA161" s="184">
        <f t="shared" si="17"/>
        <v>5</v>
      </c>
      <c r="AB161" s="185">
        <f t="shared" si="18"/>
        <v>1.25</v>
      </c>
      <c r="AC161" s="185">
        <f t="shared" si="19"/>
        <v>5</v>
      </c>
      <c r="AD161" s="185">
        <f t="shared" si="20"/>
        <v>10</v>
      </c>
    </row>
    <row r="162" spans="1:30" x14ac:dyDescent="0.25">
      <c r="A162" s="315">
        <f t="shared" si="21"/>
        <v>161</v>
      </c>
      <c r="B162" s="314" t="s">
        <v>1381</v>
      </c>
      <c r="C162" s="340">
        <v>1</v>
      </c>
      <c r="D162" s="359"/>
      <c r="E162" s="478"/>
      <c r="F162" s="362"/>
      <c r="G162" s="499">
        <v>1</v>
      </c>
      <c r="H162" s="362"/>
      <c r="I162" s="499"/>
      <c r="J162" s="362"/>
      <c r="K162" s="499"/>
      <c r="L162" s="362"/>
      <c r="M162" s="499"/>
      <c r="N162" s="576"/>
      <c r="O162" s="340">
        <f t="shared" si="16"/>
        <v>0</v>
      </c>
      <c r="P162" s="438">
        <f t="shared" si="22"/>
        <v>4</v>
      </c>
      <c r="Q162" s="7">
        <v>29</v>
      </c>
      <c r="R162" s="74"/>
      <c r="S162" s="344">
        <v>46266</v>
      </c>
      <c r="T162" s="309">
        <v>1</v>
      </c>
      <c r="U162" s="309"/>
      <c r="V162" s="199">
        <v>45658</v>
      </c>
      <c r="Y162" s="78">
        <v>1</v>
      </c>
      <c r="Z162" s="78">
        <v>1</v>
      </c>
      <c r="AA162" s="184">
        <f t="shared" si="17"/>
        <v>2</v>
      </c>
      <c r="AB162" s="185">
        <f t="shared" si="18"/>
        <v>0.5</v>
      </c>
      <c r="AC162" s="185">
        <f t="shared" si="19"/>
        <v>2</v>
      </c>
      <c r="AD162" s="185">
        <f t="shared" si="20"/>
        <v>4</v>
      </c>
    </row>
    <row r="163" spans="1:30" x14ac:dyDescent="0.25">
      <c r="A163" s="315">
        <f t="shared" ref="A163:A194" si="23">A162+1</f>
        <v>162</v>
      </c>
      <c r="B163" s="314" t="s">
        <v>1382</v>
      </c>
      <c r="C163" s="340">
        <v>1</v>
      </c>
      <c r="D163" s="359"/>
      <c r="E163" s="478"/>
      <c r="F163" s="359"/>
      <c r="G163" s="478"/>
      <c r="H163" s="359"/>
      <c r="I163" s="478"/>
      <c r="J163" s="359"/>
      <c r="K163" s="478"/>
      <c r="L163" s="365"/>
      <c r="M163" s="500"/>
      <c r="N163" s="577"/>
      <c r="O163" s="340">
        <f t="shared" si="16"/>
        <v>1</v>
      </c>
      <c r="P163" s="438">
        <f t="shared" si="22"/>
        <v>3</v>
      </c>
      <c r="Q163" s="7">
        <v>29</v>
      </c>
      <c r="R163" s="73"/>
      <c r="S163" s="344">
        <v>46296</v>
      </c>
      <c r="T163" s="309">
        <v>1</v>
      </c>
      <c r="U163" s="309"/>
      <c r="V163" s="199">
        <v>45689</v>
      </c>
      <c r="X163" s="78">
        <v>1</v>
      </c>
      <c r="Y163" s="78">
        <v>1</v>
      </c>
      <c r="AA163" s="184">
        <f t="shared" si="17"/>
        <v>2</v>
      </c>
      <c r="AB163" s="185">
        <f t="shared" si="18"/>
        <v>0.5</v>
      </c>
      <c r="AC163" s="185">
        <f t="shared" si="19"/>
        <v>2</v>
      </c>
      <c r="AD163" s="185">
        <f t="shared" si="20"/>
        <v>4</v>
      </c>
    </row>
    <row r="164" spans="1:30" x14ac:dyDescent="0.25">
      <c r="A164" s="315">
        <f t="shared" si="23"/>
        <v>163</v>
      </c>
      <c r="B164" s="314" t="s">
        <v>1383</v>
      </c>
      <c r="C164" s="340">
        <v>1</v>
      </c>
      <c r="D164" s="359"/>
      <c r="E164" s="478"/>
      <c r="F164" s="359"/>
      <c r="G164" s="478"/>
      <c r="H164" s="359"/>
      <c r="I164" s="478"/>
      <c r="J164" s="359"/>
      <c r="K164" s="478"/>
      <c r="L164" s="362"/>
      <c r="M164" s="499"/>
      <c r="N164" s="576"/>
      <c r="O164" s="340">
        <f t="shared" si="16"/>
        <v>1</v>
      </c>
      <c r="P164" s="340">
        <f t="shared" si="22"/>
        <v>-1</v>
      </c>
      <c r="Q164" s="7">
        <v>29</v>
      </c>
      <c r="R164" s="73"/>
      <c r="S164" s="344">
        <v>46327</v>
      </c>
      <c r="T164" s="309">
        <v>1</v>
      </c>
      <c r="U164" s="309"/>
      <c r="V164" s="199">
        <v>45717</v>
      </c>
      <c r="AA164" s="184">
        <f t="shared" si="17"/>
        <v>0</v>
      </c>
      <c r="AB164" s="185">
        <f t="shared" si="18"/>
        <v>0</v>
      </c>
      <c r="AC164" s="185">
        <f t="shared" si="19"/>
        <v>0</v>
      </c>
      <c r="AD164" s="185">
        <f t="shared" si="20"/>
        <v>0</v>
      </c>
    </row>
    <row r="165" spans="1:30" x14ac:dyDescent="0.25">
      <c r="A165" s="315">
        <f t="shared" si="23"/>
        <v>164</v>
      </c>
      <c r="B165" s="314" t="s">
        <v>1475</v>
      </c>
      <c r="C165" s="340">
        <v>1</v>
      </c>
      <c r="D165" s="359"/>
      <c r="E165" s="478"/>
      <c r="F165" s="359"/>
      <c r="G165" s="478"/>
      <c r="H165" s="359"/>
      <c r="I165" s="478"/>
      <c r="J165" s="359"/>
      <c r="K165" s="478"/>
      <c r="L165" s="365"/>
      <c r="M165" s="500"/>
      <c r="N165" s="577"/>
      <c r="O165" s="340">
        <f t="shared" si="16"/>
        <v>1</v>
      </c>
      <c r="P165" s="438">
        <f t="shared" si="22"/>
        <v>1</v>
      </c>
      <c r="Q165" s="7">
        <v>29</v>
      </c>
      <c r="R165" s="73"/>
      <c r="S165" s="344">
        <v>46357</v>
      </c>
      <c r="T165" s="309">
        <v>0</v>
      </c>
      <c r="U165" s="309"/>
      <c r="V165" s="199">
        <v>45748</v>
      </c>
      <c r="Y165" s="78">
        <v>1</v>
      </c>
      <c r="AA165" s="184">
        <f t="shared" si="17"/>
        <v>1</v>
      </c>
      <c r="AB165" s="185">
        <f t="shared" si="18"/>
        <v>0.25</v>
      </c>
      <c r="AC165" s="185">
        <f t="shared" si="19"/>
        <v>1</v>
      </c>
      <c r="AD165" s="185">
        <f t="shared" si="20"/>
        <v>2</v>
      </c>
    </row>
    <row r="166" spans="1:30" ht="15.75" customHeight="1" x14ac:dyDescent="0.25">
      <c r="A166" s="315">
        <f t="shared" si="23"/>
        <v>165</v>
      </c>
      <c r="B166" s="314" t="s">
        <v>751</v>
      </c>
      <c r="C166" s="340">
        <v>17</v>
      </c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340">
        <f t="shared" si="16"/>
        <v>17</v>
      </c>
      <c r="P166" s="438">
        <f t="shared" si="22"/>
        <v>47</v>
      </c>
      <c r="Q166" s="7">
        <v>6</v>
      </c>
      <c r="R166" s="106"/>
      <c r="S166" s="344">
        <v>45992</v>
      </c>
      <c r="T166" s="309">
        <v>0</v>
      </c>
      <c r="U166" s="309">
        <v>1</v>
      </c>
      <c r="V166" s="199">
        <v>45717</v>
      </c>
      <c r="W166" s="309">
        <v>9</v>
      </c>
      <c r="X166" s="309">
        <v>12</v>
      </c>
      <c r="Y166" s="309">
        <v>8</v>
      </c>
      <c r="Z166" s="429">
        <v>3</v>
      </c>
      <c r="AA166" s="184">
        <f t="shared" si="17"/>
        <v>32</v>
      </c>
      <c r="AB166" s="185">
        <f t="shared" si="18"/>
        <v>8</v>
      </c>
      <c r="AC166" s="185">
        <f t="shared" si="19"/>
        <v>32</v>
      </c>
      <c r="AD166" s="185">
        <f t="shared" si="20"/>
        <v>64</v>
      </c>
    </row>
    <row r="167" spans="1:30" x14ac:dyDescent="0.25">
      <c r="A167" s="315">
        <f t="shared" si="23"/>
        <v>166</v>
      </c>
      <c r="B167" s="314" t="s">
        <v>27</v>
      </c>
      <c r="C167" s="340">
        <v>1</v>
      </c>
      <c r="D167" s="359"/>
      <c r="E167" s="478"/>
      <c r="F167" s="359"/>
      <c r="G167" s="480"/>
      <c r="H167" s="360"/>
      <c r="I167" s="480"/>
      <c r="J167" s="360"/>
      <c r="K167" s="480"/>
      <c r="L167" s="360"/>
      <c r="M167" s="480"/>
      <c r="N167" s="562"/>
      <c r="O167" s="340">
        <f t="shared" si="16"/>
        <v>1</v>
      </c>
      <c r="P167" s="438">
        <f t="shared" si="22"/>
        <v>7</v>
      </c>
      <c r="Q167" s="7">
        <v>11</v>
      </c>
      <c r="R167" s="63" t="s">
        <v>811</v>
      </c>
      <c r="S167" s="83">
        <v>46388</v>
      </c>
      <c r="T167" s="313">
        <v>1</v>
      </c>
      <c r="U167" s="313">
        <v>1</v>
      </c>
      <c r="V167" s="118">
        <v>45717</v>
      </c>
      <c r="W167" s="28">
        <v>1</v>
      </c>
      <c r="X167" s="28">
        <v>1</v>
      </c>
      <c r="Y167" s="28">
        <v>1</v>
      </c>
      <c r="Z167" s="429">
        <v>1</v>
      </c>
      <c r="AA167" s="184">
        <f t="shared" si="17"/>
        <v>4</v>
      </c>
      <c r="AB167" s="185">
        <f t="shared" si="18"/>
        <v>1</v>
      </c>
      <c r="AC167" s="185">
        <f t="shared" si="19"/>
        <v>4</v>
      </c>
      <c r="AD167" s="185">
        <f t="shared" si="20"/>
        <v>8</v>
      </c>
    </row>
    <row r="168" spans="1:30" x14ac:dyDescent="0.25">
      <c r="A168" s="315">
        <f t="shared" si="23"/>
        <v>167</v>
      </c>
      <c r="B168" s="314" t="s">
        <v>406</v>
      </c>
      <c r="C168" s="340">
        <v>5</v>
      </c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340">
        <f t="shared" si="16"/>
        <v>5</v>
      </c>
      <c r="P168" s="438">
        <f t="shared" si="22"/>
        <v>3</v>
      </c>
      <c r="Q168" s="7">
        <v>9</v>
      </c>
      <c r="R168" s="106"/>
      <c r="S168" s="344">
        <v>46508</v>
      </c>
      <c r="T168" s="318">
        <v>0</v>
      </c>
      <c r="U168" s="318">
        <v>3</v>
      </c>
      <c r="V168" s="199">
        <v>45717</v>
      </c>
      <c r="W168" s="309">
        <v>1</v>
      </c>
      <c r="X168" s="309">
        <v>1</v>
      </c>
      <c r="Y168" s="309">
        <v>1</v>
      </c>
      <c r="Z168" s="429">
        <v>1</v>
      </c>
      <c r="AA168" s="184">
        <f t="shared" si="17"/>
        <v>4</v>
      </c>
      <c r="AB168" s="185">
        <f t="shared" si="18"/>
        <v>1</v>
      </c>
      <c r="AC168" s="185">
        <f t="shared" si="19"/>
        <v>4</v>
      </c>
      <c r="AD168" s="185">
        <f t="shared" si="20"/>
        <v>8</v>
      </c>
    </row>
    <row r="169" spans="1:30" x14ac:dyDescent="0.25">
      <c r="A169" s="315">
        <f t="shared" si="23"/>
        <v>168</v>
      </c>
      <c r="B169" s="314" t="s">
        <v>413</v>
      </c>
      <c r="C169" s="340">
        <v>16</v>
      </c>
      <c r="D169" s="359"/>
      <c r="E169" s="478"/>
      <c r="F169" s="360"/>
      <c r="G169" s="480"/>
      <c r="H169" s="360"/>
      <c r="I169" s="480">
        <v>3</v>
      </c>
      <c r="J169" s="360"/>
      <c r="K169" s="480">
        <v>1</v>
      </c>
      <c r="L169" s="360"/>
      <c r="M169" s="480"/>
      <c r="N169" s="562"/>
      <c r="O169" s="340">
        <f t="shared" si="16"/>
        <v>12</v>
      </c>
      <c r="P169" s="438">
        <f t="shared" si="22"/>
        <v>16</v>
      </c>
      <c r="Q169" s="7">
        <v>17</v>
      </c>
      <c r="R169" s="90"/>
      <c r="S169" s="344">
        <v>46235</v>
      </c>
      <c r="T169" s="318">
        <v>12</v>
      </c>
      <c r="U169" s="318"/>
      <c r="V169" s="199">
        <v>45689</v>
      </c>
      <c r="W169" s="309">
        <v>2</v>
      </c>
      <c r="X169" s="309">
        <v>2</v>
      </c>
      <c r="Y169" s="309">
        <v>4</v>
      </c>
      <c r="Z169" s="429">
        <v>6</v>
      </c>
      <c r="AA169" s="184">
        <f t="shared" si="17"/>
        <v>14</v>
      </c>
      <c r="AB169" s="185">
        <f t="shared" si="18"/>
        <v>3.5</v>
      </c>
      <c r="AC169" s="185">
        <f t="shared" si="19"/>
        <v>14</v>
      </c>
      <c r="AD169" s="185">
        <f t="shared" si="20"/>
        <v>28</v>
      </c>
    </row>
    <row r="170" spans="1:30" x14ac:dyDescent="0.25">
      <c r="A170" s="315">
        <f t="shared" si="23"/>
        <v>169</v>
      </c>
      <c r="B170" s="314" t="s">
        <v>109</v>
      </c>
      <c r="C170" s="340">
        <v>3</v>
      </c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340">
        <f t="shared" si="16"/>
        <v>3</v>
      </c>
      <c r="P170" s="438">
        <f t="shared" si="22"/>
        <v>7</v>
      </c>
      <c r="Q170" s="7">
        <v>25</v>
      </c>
      <c r="R170" s="106" t="s">
        <v>81</v>
      </c>
      <c r="S170" s="344">
        <v>46539</v>
      </c>
      <c r="T170" s="318">
        <v>0</v>
      </c>
      <c r="U170" s="318"/>
      <c r="V170" s="344">
        <v>45658</v>
      </c>
      <c r="W170" s="309">
        <v>2</v>
      </c>
      <c r="X170" s="309">
        <v>1</v>
      </c>
      <c r="Y170" s="309">
        <v>1</v>
      </c>
      <c r="Z170" s="429">
        <v>1</v>
      </c>
      <c r="AA170" s="184">
        <f t="shared" si="17"/>
        <v>5</v>
      </c>
      <c r="AB170" s="185">
        <f t="shared" si="18"/>
        <v>1.25</v>
      </c>
      <c r="AC170" s="185">
        <f t="shared" si="19"/>
        <v>5</v>
      </c>
      <c r="AD170" s="185">
        <f t="shared" si="20"/>
        <v>10</v>
      </c>
    </row>
    <row r="171" spans="1:30" x14ac:dyDescent="0.25">
      <c r="A171" s="315">
        <f t="shared" si="23"/>
        <v>170</v>
      </c>
      <c r="B171" s="314" t="s">
        <v>214</v>
      </c>
      <c r="C171" s="340">
        <v>150</v>
      </c>
      <c r="D171" s="359"/>
      <c r="E171" s="478">
        <v>60</v>
      </c>
      <c r="F171" s="359"/>
      <c r="G171" s="480"/>
      <c r="H171" s="359"/>
      <c r="I171" s="480"/>
      <c r="J171" s="359"/>
      <c r="K171" s="480"/>
      <c r="L171" s="359"/>
      <c r="M171" s="480"/>
      <c r="N171" s="562"/>
      <c r="O171" s="340">
        <f t="shared" si="16"/>
        <v>90</v>
      </c>
      <c r="P171" s="340">
        <f t="shared" si="22"/>
        <v>-4</v>
      </c>
      <c r="Q171" s="7">
        <v>0.7</v>
      </c>
      <c r="R171" s="63"/>
      <c r="S171" s="83">
        <v>46388</v>
      </c>
      <c r="T171" s="313">
        <v>0</v>
      </c>
      <c r="U171" s="313"/>
      <c r="V171" s="118">
        <v>45597</v>
      </c>
      <c r="W171" s="28">
        <v>3</v>
      </c>
      <c r="X171" s="28">
        <v>20</v>
      </c>
      <c r="Y171" s="28">
        <v>10</v>
      </c>
      <c r="Z171" s="429">
        <v>10</v>
      </c>
      <c r="AA171" s="184">
        <f t="shared" si="17"/>
        <v>43</v>
      </c>
      <c r="AB171" s="185">
        <f t="shared" si="18"/>
        <v>10.75</v>
      </c>
      <c r="AC171" s="185">
        <f t="shared" si="19"/>
        <v>43</v>
      </c>
      <c r="AD171" s="185">
        <f t="shared" si="20"/>
        <v>86</v>
      </c>
    </row>
    <row r="172" spans="1:30" ht="14.25" customHeight="1" x14ac:dyDescent="0.25">
      <c r="A172" s="315">
        <f t="shared" si="23"/>
        <v>171</v>
      </c>
      <c r="B172" s="314" t="s">
        <v>410</v>
      </c>
      <c r="C172" s="340">
        <v>2</v>
      </c>
      <c r="D172" s="361"/>
      <c r="E172" s="482"/>
      <c r="F172" s="361"/>
      <c r="G172" s="482"/>
      <c r="H172" s="361"/>
      <c r="I172" s="482"/>
      <c r="J172" s="359"/>
      <c r="K172" s="478"/>
      <c r="L172" s="361"/>
      <c r="M172" s="482"/>
      <c r="N172" s="563"/>
      <c r="O172" s="340">
        <f t="shared" si="16"/>
        <v>2</v>
      </c>
      <c r="P172" s="438">
        <f t="shared" si="22"/>
        <v>8</v>
      </c>
      <c r="Q172" s="44">
        <v>30</v>
      </c>
      <c r="R172" s="69"/>
      <c r="S172" s="335">
        <v>46419</v>
      </c>
      <c r="T172" s="318">
        <v>1</v>
      </c>
      <c r="U172" s="318"/>
      <c r="V172" s="344">
        <v>45627</v>
      </c>
      <c r="W172" s="309">
        <v>1</v>
      </c>
      <c r="X172" s="309">
        <v>1</v>
      </c>
      <c r="Y172" s="309">
        <v>1</v>
      </c>
      <c r="Z172" s="429">
        <v>2</v>
      </c>
      <c r="AA172" s="184">
        <f t="shared" si="17"/>
        <v>5</v>
      </c>
      <c r="AB172" s="185">
        <f t="shared" si="18"/>
        <v>1.25</v>
      </c>
      <c r="AC172" s="185">
        <f t="shared" si="19"/>
        <v>5</v>
      </c>
      <c r="AD172" s="185">
        <f t="shared" si="20"/>
        <v>10</v>
      </c>
    </row>
    <row r="173" spans="1:30" x14ac:dyDescent="0.25">
      <c r="A173" s="315">
        <f t="shared" si="23"/>
        <v>172</v>
      </c>
      <c r="B173" s="105" t="s">
        <v>874</v>
      </c>
      <c r="C173" s="340">
        <v>60</v>
      </c>
      <c r="D173" s="359"/>
      <c r="E173" s="478">
        <v>2</v>
      </c>
      <c r="F173" s="359"/>
      <c r="G173" s="478"/>
      <c r="H173" s="359"/>
      <c r="I173" s="478"/>
      <c r="J173" s="359"/>
      <c r="K173" s="478"/>
      <c r="L173" s="359"/>
      <c r="M173" s="478"/>
      <c r="N173" s="561"/>
      <c r="O173" s="340">
        <f t="shared" si="16"/>
        <v>58</v>
      </c>
      <c r="P173" s="438">
        <f t="shared" si="22"/>
        <v>-44</v>
      </c>
      <c r="Q173" s="7">
        <v>4</v>
      </c>
      <c r="R173" s="106"/>
      <c r="S173" s="344">
        <v>46235</v>
      </c>
      <c r="T173" s="318">
        <v>1</v>
      </c>
      <c r="U173" s="318">
        <v>1</v>
      </c>
      <c r="V173" s="344">
        <v>45717</v>
      </c>
      <c r="W173" s="309">
        <v>2</v>
      </c>
      <c r="X173" s="309">
        <v>3</v>
      </c>
      <c r="Y173" s="309">
        <v>1</v>
      </c>
      <c r="Z173" s="429">
        <v>1</v>
      </c>
      <c r="AA173" s="184">
        <f t="shared" si="17"/>
        <v>7</v>
      </c>
      <c r="AB173" s="185">
        <f t="shared" si="18"/>
        <v>1.75</v>
      </c>
      <c r="AC173" s="185">
        <f t="shared" si="19"/>
        <v>7</v>
      </c>
      <c r="AD173" s="185">
        <f t="shared" si="20"/>
        <v>14</v>
      </c>
    </row>
    <row r="174" spans="1:30" x14ac:dyDescent="0.25">
      <c r="A174" s="315">
        <f>A173+1</f>
        <v>173</v>
      </c>
      <c r="B174" s="314" t="s">
        <v>28</v>
      </c>
      <c r="C174" s="340">
        <v>1</v>
      </c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340">
        <f t="shared" si="16"/>
        <v>1</v>
      </c>
      <c r="P174" s="438">
        <f t="shared" si="22"/>
        <v>7</v>
      </c>
      <c r="Q174" s="7">
        <v>20</v>
      </c>
      <c r="R174" s="68" t="s">
        <v>77</v>
      </c>
      <c r="S174" s="344">
        <v>46023</v>
      </c>
      <c r="T174" s="318">
        <v>0</v>
      </c>
      <c r="U174" s="318"/>
      <c r="V174" s="199">
        <v>45505</v>
      </c>
      <c r="W174" s="309">
        <v>1</v>
      </c>
      <c r="X174" s="309">
        <v>1</v>
      </c>
      <c r="Y174" s="309">
        <v>1</v>
      </c>
      <c r="Z174" s="429">
        <v>1</v>
      </c>
      <c r="AA174" s="184">
        <f t="shared" si="17"/>
        <v>4</v>
      </c>
      <c r="AB174" s="185">
        <f t="shared" si="18"/>
        <v>1</v>
      </c>
      <c r="AC174" s="185">
        <f t="shared" si="19"/>
        <v>4</v>
      </c>
      <c r="AD174" s="185">
        <f t="shared" si="20"/>
        <v>8</v>
      </c>
    </row>
    <row r="175" spans="1:30" x14ac:dyDescent="0.25">
      <c r="A175" s="315">
        <f t="shared" si="23"/>
        <v>174</v>
      </c>
      <c r="B175" s="314" t="s">
        <v>1183</v>
      </c>
      <c r="C175" s="340">
        <v>8</v>
      </c>
      <c r="D175" s="359"/>
      <c r="E175" s="478"/>
      <c r="F175" s="359"/>
      <c r="G175" s="480"/>
      <c r="H175" s="360"/>
      <c r="I175" s="480"/>
      <c r="J175" s="360"/>
      <c r="K175" s="480"/>
      <c r="L175" s="360"/>
      <c r="M175" s="480"/>
      <c r="N175" s="562"/>
      <c r="O175" s="340">
        <f t="shared" si="16"/>
        <v>8</v>
      </c>
      <c r="P175" s="438">
        <f t="shared" si="22"/>
        <v>8</v>
      </c>
      <c r="Q175" s="7">
        <v>9</v>
      </c>
      <c r="R175" s="63"/>
      <c r="S175" s="83">
        <v>46539</v>
      </c>
      <c r="T175" s="313">
        <v>0</v>
      </c>
      <c r="U175" s="313">
        <v>10</v>
      </c>
      <c r="V175" s="81">
        <v>45717</v>
      </c>
      <c r="W175" s="28">
        <v>1</v>
      </c>
      <c r="X175" s="28">
        <v>1</v>
      </c>
      <c r="Y175" s="28">
        <v>5</v>
      </c>
      <c r="Z175" s="429">
        <v>1</v>
      </c>
      <c r="AA175" s="184">
        <f t="shared" si="17"/>
        <v>8</v>
      </c>
      <c r="AB175" s="185">
        <f t="shared" si="18"/>
        <v>2</v>
      </c>
      <c r="AC175" s="185">
        <f t="shared" si="19"/>
        <v>8</v>
      </c>
      <c r="AD175" s="185">
        <f t="shared" si="20"/>
        <v>16</v>
      </c>
    </row>
    <row r="176" spans="1:30" x14ac:dyDescent="0.25">
      <c r="A176" s="315">
        <f t="shared" si="23"/>
        <v>175</v>
      </c>
      <c r="B176" s="314" t="s">
        <v>297</v>
      </c>
      <c r="C176" s="340">
        <v>35</v>
      </c>
      <c r="D176" s="359"/>
      <c r="E176" s="478"/>
      <c r="F176" s="359"/>
      <c r="G176" s="478">
        <v>4</v>
      </c>
      <c r="H176" s="359"/>
      <c r="I176" s="478"/>
      <c r="J176" s="359"/>
      <c r="K176" s="478"/>
      <c r="L176" s="359">
        <v>1</v>
      </c>
      <c r="M176" s="478"/>
      <c r="N176" s="561"/>
      <c r="O176" s="340">
        <f t="shared" si="16"/>
        <v>30</v>
      </c>
      <c r="P176" s="438">
        <f t="shared" si="22"/>
        <v>22</v>
      </c>
      <c r="Q176" s="7">
        <v>1.5</v>
      </c>
      <c r="R176" s="68"/>
      <c r="S176" s="344">
        <v>45931</v>
      </c>
      <c r="T176" s="318">
        <v>0</v>
      </c>
      <c r="U176" s="318"/>
      <c r="V176" s="199">
        <v>45627</v>
      </c>
      <c r="W176" s="309">
        <v>5</v>
      </c>
      <c r="X176" s="309">
        <v>13</v>
      </c>
      <c r="Y176" s="309">
        <v>6</v>
      </c>
      <c r="Z176" s="429">
        <v>2</v>
      </c>
      <c r="AA176" s="184">
        <f t="shared" si="17"/>
        <v>26</v>
      </c>
      <c r="AB176" s="185">
        <f t="shared" si="18"/>
        <v>6.5</v>
      </c>
      <c r="AC176" s="185">
        <f t="shared" si="19"/>
        <v>26</v>
      </c>
      <c r="AD176" s="185">
        <f t="shared" si="20"/>
        <v>52</v>
      </c>
    </row>
    <row r="177" spans="1:30" x14ac:dyDescent="0.25">
      <c r="A177" s="315">
        <f t="shared" si="23"/>
        <v>176</v>
      </c>
      <c r="B177" s="314" t="s">
        <v>467</v>
      </c>
      <c r="C177" s="340">
        <v>22</v>
      </c>
      <c r="D177" s="369"/>
      <c r="E177" s="481"/>
      <c r="F177" s="369"/>
      <c r="G177" s="481"/>
      <c r="H177" s="369"/>
      <c r="I177" s="481"/>
      <c r="J177" s="369"/>
      <c r="K177" s="481"/>
      <c r="L177" s="369"/>
      <c r="M177" s="481"/>
      <c r="N177" s="565"/>
      <c r="O177" s="340">
        <f t="shared" si="16"/>
        <v>22</v>
      </c>
      <c r="P177" s="438">
        <f t="shared" si="22"/>
        <v>50</v>
      </c>
      <c r="Q177" s="7">
        <v>8</v>
      </c>
      <c r="R177" s="131" t="s">
        <v>984</v>
      </c>
      <c r="S177" s="335">
        <v>46082</v>
      </c>
      <c r="T177" s="318">
        <v>1</v>
      </c>
      <c r="U177" s="318"/>
      <c r="V177" s="199">
        <v>45658</v>
      </c>
      <c r="W177" s="309">
        <v>11</v>
      </c>
      <c r="X177" s="309">
        <v>12</v>
      </c>
      <c r="Y177" s="309">
        <v>4</v>
      </c>
      <c r="Z177" s="429">
        <v>9</v>
      </c>
      <c r="AA177" s="184">
        <f t="shared" si="17"/>
        <v>36</v>
      </c>
      <c r="AB177" s="185">
        <f t="shared" si="18"/>
        <v>9</v>
      </c>
      <c r="AC177" s="185">
        <f t="shared" si="19"/>
        <v>36</v>
      </c>
      <c r="AD177" s="185">
        <f t="shared" si="20"/>
        <v>72</v>
      </c>
    </row>
    <row r="178" spans="1:30" x14ac:dyDescent="0.25">
      <c r="A178" s="315">
        <f t="shared" si="23"/>
        <v>177</v>
      </c>
      <c r="B178" s="314" t="s">
        <v>1138</v>
      </c>
      <c r="C178" s="340">
        <v>9</v>
      </c>
      <c r="D178" s="359"/>
      <c r="E178" s="478"/>
      <c r="F178" s="359"/>
      <c r="G178" s="478">
        <v>1</v>
      </c>
      <c r="H178" s="359"/>
      <c r="I178" s="478"/>
      <c r="J178" s="359"/>
      <c r="K178" s="478"/>
      <c r="L178" s="359"/>
      <c r="M178" s="478"/>
      <c r="N178" s="561"/>
      <c r="O178" s="340">
        <f t="shared" si="16"/>
        <v>8</v>
      </c>
      <c r="P178" s="438">
        <f t="shared" si="22"/>
        <v>4</v>
      </c>
      <c r="Q178" s="7">
        <v>6</v>
      </c>
      <c r="R178" s="471"/>
      <c r="S178" s="344">
        <v>46143</v>
      </c>
      <c r="T178" s="318">
        <v>1</v>
      </c>
      <c r="U178" s="316"/>
      <c r="V178" s="344">
        <v>45352</v>
      </c>
      <c r="W178" s="309">
        <v>1</v>
      </c>
      <c r="X178" s="309">
        <v>1</v>
      </c>
      <c r="Y178" s="309">
        <v>1</v>
      </c>
      <c r="Z178" s="429">
        <v>3</v>
      </c>
      <c r="AA178" s="184">
        <f t="shared" si="17"/>
        <v>6</v>
      </c>
      <c r="AB178" s="185">
        <f t="shared" si="18"/>
        <v>1.5</v>
      </c>
      <c r="AC178" s="185">
        <f t="shared" si="19"/>
        <v>6</v>
      </c>
      <c r="AD178" s="185">
        <f t="shared" si="20"/>
        <v>12</v>
      </c>
    </row>
    <row r="179" spans="1:30" x14ac:dyDescent="0.25">
      <c r="A179" s="315">
        <f t="shared" si="23"/>
        <v>178</v>
      </c>
      <c r="B179" s="314" t="s">
        <v>266</v>
      </c>
      <c r="C179" s="413">
        <v>225</v>
      </c>
      <c r="D179" s="359"/>
      <c r="E179" s="478"/>
      <c r="F179" s="367"/>
      <c r="G179" s="479"/>
      <c r="H179" s="359"/>
      <c r="I179" s="478"/>
      <c r="J179" s="373"/>
      <c r="K179" s="493"/>
      <c r="L179" s="373"/>
      <c r="M179" s="493"/>
      <c r="N179" s="561"/>
      <c r="O179" s="340">
        <f t="shared" si="16"/>
        <v>225</v>
      </c>
      <c r="P179" s="340">
        <f t="shared" si="22"/>
        <v>-145</v>
      </c>
      <c r="Q179" s="7">
        <v>0.25</v>
      </c>
      <c r="R179" s="150"/>
      <c r="S179" s="118">
        <v>46753</v>
      </c>
      <c r="T179" s="316">
        <v>1</v>
      </c>
      <c r="U179" s="316">
        <v>1</v>
      </c>
      <c r="V179" s="199">
        <v>45717</v>
      </c>
      <c r="W179" s="107">
        <v>4</v>
      </c>
      <c r="X179" s="309">
        <v>16</v>
      </c>
      <c r="Y179" s="309">
        <v>8</v>
      </c>
      <c r="Z179" s="309">
        <v>12</v>
      </c>
      <c r="AA179" s="184">
        <f t="shared" si="17"/>
        <v>40</v>
      </c>
      <c r="AB179" s="185">
        <f t="shared" si="18"/>
        <v>10</v>
      </c>
      <c r="AC179" s="185">
        <f t="shared" si="19"/>
        <v>40</v>
      </c>
      <c r="AD179" s="185">
        <f t="shared" si="20"/>
        <v>80</v>
      </c>
    </row>
    <row r="180" spans="1:30" x14ac:dyDescent="0.25">
      <c r="A180" s="315">
        <f t="shared" si="23"/>
        <v>179</v>
      </c>
      <c r="B180" s="314" t="s">
        <v>328</v>
      </c>
      <c r="C180" s="340">
        <v>4</v>
      </c>
      <c r="D180" s="359"/>
      <c r="E180" s="478"/>
      <c r="F180" s="359"/>
      <c r="G180" s="480"/>
      <c r="H180" s="360"/>
      <c r="I180" s="480"/>
      <c r="J180" s="360"/>
      <c r="K180" s="480"/>
      <c r="L180" s="360"/>
      <c r="M180" s="480"/>
      <c r="N180" s="562"/>
      <c r="O180" s="340">
        <f t="shared" si="16"/>
        <v>4</v>
      </c>
      <c r="P180" s="438">
        <f t="shared" si="22"/>
        <v>8</v>
      </c>
      <c r="Q180" s="7">
        <v>37</v>
      </c>
      <c r="R180" s="63"/>
      <c r="S180" s="83">
        <v>46357</v>
      </c>
      <c r="T180" s="313">
        <v>5</v>
      </c>
      <c r="U180" s="313">
        <v>6</v>
      </c>
      <c r="V180" s="81">
        <v>45717</v>
      </c>
      <c r="W180" s="28">
        <v>1</v>
      </c>
      <c r="X180" s="28">
        <v>2</v>
      </c>
      <c r="Y180" s="28">
        <v>2</v>
      </c>
      <c r="Z180" s="429">
        <v>1</v>
      </c>
      <c r="AA180" s="184">
        <f t="shared" si="17"/>
        <v>6</v>
      </c>
      <c r="AB180" s="185">
        <f t="shared" si="18"/>
        <v>1.5</v>
      </c>
      <c r="AC180" s="185">
        <f t="shared" si="19"/>
        <v>6</v>
      </c>
      <c r="AD180" s="185">
        <f t="shared" si="20"/>
        <v>12</v>
      </c>
    </row>
    <row r="181" spans="1:30" x14ac:dyDescent="0.25">
      <c r="A181" s="315">
        <f t="shared" si="23"/>
        <v>180</v>
      </c>
      <c r="B181" s="314" t="s">
        <v>731</v>
      </c>
      <c r="C181" s="340">
        <v>90</v>
      </c>
      <c r="D181" s="359"/>
      <c r="E181" s="478">
        <v>7</v>
      </c>
      <c r="F181" s="359"/>
      <c r="G181" s="478"/>
      <c r="H181" s="359"/>
      <c r="I181" s="478"/>
      <c r="J181" s="359"/>
      <c r="K181" s="478"/>
      <c r="L181" s="359"/>
      <c r="M181" s="478"/>
      <c r="N181" s="561"/>
      <c r="O181" s="340">
        <f t="shared" si="16"/>
        <v>83</v>
      </c>
      <c r="P181" s="340">
        <f t="shared" si="22"/>
        <v>-33</v>
      </c>
      <c r="Q181" s="7">
        <v>0.5</v>
      </c>
      <c r="R181" s="63"/>
      <c r="S181" s="77">
        <v>46327</v>
      </c>
      <c r="T181" s="16">
        <v>0</v>
      </c>
      <c r="U181" s="16"/>
      <c r="V181" s="77">
        <v>45658</v>
      </c>
      <c r="W181" s="14">
        <v>2</v>
      </c>
      <c r="X181" s="14">
        <v>2</v>
      </c>
      <c r="Y181" s="315">
        <v>5</v>
      </c>
      <c r="Z181" s="315">
        <v>16</v>
      </c>
      <c r="AA181" s="184">
        <f t="shared" si="17"/>
        <v>25</v>
      </c>
      <c r="AB181" s="185">
        <f t="shared" si="18"/>
        <v>6.25</v>
      </c>
      <c r="AC181" s="185">
        <f t="shared" si="19"/>
        <v>25</v>
      </c>
      <c r="AD181" s="185">
        <f t="shared" si="20"/>
        <v>50</v>
      </c>
    </row>
    <row r="182" spans="1:30" x14ac:dyDescent="0.25">
      <c r="A182" s="315">
        <f t="shared" si="23"/>
        <v>181</v>
      </c>
      <c r="B182" s="314" t="s">
        <v>1184</v>
      </c>
      <c r="C182" s="340">
        <v>24.3</v>
      </c>
      <c r="D182" s="359"/>
      <c r="E182" s="478"/>
      <c r="F182" s="359"/>
      <c r="G182" s="478"/>
      <c r="H182" s="359">
        <v>1</v>
      </c>
      <c r="I182" s="478"/>
      <c r="J182" s="359"/>
      <c r="K182" s="478"/>
      <c r="L182" s="359"/>
      <c r="M182" s="478"/>
      <c r="N182" s="561"/>
      <c r="O182" s="340">
        <f t="shared" si="16"/>
        <v>23.3</v>
      </c>
      <c r="P182" s="438">
        <f t="shared" si="22"/>
        <v>12.7</v>
      </c>
      <c r="Q182" s="7">
        <v>12</v>
      </c>
      <c r="R182" s="106" t="s">
        <v>77</v>
      </c>
      <c r="S182" s="344">
        <v>46600</v>
      </c>
      <c r="T182" s="318">
        <v>1</v>
      </c>
      <c r="U182" s="318">
        <v>4</v>
      </c>
      <c r="V182" s="344">
        <v>45717</v>
      </c>
      <c r="W182" s="309">
        <v>4</v>
      </c>
      <c r="X182" s="309">
        <v>4</v>
      </c>
      <c r="Y182" s="309">
        <v>2</v>
      </c>
      <c r="Z182" s="429">
        <v>8</v>
      </c>
      <c r="AA182" s="184">
        <f t="shared" si="17"/>
        <v>18</v>
      </c>
      <c r="AB182" s="185">
        <f t="shared" si="18"/>
        <v>4.5</v>
      </c>
      <c r="AC182" s="185">
        <f t="shared" si="19"/>
        <v>18</v>
      </c>
      <c r="AD182" s="185">
        <f t="shared" si="20"/>
        <v>36</v>
      </c>
    </row>
    <row r="183" spans="1:30" x14ac:dyDescent="0.25">
      <c r="A183" s="315">
        <f t="shared" si="23"/>
        <v>182</v>
      </c>
      <c r="B183" s="314" t="s">
        <v>1431</v>
      </c>
      <c r="C183" s="340">
        <v>9</v>
      </c>
      <c r="D183" s="359"/>
      <c r="E183" s="478"/>
      <c r="F183" s="373"/>
      <c r="G183" s="493"/>
      <c r="H183" s="359"/>
      <c r="I183" s="478"/>
      <c r="J183" s="373"/>
      <c r="K183" s="493"/>
      <c r="L183" s="362"/>
      <c r="M183" s="499"/>
      <c r="N183" s="576"/>
      <c r="O183" s="340">
        <f t="shared" si="16"/>
        <v>9</v>
      </c>
      <c r="P183" s="438">
        <f t="shared" si="22"/>
        <v>11</v>
      </c>
      <c r="Q183" s="7">
        <v>9</v>
      </c>
      <c r="R183" s="73"/>
      <c r="S183" s="344">
        <v>46419</v>
      </c>
      <c r="T183" s="309">
        <v>10</v>
      </c>
      <c r="U183" s="309"/>
      <c r="V183" s="199">
        <v>45689</v>
      </c>
      <c r="W183" s="107">
        <v>3</v>
      </c>
      <c r="X183" s="309">
        <v>3</v>
      </c>
      <c r="Y183" s="309">
        <v>3</v>
      </c>
      <c r="Z183" s="309">
        <v>1</v>
      </c>
      <c r="AA183" s="184">
        <f t="shared" si="17"/>
        <v>10</v>
      </c>
      <c r="AB183" s="185">
        <f t="shared" si="18"/>
        <v>2.5</v>
      </c>
      <c r="AC183" s="185">
        <f t="shared" si="19"/>
        <v>10</v>
      </c>
      <c r="AD183" s="185">
        <f t="shared" si="20"/>
        <v>20</v>
      </c>
    </row>
    <row r="184" spans="1:30" x14ac:dyDescent="0.25">
      <c r="A184" s="315">
        <f t="shared" si="23"/>
        <v>183</v>
      </c>
      <c r="B184" s="314" t="s">
        <v>145</v>
      </c>
      <c r="C184" s="340">
        <v>2</v>
      </c>
      <c r="D184" s="359"/>
      <c r="E184" s="478"/>
      <c r="F184" s="359"/>
      <c r="G184" s="478"/>
      <c r="H184" s="359"/>
      <c r="I184" s="478"/>
      <c r="J184" s="359">
        <v>1</v>
      </c>
      <c r="K184" s="478"/>
      <c r="L184" s="359"/>
      <c r="M184" s="478"/>
      <c r="N184" s="561"/>
      <c r="O184" s="340">
        <f t="shared" si="16"/>
        <v>1</v>
      </c>
      <c r="P184" s="438">
        <f t="shared" si="22"/>
        <v>7</v>
      </c>
      <c r="Q184" s="7">
        <v>25</v>
      </c>
      <c r="R184" s="106" t="s">
        <v>77</v>
      </c>
      <c r="S184" s="94">
        <v>46327</v>
      </c>
      <c r="T184" s="338">
        <v>0</v>
      </c>
      <c r="U184" s="338"/>
      <c r="V184" s="199">
        <v>45658</v>
      </c>
      <c r="W184" s="309">
        <v>1</v>
      </c>
      <c r="X184" s="309">
        <v>1</v>
      </c>
      <c r="Y184" s="309">
        <v>1</v>
      </c>
      <c r="Z184" s="429">
        <v>1</v>
      </c>
      <c r="AA184" s="184">
        <f t="shared" si="17"/>
        <v>4</v>
      </c>
      <c r="AB184" s="185">
        <f t="shared" si="18"/>
        <v>1</v>
      </c>
      <c r="AC184" s="185">
        <f t="shared" si="19"/>
        <v>4</v>
      </c>
      <c r="AD184" s="185">
        <f t="shared" si="20"/>
        <v>8</v>
      </c>
    </row>
    <row r="185" spans="1:30" x14ac:dyDescent="0.25">
      <c r="A185" s="315">
        <f t="shared" si="23"/>
        <v>184</v>
      </c>
      <c r="B185" s="314" t="s">
        <v>313</v>
      </c>
      <c r="C185" s="340">
        <v>4</v>
      </c>
      <c r="D185" s="359"/>
      <c r="E185" s="478"/>
      <c r="F185" s="359"/>
      <c r="G185" s="478"/>
      <c r="H185" s="359"/>
      <c r="I185" s="478"/>
      <c r="J185" s="359"/>
      <c r="K185" s="478"/>
      <c r="L185" s="359"/>
      <c r="M185" s="478"/>
      <c r="N185" s="561"/>
      <c r="O185" s="340">
        <f t="shared" si="16"/>
        <v>4</v>
      </c>
      <c r="P185" s="438">
        <f t="shared" si="22"/>
        <v>4</v>
      </c>
      <c r="Q185" s="7">
        <v>20</v>
      </c>
      <c r="R185" s="627"/>
      <c r="S185" s="344">
        <v>46296</v>
      </c>
      <c r="T185" s="318">
        <v>0</v>
      </c>
      <c r="U185" s="318"/>
      <c r="V185" s="199">
        <v>45689</v>
      </c>
      <c r="W185" s="309">
        <v>1</v>
      </c>
      <c r="X185" s="309">
        <v>1</v>
      </c>
      <c r="Y185" s="309">
        <v>1</v>
      </c>
      <c r="Z185" s="429">
        <v>1</v>
      </c>
      <c r="AA185" s="184">
        <f t="shared" si="17"/>
        <v>4</v>
      </c>
      <c r="AB185" s="185">
        <f t="shared" si="18"/>
        <v>1</v>
      </c>
      <c r="AC185" s="185">
        <f t="shared" si="19"/>
        <v>4</v>
      </c>
      <c r="AD185" s="185">
        <f t="shared" si="20"/>
        <v>8</v>
      </c>
    </row>
    <row r="186" spans="1:30" x14ac:dyDescent="0.25">
      <c r="A186" s="315">
        <f t="shared" si="23"/>
        <v>185</v>
      </c>
      <c r="B186" s="314" t="s">
        <v>125</v>
      </c>
      <c r="C186" s="340">
        <v>3</v>
      </c>
      <c r="D186" s="359"/>
      <c r="E186" s="478"/>
      <c r="F186" s="359"/>
      <c r="G186" s="478"/>
      <c r="H186" s="359"/>
      <c r="I186" s="478"/>
      <c r="J186" s="359"/>
      <c r="K186" s="478">
        <v>1</v>
      </c>
      <c r="L186" s="359"/>
      <c r="N186" s="561"/>
      <c r="O186" s="340">
        <f t="shared" si="16"/>
        <v>2</v>
      </c>
      <c r="P186" s="438">
        <f t="shared" si="22"/>
        <v>10</v>
      </c>
      <c r="Q186" s="7">
        <v>28</v>
      </c>
      <c r="R186" s="73"/>
      <c r="S186" s="94">
        <v>46539</v>
      </c>
      <c r="T186" s="338">
        <v>2</v>
      </c>
      <c r="U186" s="338">
        <v>3</v>
      </c>
      <c r="V186" s="344">
        <v>45717</v>
      </c>
      <c r="W186" s="309">
        <v>2</v>
      </c>
      <c r="X186" s="309">
        <v>2</v>
      </c>
      <c r="Y186" s="309">
        <v>1</v>
      </c>
      <c r="Z186" s="429">
        <v>1</v>
      </c>
      <c r="AA186" s="184">
        <f t="shared" si="17"/>
        <v>6</v>
      </c>
      <c r="AB186" s="185">
        <f t="shared" si="18"/>
        <v>1.5</v>
      </c>
      <c r="AC186" s="185">
        <f t="shared" si="19"/>
        <v>6</v>
      </c>
      <c r="AD186" s="185">
        <f t="shared" si="20"/>
        <v>12</v>
      </c>
    </row>
    <row r="187" spans="1:30" x14ac:dyDescent="0.25">
      <c r="A187" s="315">
        <f t="shared" si="23"/>
        <v>186</v>
      </c>
      <c r="B187" s="314" t="s">
        <v>257</v>
      </c>
      <c r="C187" s="340">
        <v>4</v>
      </c>
      <c r="D187" s="359"/>
      <c r="E187" s="478"/>
      <c r="F187" s="359"/>
      <c r="G187" s="478"/>
      <c r="H187" s="359"/>
      <c r="I187" s="478"/>
      <c r="J187" s="359"/>
      <c r="K187" s="478"/>
      <c r="L187" s="359"/>
      <c r="M187" s="478"/>
      <c r="N187" s="561"/>
      <c r="O187" s="340">
        <f t="shared" si="16"/>
        <v>4</v>
      </c>
      <c r="P187" s="438">
        <f t="shared" si="22"/>
        <v>12</v>
      </c>
      <c r="Q187" s="7">
        <v>16</v>
      </c>
      <c r="R187" s="106"/>
      <c r="S187" s="344">
        <v>46874</v>
      </c>
      <c r="T187" s="318">
        <v>7</v>
      </c>
      <c r="U187" s="318">
        <v>6</v>
      </c>
      <c r="V187" s="199">
        <v>45717</v>
      </c>
      <c r="W187" s="309">
        <v>1</v>
      </c>
      <c r="X187" s="309">
        <v>5</v>
      </c>
      <c r="Y187" s="309">
        <v>1</v>
      </c>
      <c r="Z187" s="429">
        <v>1</v>
      </c>
      <c r="AA187" s="184">
        <f t="shared" si="17"/>
        <v>8</v>
      </c>
      <c r="AB187" s="185">
        <f t="shared" si="18"/>
        <v>2</v>
      </c>
      <c r="AC187" s="185">
        <f t="shared" si="19"/>
        <v>8</v>
      </c>
      <c r="AD187" s="185">
        <f t="shared" si="20"/>
        <v>16</v>
      </c>
    </row>
    <row r="188" spans="1:30" x14ac:dyDescent="0.25">
      <c r="A188" s="315">
        <f t="shared" si="23"/>
        <v>187</v>
      </c>
      <c r="B188" s="314" t="s">
        <v>1478</v>
      </c>
      <c r="C188" s="340">
        <v>20</v>
      </c>
      <c r="D188" s="359"/>
      <c r="E188" s="478"/>
      <c r="F188" s="359"/>
      <c r="G188" s="478"/>
      <c r="H188" s="359"/>
      <c r="I188" s="478">
        <v>5</v>
      </c>
      <c r="J188" s="359"/>
      <c r="K188" s="478">
        <v>1</v>
      </c>
      <c r="L188" s="359"/>
      <c r="M188" s="478"/>
      <c r="N188" s="561"/>
      <c r="O188" s="340">
        <f t="shared" si="16"/>
        <v>14</v>
      </c>
      <c r="P188" s="438">
        <f t="shared" si="22"/>
        <v>22</v>
      </c>
      <c r="Q188" s="7">
        <v>6</v>
      </c>
      <c r="R188" s="68"/>
      <c r="S188" s="344">
        <v>46419</v>
      </c>
      <c r="T188" s="318">
        <v>2</v>
      </c>
      <c r="U188" s="318">
        <v>1</v>
      </c>
      <c r="V188" s="344">
        <v>45717</v>
      </c>
      <c r="W188" s="309">
        <v>3</v>
      </c>
      <c r="X188" s="309">
        <v>7</v>
      </c>
      <c r="Y188" s="309">
        <v>2</v>
      </c>
      <c r="Z188" s="429">
        <v>6</v>
      </c>
      <c r="AA188" s="184">
        <f t="shared" si="17"/>
        <v>18</v>
      </c>
      <c r="AB188" s="185">
        <f t="shared" si="18"/>
        <v>4.5</v>
      </c>
      <c r="AC188" s="185">
        <f t="shared" si="19"/>
        <v>18</v>
      </c>
      <c r="AD188" s="185">
        <f t="shared" si="20"/>
        <v>36</v>
      </c>
    </row>
    <row r="189" spans="1:30" x14ac:dyDescent="0.25">
      <c r="A189" s="315">
        <f t="shared" si="23"/>
        <v>188</v>
      </c>
      <c r="B189" s="314" t="s">
        <v>712</v>
      </c>
      <c r="C189" s="340">
        <v>2</v>
      </c>
      <c r="D189" s="359"/>
      <c r="E189" s="478"/>
      <c r="F189" s="359"/>
      <c r="G189" s="478"/>
      <c r="H189" s="359"/>
      <c r="I189" s="478"/>
      <c r="J189" s="359"/>
      <c r="K189" s="478"/>
      <c r="L189" s="359"/>
      <c r="M189" s="478"/>
      <c r="N189" s="561"/>
      <c r="O189" s="340">
        <f t="shared" si="16"/>
        <v>2</v>
      </c>
      <c r="P189" s="438">
        <f t="shared" si="22"/>
        <v>6</v>
      </c>
      <c r="Q189" s="7">
        <v>43</v>
      </c>
      <c r="R189" s="79"/>
      <c r="S189" s="344">
        <v>46266</v>
      </c>
      <c r="T189" s="318">
        <v>2</v>
      </c>
      <c r="U189" s="318"/>
      <c r="V189" s="344">
        <v>45689</v>
      </c>
      <c r="W189" s="309">
        <v>1</v>
      </c>
      <c r="X189" s="309">
        <v>1</v>
      </c>
      <c r="Y189" s="309">
        <v>1</v>
      </c>
      <c r="Z189" s="429">
        <v>1</v>
      </c>
      <c r="AA189" s="184">
        <f t="shared" si="17"/>
        <v>4</v>
      </c>
      <c r="AB189" s="185">
        <f t="shared" si="18"/>
        <v>1</v>
      </c>
      <c r="AC189" s="185">
        <f t="shared" si="19"/>
        <v>4</v>
      </c>
      <c r="AD189" s="185">
        <f t="shared" si="20"/>
        <v>8</v>
      </c>
    </row>
    <row r="190" spans="1:30" x14ac:dyDescent="0.25">
      <c r="A190" s="315">
        <f t="shared" si="23"/>
        <v>189</v>
      </c>
      <c r="B190" s="314" t="s">
        <v>51</v>
      </c>
      <c r="C190" s="340">
        <v>2</v>
      </c>
      <c r="D190" s="361"/>
      <c r="E190" s="482"/>
      <c r="F190" s="361"/>
      <c r="G190" s="482"/>
      <c r="H190" s="361"/>
      <c r="I190" s="482"/>
      <c r="J190" s="359"/>
      <c r="K190" s="478"/>
      <c r="L190" s="361"/>
      <c r="M190" s="482"/>
      <c r="N190" s="563"/>
      <c r="O190" s="340">
        <f t="shared" si="16"/>
        <v>2</v>
      </c>
      <c r="P190" s="438">
        <f t="shared" si="22"/>
        <v>6</v>
      </c>
      <c r="Q190" s="7">
        <v>47</v>
      </c>
      <c r="R190" s="307"/>
      <c r="S190" s="344">
        <v>46327</v>
      </c>
      <c r="T190" s="318">
        <v>0</v>
      </c>
      <c r="U190" s="318"/>
      <c r="V190" s="199">
        <v>45658</v>
      </c>
      <c r="W190" s="309">
        <v>1</v>
      </c>
      <c r="X190" s="309">
        <v>1</v>
      </c>
      <c r="Y190" s="309">
        <v>1</v>
      </c>
      <c r="Z190" s="429">
        <v>1</v>
      </c>
      <c r="AA190" s="184">
        <f t="shared" si="17"/>
        <v>4</v>
      </c>
      <c r="AB190" s="185">
        <f t="shared" si="18"/>
        <v>1</v>
      </c>
      <c r="AC190" s="185">
        <f t="shared" si="19"/>
        <v>4</v>
      </c>
      <c r="AD190" s="185">
        <f t="shared" si="20"/>
        <v>8</v>
      </c>
    </row>
    <row r="191" spans="1:30" ht="15.75" customHeight="1" x14ac:dyDescent="0.25">
      <c r="A191" s="315">
        <f t="shared" si="23"/>
        <v>190</v>
      </c>
      <c r="B191" s="314" t="s">
        <v>446</v>
      </c>
      <c r="C191" s="340">
        <v>0</v>
      </c>
      <c r="D191" s="359"/>
      <c r="E191" s="478"/>
      <c r="F191" s="360"/>
      <c r="G191" s="480"/>
      <c r="H191" s="360"/>
      <c r="I191" s="480"/>
      <c r="J191" s="360"/>
      <c r="K191" s="480"/>
      <c r="L191" s="362"/>
      <c r="M191" s="499"/>
      <c r="N191" s="561"/>
      <c r="O191" s="340">
        <f t="shared" si="16"/>
        <v>0</v>
      </c>
      <c r="P191" s="689">
        <f t="shared" si="22"/>
        <v>0</v>
      </c>
      <c r="Q191" s="44">
        <v>25</v>
      </c>
      <c r="R191" s="73"/>
      <c r="S191" s="344"/>
      <c r="T191" s="318">
        <v>0</v>
      </c>
      <c r="U191" s="318"/>
      <c r="V191" s="199"/>
      <c r="W191" s="78"/>
      <c r="Z191" s="431"/>
      <c r="AA191" s="184">
        <f t="shared" si="17"/>
        <v>0</v>
      </c>
      <c r="AB191" s="185">
        <f t="shared" si="18"/>
        <v>0</v>
      </c>
      <c r="AC191" s="185">
        <f t="shared" si="19"/>
        <v>0</v>
      </c>
      <c r="AD191" s="185">
        <f t="shared" si="20"/>
        <v>0</v>
      </c>
    </row>
    <row r="192" spans="1:30" ht="15.75" customHeight="1" x14ac:dyDescent="0.25">
      <c r="A192" s="315">
        <f t="shared" si="23"/>
        <v>191</v>
      </c>
      <c r="B192" s="651" t="s">
        <v>703</v>
      </c>
      <c r="C192" s="653">
        <v>4</v>
      </c>
      <c r="D192" s="359"/>
      <c r="E192" s="478"/>
      <c r="F192" s="359"/>
      <c r="G192" s="478"/>
      <c r="H192" s="359"/>
      <c r="I192" s="478">
        <v>1</v>
      </c>
      <c r="J192" s="359"/>
      <c r="K192" s="478"/>
      <c r="L192" s="359"/>
      <c r="M192" s="478"/>
      <c r="N192" s="561"/>
      <c r="O192" s="340">
        <f t="shared" si="16"/>
        <v>3</v>
      </c>
      <c r="P192" s="438">
        <f t="shared" si="22"/>
        <v>7</v>
      </c>
      <c r="Q192" s="7">
        <v>35</v>
      </c>
      <c r="R192" s="68"/>
      <c r="S192" s="656">
        <v>45870</v>
      </c>
      <c r="T192" s="318">
        <v>0</v>
      </c>
      <c r="U192" s="318"/>
      <c r="V192" s="344">
        <v>45689</v>
      </c>
      <c r="W192" s="309">
        <v>1</v>
      </c>
      <c r="X192" s="309">
        <v>1</v>
      </c>
      <c r="Y192" s="309">
        <v>2</v>
      </c>
      <c r="Z192" s="429">
        <v>1</v>
      </c>
      <c r="AA192" s="184">
        <f t="shared" si="17"/>
        <v>5</v>
      </c>
      <c r="AB192" s="185">
        <f t="shared" si="18"/>
        <v>1.25</v>
      </c>
      <c r="AC192" s="185">
        <f t="shared" si="19"/>
        <v>5</v>
      </c>
      <c r="AD192" s="185">
        <f t="shared" si="20"/>
        <v>10</v>
      </c>
    </row>
    <row r="193" spans="1:30" ht="15" customHeight="1" x14ac:dyDescent="0.25">
      <c r="A193" s="315">
        <f t="shared" si="23"/>
        <v>192</v>
      </c>
      <c r="B193" s="314" t="s">
        <v>464</v>
      </c>
      <c r="C193" s="340">
        <v>3</v>
      </c>
      <c r="D193" s="359"/>
      <c r="E193" s="478"/>
      <c r="F193" s="359"/>
      <c r="G193" s="478"/>
      <c r="H193" s="359"/>
      <c r="I193" s="478"/>
      <c r="J193" s="359"/>
      <c r="K193" s="478"/>
      <c r="L193" s="359"/>
      <c r="M193" s="478"/>
      <c r="N193" s="561"/>
      <c r="O193" s="340">
        <f t="shared" si="16"/>
        <v>3</v>
      </c>
      <c r="P193" s="438">
        <f t="shared" si="22"/>
        <v>9</v>
      </c>
      <c r="Q193" s="7">
        <v>6</v>
      </c>
      <c r="R193" s="106"/>
      <c r="S193" s="344">
        <v>46600</v>
      </c>
      <c r="T193" s="318">
        <v>0</v>
      </c>
      <c r="U193" s="318"/>
      <c r="V193" s="344">
        <v>45658</v>
      </c>
      <c r="W193" s="309">
        <v>3</v>
      </c>
      <c r="X193" s="309">
        <v>1</v>
      </c>
      <c r="Y193" s="309">
        <v>1</v>
      </c>
      <c r="Z193" s="429">
        <v>1</v>
      </c>
      <c r="AA193" s="184">
        <f t="shared" si="17"/>
        <v>6</v>
      </c>
      <c r="AB193" s="185">
        <f t="shared" si="18"/>
        <v>1.5</v>
      </c>
      <c r="AC193" s="185">
        <f t="shared" si="19"/>
        <v>6</v>
      </c>
      <c r="AD193" s="185">
        <f t="shared" si="20"/>
        <v>12</v>
      </c>
    </row>
    <row r="194" spans="1:30" x14ac:dyDescent="0.25">
      <c r="A194" s="315">
        <f t="shared" si="23"/>
        <v>193</v>
      </c>
      <c r="B194" s="314" t="s">
        <v>461</v>
      </c>
      <c r="C194" s="340">
        <v>2</v>
      </c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340">
        <f t="shared" ref="O194:O202" si="24">SUM(C194-D194-E194-F194-G194-H194-I194-J194-K194-L194-M194-N194)</f>
        <v>2</v>
      </c>
      <c r="P194" s="438">
        <f t="shared" si="22"/>
        <v>6</v>
      </c>
      <c r="Q194" s="7">
        <v>8</v>
      </c>
      <c r="R194" s="68"/>
      <c r="S194" s="344">
        <v>46600</v>
      </c>
      <c r="T194" s="318">
        <v>2</v>
      </c>
      <c r="U194" s="318">
        <v>2</v>
      </c>
      <c r="V194" s="199">
        <v>45717</v>
      </c>
      <c r="W194" s="309">
        <v>1</v>
      </c>
      <c r="X194" s="309">
        <v>1</v>
      </c>
      <c r="Y194" s="309">
        <v>1</v>
      </c>
      <c r="Z194" s="429">
        <v>1</v>
      </c>
      <c r="AA194" s="184">
        <f t="shared" ref="AA194:AA202" si="25">W194+X194+Y194+Z194</f>
        <v>4</v>
      </c>
      <c r="AB194" s="185">
        <f t="shared" ref="AB194:AB202" si="26">AA194/4</f>
        <v>1</v>
      </c>
      <c r="AC194" s="185">
        <f t="shared" ref="AC194:AC202" si="27">AB194*4</f>
        <v>4</v>
      </c>
      <c r="AD194" s="185">
        <f t="shared" ref="AD194:AD202" si="28">AC194*2</f>
        <v>8</v>
      </c>
    </row>
    <row r="195" spans="1:30" x14ac:dyDescent="0.25">
      <c r="A195" s="315">
        <f t="shared" ref="A195:A214" si="29">A194+1</f>
        <v>194</v>
      </c>
      <c r="B195" s="314" t="s">
        <v>463</v>
      </c>
      <c r="C195" s="340">
        <v>2</v>
      </c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340">
        <f t="shared" si="24"/>
        <v>2</v>
      </c>
      <c r="P195" s="438">
        <f t="shared" ref="P195:P202" si="30">AD195-O195</f>
        <v>6</v>
      </c>
      <c r="Q195" s="44">
        <v>11</v>
      </c>
      <c r="R195" s="73"/>
      <c r="S195" s="344">
        <v>47150</v>
      </c>
      <c r="T195" s="318">
        <v>3</v>
      </c>
      <c r="U195" s="318"/>
      <c r="V195" s="199">
        <v>45627</v>
      </c>
      <c r="W195" s="309">
        <v>1</v>
      </c>
      <c r="X195" s="309">
        <v>1</v>
      </c>
      <c r="Y195" s="309">
        <v>1</v>
      </c>
      <c r="Z195" s="429">
        <v>1</v>
      </c>
      <c r="AA195" s="184">
        <f t="shared" si="25"/>
        <v>4</v>
      </c>
      <c r="AB195" s="185">
        <f t="shared" si="26"/>
        <v>1</v>
      </c>
      <c r="AC195" s="185">
        <f t="shared" si="27"/>
        <v>4</v>
      </c>
      <c r="AD195" s="185">
        <f t="shared" si="28"/>
        <v>8</v>
      </c>
    </row>
    <row r="196" spans="1:30" x14ac:dyDescent="0.25">
      <c r="A196" s="315">
        <f t="shared" si="29"/>
        <v>195</v>
      </c>
      <c r="B196" s="314" t="s">
        <v>462</v>
      </c>
      <c r="C196" s="340">
        <v>1</v>
      </c>
      <c r="D196" s="359"/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340">
        <f t="shared" si="24"/>
        <v>1</v>
      </c>
      <c r="P196" s="438">
        <f t="shared" si="30"/>
        <v>11</v>
      </c>
      <c r="Q196" s="7">
        <v>15</v>
      </c>
      <c r="R196" s="626"/>
      <c r="S196" s="344">
        <v>46508</v>
      </c>
      <c r="T196" s="318">
        <v>3</v>
      </c>
      <c r="U196" s="318"/>
      <c r="V196" s="199">
        <v>45474</v>
      </c>
      <c r="W196" s="309">
        <v>1</v>
      </c>
      <c r="X196" s="309">
        <v>2</v>
      </c>
      <c r="Y196" s="309">
        <v>1</v>
      </c>
      <c r="Z196" s="429">
        <v>2</v>
      </c>
      <c r="AA196" s="184">
        <f t="shared" si="25"/>
        <v>6</v>
      </c>
      <c r="AB196" s="185">
        <f t="shared" si="26"/>
        <v>1.5</v>
      </c>
      <c r="AC196" s="185">
        <f t="shared" si="27"/>
        <v>6</v>
      </c>
      <c r="AD196" s="185">
        <f t="shared" si="28"/>
        <v>12</v>
      </c>
    </row>
    <row r="197" spans="1:30" x14ac:dyDescent="0.25">
      <c r="A197" s="315">
        <f t="shared" si="29"/>
        <v>196</v>
      </c>
      <c r="B197" s="314" t="s">
        <v>248</v>
      </c>
      <c r="C197" s="340">
        <v>3</v>
      </c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340">
        <f t="shared" si="24"/>
        <v>3</v>
      </c>
      <c r="P197" s="438">
        <f t="shared" si="30"/>
        <v>9</v>
      </c>
      <c r="Q197" s="7">
        <v>16</v>
      </c>
      <c r="R197" s="106"/>
      <c r="S197" s="94">
        <v>46174</v>
      </c>
      <c r="T197" s="318">
        <v>0</v>
      </c>
      <c r="U197" s="318"/>
      <c r="V197" s="344">
        <v>45597</v>
      </c>
      <c r="W197" s="309">
        <v>1</v>
      </c>
      <c r="X197" s="309">
        <v>1</v>
      </c>
      <c r="Y197" s="309">
        <v>3</v>
      </c>
      <c r="Z197" s="429">
        <v>1</v>
      </c>
      <c r="AA197" s="184">
        <f t="shared" si="25"/>
        <v>6</v>
      </c>
      <c r="AB197" s="185">
        <f t="shared" si="26"/>
        <v>1.5</v>
      </c>
      <c r="AC197" s="185">
        <f t="shared" si="27"/>
        <v>6</v>
      </c>
      <c r="AD197" s="185">
        <f t="shared" si="28"/>
        <v>12</v>
      </c>
    </row>
    <row r="198" spans="1:30" x14ac:dyDescent="0.25">
      <c r="A198" s="315">
        <f t="shared" si="29"/>
        <v>197</v>
      </c>
      <c r="B198" s="314" t="s">
        <v>1139</v>
      </c>
      <c r="C198" s="340">
        <v>6</v>
      </c>
      <c r="D198" s="359"/>
      <c r="E198" s="478"/>
      <c r="F198" s="359"/>
      <c r="G198" s="478">
        <v>1</v>
      </c>
      <c r="H198" s="359"/>
      <c r="I198" s="478"/>
      <c r="J198" s="359"/>
      <c r="K198" s="478"/>
      <c r="L198" s="359"/>
      <c r="M198" s="478"/>
      <c r="N198" s="561"/>
      <c r="O198" s="340">
        <f t="shared" si="24"/>
        <v>5</v>
      </c>
      <c r="P198" s="438">
        <f t="shared" si="30"/>
        <v>11</v>
      </c>
      <c r="Q198" s="7">
        <v>8</v>
      </c>
      <c r="R198" s="307"/>
      <c r="S198" s="335">
        <v>46447</v>
      </c>
      <c r="T198" s="318">
        <v>6</v>
      </c>
      <c r="U198" s="318">
        <v>6</v>
      </c>
      <c r="V198" s="344">
        <v>45717</v>
      </c>
      <c r="W198" s="309">
        <v>3</v>
      </c>
      <c r="X198" s="309">
        <v>2</v>
      </c>
      <c r="Y198" s="309">
        <v>1</v>
      </c>
      <c r="Z198" s="429">
        <v>2</v>
      </c>
      <c r="AA198" s="184">
        <f t="shared" si="25"/>
        <v>8</v>
      </c>
      <c r="AB198" s="185">
        <f t="shared" si="26"/>
        <v>2</v>
      </c>
      <c r="AC198" s="185">
        <f t="shared" si="27"/>
        <v>8</v>
      </c>
      <c r="AD198" s="185">
        <f t="shared" si="28"/>
        <v>16</v>
      </c>
    </row>
    <row r="199" spans="1:30" x14ac:dyDescent="0.25">
      <c r="A199" s="315">
        <f t="shared" si="29"/>
        <v>198</v>
      </c>
      <c r="B199" s="314" t="s">
        <v>1140</v>
      </c>
      <c r="C199" s="340">
        <v>4</v>
      </c>
      <c r="D199" s="359"/>
      <c r="E199" s="478"/>
      <c r="F199" s="359"/>
      <c r="G199" s="478">
        <v>1</v>
      </c>
      <c r="H199" s="359"/>
      <c r="I199" s="478"/>
      <c r="J199" s="359"/>
      <c r="K199" s="478"/>
      <c r="L199" s="359"/>
      <c r="M199" s="478"/>
      <c r="N199" s="561"/>
      <c r="O199" s="340">
        <f t="shared" si="24"/>
        <v>3</v>
      </c>
      <c r="P199" s="438">
        <f t="shared" si="30"/>
        <v>9</v>
      </c>
      <c r="Q199" s="44">
        <v>10</v>
      </c>
      <c r="R199" s="106"/>
      <c r="S199" s="344">
        <v>46447</v>
      </c>
      <c r="T199" s="318">
        <v>1</v>
      </c>
      <c r="U199" s="318">
        <v>1</v>
      </c>
      <c r="V199" s="199">
        <v>45717</v>
      </c>
      <c r="W199" s="309">
        <v>2</v>
      </c>
      <c r="X199" s="309">
        <v>2</v>
      </c>
      <c r="Y199" s="309">
        <v>1</v>
      </c>
      <c r="Z199" s="429">
        <v>1</v>
      </c>
      <c r="AA199" s="184">
        <f t="shared" si="25"/>
        <v>6</v>
      </c>
      <c r="AB199" s="185">
        <f t="shared" si="26"/>
        <v>1.5</v>
      </c>
      <c r="AC199" s="185">
        <f t="shared" si="27"/>
        <v>6</v>
      </c>
      <c r="AD199" s="185">
        <f t="shared" si="28"/>
        <v>12</v>
      </c>
    </row>
    <row r="200" spans="1:30" x14ac:dyDescent="0.25">
      <c r="A200" s="315">
        <f t="shared" si="29"/>
        <v>199</v>
      </c>
      <c r="B200" s="314" t="s">
        <v>400</v>
      </c>
      <c r="C200" s="340">
        <v>8</v>
      </c>
      <c r="D200" s="359"/>
      <c r="E200" s="478"/>
      <c r="F200" s="359"/>
      <c r="G200" s="478"/>
      <c r="H200" s="359"/>
      <c r="I200" s="478"/>
      <c r="J200" s="359"/>
      <c r="K200" s="478"/>
      <c r="L200" s="359"/>
      <c r="M200" s="478"/>
      <c r="N200" s="561"/>
      <c r="O200" s="340">
        <f t="shared" si="24"/>
        <v>8</v>
      </c>
      <c r="P200" s="438">
        <f t="shared" si="30"/>
        <v>2</v>
      </c>
      <c r="Q200" s="7">
        <v>26</v>
      </c>
      <c r="R200" s="68"/>
      <c r="S200" s="344">
        <v>46082</v>
      </c>
      <c r="T200" s="318">
        <v>0</v>
      </c>
      <c r="U200" s="316"/>
      <c r="V200" s="199">
        <v>45566</v>
      </c>
      <c r="W200" s="309">
        <v>1</v>
      </c>
      <c r="X200" s="309">
        <v>1</v>
      </c>
      <c r="Y200" s="309">
        <v>1</v>
      </c>
      <c r="Z200" s="429">
        <v>2</v>
      </c>
      <c r="AA200" s="184">
        <f t="shared" si="25"/>
        <v>5</v>
      </c>
      <c r="AB200" s="185">
        <f t="shared" si="26"/>
        <v>1.25</v>
      </c>
      <c r="AC200" s="185">
        <f t="shared" si="27"/>
        <v>5</v>
      </c>
      <c r="AD200" s="185">
        <f t="shared" si="28"/>
        <v>10</v>
      </c>
    </row>
    <row r="201" spans="1:30" x14ac:dyDescent="0.25">
      <c r="A201" s="315">
        <f t="shared" si="29"/>
        <v>200</v>
      </c>
      <c r="B201" s="314" t="s">
        <v>884</v>
      </c>
      <c r="C201" s="340">
        <v>58</v>
      </c>
      <c r="D201" s="360"/>
      <c r="E201" s="480"/>
      <c r="F201" s="360"/>
      <c r="G201" s="480"/>
      <c r="H201" s="360"/>
      <c r="I201" s="480"/>
      <c r="J201" s="360"/>
      <c r="K201" s="480"/>
      <c r="L201" s="360"/>
      <c r="M201" s="480"/>
      <c r="N201" s="562"/>
      <c r="O201" s="340">
        <f t="shared" si="24"/>
        <v>58</v>
      </c>
      <c r="P201" s="438">
        <f t="shared" si="30"/>
        <v>42</v>
      </c>
      <c r="Q201" s="7">
        <v>1.5</v>
      </c>
      <c r="R201" s="464"/>
      <c r="S201" s="344">
        <v>46054</v>
      </c>
      <c r="T201" s="318">
        <v>0</v>
      </c>
      <c r="U201" s="316"/>
      <c r="V201" s="344">
        <v>45689</v>
      </c>
      <c r="W201" s="309">
        <v>10</v>
      </c>
      <c r="X201" s="309">
        <v>10</v>
      </c>
      <c r="Y201" s="309">
        <v>10</v>
      </c>
      <c r="Z201" s="309">
        <v>20</v>
      </c>
      <c r="AA201" s="184">
        <f t="shared" si="25"/>
        <v>50</v>
      </c>
      <c r="AB201" s="185">
        <f t="shared" si="26"/>
        <v>12.5</v>
      </c>
      <c r="AC201" s="185">
        <f t="shared" si="27"/>
        <v>50</v>
      </c>
      <c r="AD201" s="185">
        <f t="shared" si="28"/>
        <v>100</v>
      </c>
    </row>
    <row r="202" spans="1:30" x14ac:dyDescent="0.25">
      <c r="A202" s="315">
        <f t="shared" si="29"/>
        <v>201</v>
      </c>
      <c r="B202" s="314" t="s">
        <v>1141</v>
      </c>
      <c r="C202" s="340">
        <v>20</v>
      </c>
      <c r="D202" s="359"/>
      <c r="E202" s="478"/>
      <c r="F202" s="359"/>
      <c r="G202" s="478"/>
      <c r="H202" s="359"/>
      <c r="I202" s="478"/>
      <c r="J202" s="359"/>
      <c r="K202" s="478"/>
      <c r="L202" s="359"/>
      <c r="M202" s="478"/>
      <c r="N202" s="561"/>
      <c r="O202" s="340">
        <f t="shared" si="24"/>
        <v>20</v>
      </c>
      <c r="P202" s="438">
        <f t="shared" si="30"/>
        <v>30</v>
      </c>
      <c r="Q202" s="7">
        <v>2.2999999999999998</v>
      </c>
      <c r="R202" s="106"/>
      <c r="S202" s="344">
        <v>46082</v>
      </c>
      <c r="T202" s="318">
        <v>1</v>
      </c>
      <c r="U202" s="316"/>
      <c r="V202" s="344">
        <v>45597</v>
      </c>
      <c r="W202" s="309">
        <v>13</v>
      </c>
      <c r="X202" s="309">
        <v>3</v>
      </c>
      <c r="Y202" s="309">
        <v>7</v>
      </c>
      <c r="Z202" s="429">
        <v>2</v>
      </c>
      <c r="AA202" s="184">
        <f t="shared" si="25"/>
        <v>25</v>
      </c>
      <c r="AB202" s="185">
        <f t="shared" si="26"/>
        <v>6.25</v>
      </c>
      <c r="AC202" s="185">
        <f t="shared" si="27"/>
        <v>25</v>
      </c>
      <c r="AD202" s="185">
        <f t="shared" si="28"/>
        <v>50</v>
      </c>
    </row>
    <row r="203" spans="1:30" x14ac:dyDescent="0.25">
      <c r="A203" s="315">
        <f t="shared" si="29"/>
        <v>202</v>
      </c>
      <c r="B203" s="59"/>
      <c r="C203" s="8"/>
      <c r="D203" s="359"/>
      <c r="E203" s="478"/>
      <c r="F203" s="359"/>
      <c r="G203" s="478"/>
      <c r="H203" s="359"/>
      <c r="I203" s="478"/>
      <c r="J203" s="359"/>
      <c r="K203" s="478"/>
      <c r="L203" s="362"/>
      <c r="M203" s="499"/>
      <c r="N203" s="576"/>
      <c r="O203" s="340">
        <f>SUM(C203-D203-E203-F203-G203-H203-I203-J203-K203-L203-M203-N203)</f>
        <v>0</v>
      </c>
      <c r="P203" s="340">
        <f>AD203-O203</f>
        <v>0</v>
      </c>
      <c r="Q203" s="10"/>
      <c r="R203" s="73"/>
      <c r="AA203" s="184">
        <f>W203+X203+Y203+Z203</f>
        <v>0</v>
      </c>
      <c r="AB203" s="185">
        <f>AA203/4</f>
        <v>0</v>
      </c>
      <c r="AC203" s="185">
        <f>AB203*4</f>
        <v>0</v>
      </c>
      <c r="AD203" s="185">
        <f>AC203*2</f>
        <v>0</v>
      </c>
    </row>
    <row r="204" spans="1:30" x14ac:dyDescent="0.25">
      <c r="A204" s="315">
        <f t="shared" si="29"/>
        <v>203</v>
      </c>
      <c r="B204" s="59"/>
      <c r="C204" s="8"/>
      <c r="D204" s="359"/>
      <c r="E204" s="478"/>
      <c r="F204" s="362"/>
      <c r="G204" s="499"/>
      <c r="H204" s="362"/>
      <c r="I204" s="499"/>
      <c r="J204" s="362"/>
      <c r="K204" s="499"/>
      <c r="L204" s="362"/>
      <c r="M204" s="499"/>
      <c r="N204" s="576"/>
      <c r="O204" s="340">
        <f>SUM(C204-D204-E204-F204-G204-H204-I204-J204-K204-L204-M204-N204)</f>
        <v>0</v>
      </c>
      <c r="P204" s="340">
        <f>AD204-O204</f>
        <v>0</v>
      </c>
      <c r="Q204" s="10"/>
      <c r="R204" s="73"/>
      <c r="AA204" s="184">
        <f>W204+X204+Y204+Z204</f>
        <v>0</v>
      </c>
      <c r="AB204" s="185">
        <f>AA204/4</f>
        <v>0</v>
      </c>
      <c r="AC204" s="185">
        <f>AB204*4</f>
        <v>0</v>
      </c>
      <c r="AD204" s="185">
        <f>AC204*2</f>
        <v>0</v>
      </c>
    </row>
    <row r="205" spans="1:30" x14ac:dyDescent="0.25">
      <c r="A205" s="315">
        <f t="shared" si="29"/>
        <v>204</v>
      </c>
      <c r="B205" s="59"/>
      <c r="C205" s="8"/>
      <c r="D205" s="359"/>
      <c r="E205" s="478"/>
      <c r="F205" s="359"/>
      <c r="G205" s="478"/>
      <c r="H205" s="359"/>
      <c r="I205" s="478"/>
      <c r="J205" s="359"/>
      <c r="K205" s="478"/>
      <c r="L205" s="362"/>
      <c r="M205" s="499"/>
      <c r="N205" s="576"/>
      <c r="O205" s="340">
        <f>SUM(C205-D205-E205-F205-G205-H205-I205-J205-K205-L205-M205-N205)</f>
        <v>0</v>
      </c>
      <c r="P205" s="340">
        <f>AD205-O205</f>
        <v>0</v>
      </c>
      <c r="Q205" s="10"/>
      <c r="R205" s="73"/>
      <c r="AA205" s="184">
        <f>W205+X205+Y205+Z205</f>
        <v>0</v>
      </c>
      <c r="AB205" s="185">
        <f>AA205/4</f>
        <v>0</v>
      </c>
      <c r="AC205" s="185">
        <f>AB205*4</f>
        <v>0</v>
      </c>
      <c r="AD205" s="185">
        <f>AC205*2</f>
        <v>0</v>
      </c>
    </row>
    <row r="206" spans="1:30" x14ac:dyDescent="0.25">
      <c r="A206" s="315">
        <f t="shared" si="29"/>
        <v>205</v>
      </c>
      <c r="B206" s="59"/>
      <c r="C206" s="9"/>
      <c r="D206" s="369"/>
      <c r="E206" s="481"/>
      <c r="F206" s="369"/>
      <c r="G206" s="481"/>
      <c r="H206" s="369"/>
      <c r="I206" s="481"/>
      <c r="J206" s="369"/>
      <c r="K206" s="481"/>
      <c r="L206" s="365"/>
      <c r="M206" s="500"/>
      <c r="N206" s="577"/>
      <c r="O206" s="340">
        <f>SUM(C206-D206-E206-F206-G206-H206-I206-J206-K206-L206-M206-N206)</f>
        <v>0</v>
      </c>
      <c r="P206" s="340">
        <f>AD206-O206</f>
        <v>0</v>
      </c>
      <c r="Q206" s="10"/>
      <c r="R206" s="73"/>
      <c r="AA206" s="184">
        <f>W206+X206+Y206+Z206</f>
        <v>0</v>
      </c>
      <c r="AB206" s="185">
        <f>AA206/4</f>
        <v>0</v>
      </c>
      <c r="AC206" s="185">
        <f>AB206*4</f>
        <v>0</v>
      </c>
      <c r="AD206" s="185">
        <f>AC206*2</f>
        <v>0</v>
      </c>
    </row>
    <row r="207" spans="1:30" x14ac:dyDescent="0.25">
      <c r="A207" s="315">
        <f t="shared" si="29"/>
        <v>206</v>
      </c>
      <c r="B207" s="59"/>
      <c r="C207" s="9"/>
      <c r="D207" s="359"/>
      <c r="E207" s="478"/>
      <c r="F207" s="359"/>
      <c r="G207" s="478"/>
      <c r="H207" s="359"/>
      <c r="I207" s="478"/>
      <c r="J207" s="359"/>
      <c r="K207" s="478"/>
      <c r="L207" s="365"/>
      <c r="M207" s="500"/>
      <c r="N207" s="577"/>
      <c r="O207" s="340">
        <f>SUM(C207-D207-E207-F207-G207-H207-I207-J207-K207-L207-M207-N207)</f>
        <v>0</v>
      </c>
      <c r="P207" s="340">
        <f>AD207-O207</f>
        <v>0</v>
      </c>
      <c r="Q207" s="10"/>
      <c r="R207" s="73"/>
      <c r="AA207" s="184">
        <f>W207+X207+Y207+Z207</f>
        <v>0</v>
      </c>
      <c r="AB207" s="185">
        <f>AA207/4</f>
        <v>0</v>
      </c>
      <c r="AC207" s="185">
        <f>AB207*4</f>
        <v>0</v>
      </c>
      <c r="AD207" s="185">
        <f>AC207*2</f>
        <v>0</v>
      </c>
    </row>
    <row r="208" spans="1:30" x14ac:dyDescent="0.25">
      <c r="A208" s="315">
        <f t="shared" si="29"/>
        <v>207</v>
      </c>
      <c r="B208" s="59"/>
      <c r="C208" s="8"/>
      <c r="D208" s="359"/>
      <c r="E208" s="478"/>
      <c r="F208" s="359"/>
      <c r="G208" s="478"/>
      <c r="H208" s="359"/>
      <c r="I208" s="478"/>
      <c r="J208" s="359"/>
      <c r="K208" s="478"/>
      <c r="L208" s="365"/>
      <c r="M208" s="500"/>
      <c r="N208" s="577"/>
      <c r="O208" s="8"/>
      <c r="P208" s="338"/>
      <c r="Q208" s="10"/>
      <c r="R208" s="73"/>
    </row>
    <row r="209" spans="1:18" x14ac:dyDescent="0.25">
      <c r="A209" s="315">
        <f t="shared" si="29"/>
        <v>208</v>
      </c>
      <c r="B209" s="59"/>
      <c r="C209" s="8"/>
      <c r="D209" s="359"/>
      <c r="E209" s="478"/>
      <c r="F209" s="359"/>
      <c r="G209" s="478"/>
      <c r="H209" s="359"/>
      <c r="I209" s="478"/>
      <c r="J209" s="359"/>
      <c r="K209" s="478"/>
      <c r="L209" s="362"/>
      <c r="M209" s="499"/>
      <c r="N209" s="576"/>
      <c r="O209" s="8"/>
      <c r="P209" s="338"/>
      <c r="Q209" s="10"/>
      <c r="R209" s="73"/>
    </row>
    <row r="210" spans="1:18" x14ac:dyDescent="0.25">
      <c r="A210" s="315">
        <f t="shared" si="29"/>
        <v>209</v>
      </c>
      <c r="B210" s="59"/>
      <c r="C210" s="9"/>
      <c r="D210" s="359"/>
      <c r="E210" s="478"/>
      <c r="F210" s="362"/>
      <c r="G210" s="499"/>
      <c r="H210" s="362"/>
      <c r="I210" s="499"/>
      <c r="J210" s="362"/>
      <c r="K210" s="499"/>
      <c r="L210" s="365"/>
      <c r="M210" s="500"/>
      <c r="N210" s="577"/>
      <c r="O210" s="8"/>
      <c r="P210" s="338"/>
      <c r="R210" s="73"/>
    </row>
    <row r="211" spans="1:18" x14ac:dyDescent="0.25">
      <c r="A211" s="315">
        <f t="shared" si="29"/>
        <v>210</v>
      </c>
      <c r="B211" s="59"/>
      <c r="C211" s="9"/>
      <c r="D211" s="359"/>
      <c r="E211" s="478"/>
      <c r="F211" s="362"/>
      <c r="G211" s="499"/>
      <c r="H211" s="362"/>
      <c r="I211" s="499"/>
      <c r="J211" s="362"/>
      <c r="K211" s="499"/>
      <c r="L211" s="365"/>
      <c r="M211" s="500"/>
      <c r="N211" s="577"/>
      <c r="O211" s="8"/>
      <c r="P211" s="338"/>
      <c r="R211" s="72"/>
    </row>
    <row r="212" spans="1:18" x14ac:dyDescent="0.25">
      <c r="A212" s="315">
        <f t="shared" si="29"/>
        <v>211</v>
      </c>
      <c r="B212" s="59"/>
      <c r="C212" s="9"/>
      <c r="D212" s="359"/>
      <c r="E212" s="478"/>
      <c r="F212" s="359"/>
      <c r="G212" s="478"/>
      <c r="H212" s="359"/>
      <c r="I212" s="478"/>
      <c r="J212" s="359"/>
      <c r="K212" s="478"/>
      <c r="L212" s="365"/>
      <c r="M212" s="500"/>
      <c r="N212" s="577"/>
      <c r="O212" s="8"/>
      <c r="P212" s="338"/>
      <c r="R212" s="73"/>
    </row>
    <row r="213" spans="1:18" x14ac:dyDescent="0.25">
      <c r="A213" s="315">
        <f t="shared" si="29"/>
        <v>212</v>
      </c>
      <c r="B213" s="59"/>
      <c r="C213" s="9"/>
      <c r="D213" s="359"/>
      <c r="E213" s="478"/>
      <c r="F213" s="359"/>
      <c r="G213" s="478"/>
      <c r="H213" s="359"/>
      <c r="I213" s="478"/>
      <c r="J213" s="359"/>
      <c r="K213" s="478"/>
      <c r="L213" s="365"/>
      <c r="M213" s="500"/>
      <c r="N213" s="577"/>
      <c r="O213" s="8"/>
      <c r="P213" s="338"/>
      <c r="R213" s="73"/>
    </row>
    <row r="214" spans="1:18" x14ac:dyDescent="0.25">
      <c r="A214" s="315">
        <f t="shared" si="29"/>
        <v>213</v>
      </c>
      <c r="B214" s="59"/>
      <c r="C214" s="9"/>
      <c r="D214" s="359"/>
      <c r="E214" s="478"/>
      <c r="F214" s="359"/>
      <c r="G214" s="478"/>
      <c r="H214" s="359"/>
      <c r="I214" s="478"/>
      <c r="J214" s="359"/>
      <c r="K214" s="478"/>
      <c r="L214" s="362"/>
      <c r="M214" s="499"/>
      <c r="N214" s="576"/>
      <c r="O214" s="8"/>
      <c r="P214" s="338"/>
      <c r="Q214" s="10"/>
      <c r="R214" s="73"/>
    </row>
    <row r="215" spans="1:18" x14ac:dyDescent="0.25">
      <c r="A215" s="105">
        <f t="shared" ref="A215:A275" si="31">A214+1</f>
        <v>214</v>
      </c>
      <c r="B215" s="59"/>
      <c r="C215" s="8"/>
      <c r="D215" s="359"/>
      <c r="E215" s="478"/>
      <c r="F215" s="359"/>
      <c r="G215" s="478"/>
      <c r="H215" s="359"/>
      <c r="I215" s="478"/>
      <c r="J215" s="359"/>
      <c r="K215" s="478"/>
      <c r="L215" s="365"/>
      <c r="M215" s="500"/>
      <c r="N215" s="577"/>
      <c r="O215" s="8"/>
      <c r="P215" s="338"/>
      <c r="Q215" s="10"/>
      <c r="R215" s="73"/>
    </row>
    <row r="216" spans="1:18" x14ac:dyDescent="0.25">
      <c r="A216" s="105">
        <f t="shared" si="31"/>
        <v>215</v>
      </c>
      <c r="B216" s="59"/>
      <c r="C216" s="9"/>
      <c r="D216" s="359"/>
      <c r="E216" s="478"/>
      <c r="F216" s="359"/>
      <c r="G216" s="478"/>
      <c r="H216" s="359"/>
      <c r="I216" s="478"/>
      <c r="J216" s="359"/>
      <c r="K216" s="478"/>
      <c r="L216" s="362"/>
      <c r="M216" s="499"/>
      <c r="N216" s="576"/>
      <c r="O216" s="8"/>
      <c r="P216" s="338"/>
      <c r="Q216" s="10"/>
      <c r="R216" s="73"/>
    </row>
    <row r="217" spans="1:18" x14ac:dyDescent="0.25">
      <c r="A217" s="105">
        <f t="shared" si="31"/>
        <v>216</v>
      </c>
      <c r="B217" s="59"/>
      <c r="C217" s="9"/>
      <c r="D217" s="359"/>
      <c r="E217" s="478"/>
      <c r="F217" s="359"/>
      <c r="G217" s="478"/>
      <c r="H217" s="359"/>
      <c r="I217" s="478"/>
      <c r="J217" s="359"/>
      <c r="K217" s="478"/>
      <c r="L217" s="365"/>
      <c r="M217" s="500"/>
      <c r="N217" s="577"/>
      <c r="O217" s="8"/>
      <c r="P217" s="338"/>
      <c r="Q217" s="10"/>
      <c r="R217" s="73"/>
    </row>
    <row r="218" spans="1:18" x14ac:dyDescent="0.25">
      <c r="A218" s="105">
        <f t="shared" si="31"/>
        <v>217</v>
      </c>
      <c r="B218" s="59"/>
      <c r="C218" s="9"/>
      <c r="D218" s="369"/>
      <c r="E218" s="481"/>
      <c r="F218" s="369"/>
      <c r="G218" s="481"/>
      <c r="H218" s="369"/>
      <c r="I218" s="481"/>
      <c r="J218" s="369"/>
      <c r="K218" s="481"/>
      <c r="L218" s="365"/>
      <c r="M218" s="500"/>
      <c r="N218" s="577"/>
      <c r="O218" s="8"/>
      <c r="P218" s="338"/>
      <c r="Q218" s="10"/>
      <c r="R218" s="73"/>
    </row>
    <row r="219" spans="1:18" x14ac:dyDescent="0.25">
      <c r="A219" s="105">
        <f t="shared" si="31"/>
        <v>218</v>
      </c>
      <c r="B219" s="59"/>
      <c r="C219" s="9"/>
      <c r="D219" s="359"/>
      <c r="E219" s="478"/>
      <c r="F219" s="359"/>
      <c r="G219" s="478"/>
      <c r="H219" s="359"/>
      <c r="I219" s="478"/>
      <c r="J219" s="359"/>
      <c r="K219" s="478"/>
      <c r="L219" s="365"/>
      <c r="M219" s="500"/>
      <c r="N219" s="577"/>
      <c r="O219" s="8"/>
      <c r="P219" s="338"/>
      <c r="Q219" s="10"/>
      <c r="R219" s="73"/>
    </row>
    <row r="220" spans="1:18" x14ac:dyDescent="0.25">
      <c r="A220" s="105">
        <f t="shared" si="31"/>
        <v>219</v>
      </c>
      <c r="B220" s="59"/>
      <c r="C220" s="9"/>
      <c r="D220" s="359"/>
      <c r="E220" s="478"/>
      <c r="F220" s="359"/>
      <c r="G220" s="478"/>
      <c r="H220" s="359"/>
      <c r="I220" s="478"/>
      <c r="J220" s="359"/>
      <c r="K220" s="478"/>
      <c r="L220" s="365"/>
      <c r="M220" s="500"/>
      <c r="N220" s="577"/>
      <c r="O220" s="8"/>
      <c r="P220" s="338"/>
      <c r="Q220" s="10"/>
      <c r="R220" s="73"/>
    </row>
    <row r="221" spans="1:18" x14ac:dyDescent="0.25">
      <c r="A221" s="105">
        <f t="shared" si="31"/>
        <v>220</v>
      </c>
      <c r="B221" s="59"/>
      <c r="C221" s="9"/>
      <c r="D221" s="359"/>
      <c r="E221" s="498"/>
      <c r="F221" s="374"/>
      <c r="G221" s="498"/>
      <c r="H221" s="359"/>
      <c r="I221" s="478"/>
      <c r="J221" s="359"/>
      <c r="K221" s="478"/>
      <c r="L221" s="365"/>
      <c r="M221" s="500"/>
      <c r="N221" s="577"/>
      <c r="O221" s="8"/>
      <c r="P221" s="338"/>
      <c r="Q221" s="10"/>
      <c r="R221" s="73"/>
    </row>
    <row r="222" spans="1:18" x14ac:dyDescent="0.25">
      <c r="A222" s="105">
        <f t="shared" si="31"/>
        <v>221</v>
      </c>
      <c r="B222" s="59"/>
      <c r="C222" s="9"/>
      <c r="D222" s="359"/>
      <c r="E222" s="478"/>
      <c r="F222" s="359"/>
      <c r="G222" s="478"/>
      <c r="H222" s="359"/>
      <c r="I222" s="478"/>
      <c r="J222" s="359"/>
      <c r="K222" s="478"/>
      <c r="L222" s="362"/>
      <c r="M222" s="499"/>
      <c r="N222" s="576"/>
      <c r="O222" s="8"/>
      <c r="P222" s="338"/>
      <c r="Q222" s="10"/>
      <c r="R222" s="73"/>
    </row>
    <row r="223" spans="1:18" x14ac:dyDescent="0.25">
      <c r="A223" s="105">
        <f t="shared" si="31"/>
        <v>222</v>
      </c>
      <c r="B223" s="59"/>
      <c r="C223" s="9"/>
      <c r="D223" s="359"/>
      <c r="E223" s="478"/>
      <c r="F223" s="359"/>
      <c r="G223" s="478"/>
      <c r="H223" s="359"/>
      <c r="I223" s="478"/>
      <c r="J223" s="359"/>
      <c r="K223" s="478"/>
      <c r="L223" s="365"/>
      <c r="M223" s="500"/>
      <c r="N223" s="577"/>
      <c r="O223" s="8"/>
      <c r="P223" s="338"/>
      <c r="Q223" s="10"/>
      <c r="R223" s="73"/>
    </row>
    <row r="224" spans="1:18" x14ac:dyDescent="0.25">
      <c r="A224" s="105">
        <f t="shared" si="31"/>
        <v>223</v>
      </c>
      <c r="B224" s="59"/>
      <c r="C224" s="9"/>
      <c r="D224" s="359"/>
      <c r="E224" s="478"/>
      <c r="F224" s="359"/>
      <c r="G224" s="478"/>
      <c r="H224" s="359"/>
      <c r="I224" s="478"/>
      <c r="J224" s="359"/>
      <c r="K224" s="478"/>
      <c r="L224" s="365"/>
      <c r="M224" s="500"/>
      <c r="N224" s="577"/>
      <c r="O224" s="8"/>
      <c r="P224" s="338"/>
      <c r="Q224" s="10"/>
      <c r="R224" s="73"/>
    </row>
    <row r="225" spans="1:18" x14ac:dyDescent="0.25">
      <c r="A225" s="105">
        <f t="shared" si="31"/>
        <v>224</v>
      </c>
      <c r="B225" s="59"/>
      <c r="C225" s="9"/>
      <c r="D225" s="359"/>
      <c r="E225" s="478"/>
      <c r="F225" s="359"/>
      <c r="G225" s="478"/>
      <c r="H225" s="359"/>
      <c r="I225" s="478"/>
      <c r="J225" s="359"/>
      <c r="K225" s="478"/>
      <c r="L225" s="365"/>
      <c r="M225" s="500"/>
      <c r="N225" s="577"/>
      <c r="O225" s="8"/>
      <c r="P225" s="338"/>
      <c r="Q225" s="10"/>
      <c r="R225" s="73"/>
    </row>
    <row r="226" spans="1:18" x14ac:dyDescent="0.25">
      <c r="A226" s="105">
        <f t="shared" si="31"/>
        <v>225</v>
      </c>
      <c r="B226" s="59"/>
      <c r="C226" s="8"/>
      <c r="D226" s="359"/>
      <c r="E226" s="478"/>
      <c r="F226" s="359"/>
      <c r="G226" s="478"/>
      <c r="H226" s="359"/>
      <c r="I226" s="478"/>
      <c r="J226" s="359"/>
      <c r="K226" s="478"/>
      <c r="L226" s="365"/>
      <c r="M226" s="500"/>
      <c r="N226" s="577"/>
      <c r="O226" s="8"/>
      <c r="P226" s="338"/>
      <c r="Q226" s="10"/>
      <c r="R226" s="73"/>
    </row>
    <row r="227" spans="1:18" x14ac:dyDescent="0.25">
      <c r="A227" s="105">
        <f t="shared" si="31"/>
        <v>226</v>
      </c>
      <c r="B227" s="59"/>
      <c r="C227" s="8"/>
      <c r="D227" s="359"/>
      <c r="E227" s="478"/>
      <c r="F227" s="359"/>
      <c r="G227" s="478"/>
      <c r="H227" s="359"/>
      <c r="I227" s="478"/>
      <c r="J227" s="359"/>
      <c r="K227" s="478"/>
      <c r="L227" s="362"/>
      <c r="M227" s="499"/>
      <c r="N227" s="576"/>
      <c r="O227" s="8"/>
      <c r="P227" s="338"/>
      <c r="Q227" s="10"/>
      <c r="R227" s="73"/>
    </row>
    <row r="228" spans="1:18" x14ac:dyDescent="0.25">
      <c r="A228" s="105">
        <f t="shared" si="31"/>
        <v>227</v>
      </c>
      <c r="B228" s="59"/>
      <c r="C228" s="8"/>
      <c r="D228" s="359"/>
      <c r="E228" s="478"/>
      <c r="F228" s="359"/>
      <c r="G228" s="478"/>
      <c r="H228" s="359"/>
      <c r="I228" s="478"/>
      <c r="J228" s="359"/>
      <c r="K228" s="478"/>
      <c r="L228" s="365"/>
      <c r="M228" s="500"/>
      <c r="N228" s="577"/>
      <c r="O228" s="8"/>
      <c r="P228" s="338"/>
      <c r="Q228" s="10"/>
      <c r="R228" s="73"/>
    </row>
    <row r="229" spans="1:18" x14ac:dyDescent="0.25">
      <c r="A229" s="105">
        <f t="shared" si="31"/>
        <v>228</v>
      </c>
      <c r="B229" s="59"/>
      <c r="C229" s="9"/>
      <c r="D229" s="359"/>
      <c r="E229" s="478"/>
      <c r="F229" s="359"/>
      <c r="G229" s="478"/>
      <c r="H229" s="359"/>
      <c r="I229" s="478"/>
      <c r="J229" s="359"/>
      <c r="K229" s="478"/>
      <c r="L229" s="365"/>
      <c r="M229" s="500"/>
      <c r="N229" s="577"/>
      <c r="O229" s="8"/>
      <c r="P229" s="338"/>
      <c r="Q229" s="10"/>
      <c r="R229" s="73"/>
    </row>
    <row r="230" spans="1:18" x14ac:dyDescent="0.25">
      <c r="A230" s="105">
        <f t="shared" si="31"/>
        <v>229</v>
      </c>
      <c r="B230" s="59"/>
      <c r="C230" s="9"/>
      <c r="D230" s="359"/>
      <c r="E230" s="478"/>
      <c r="F230" s="359"/>
      <c r="G230" s="478"/>
      <c r="H230" s="359"/>
      <c r="I230" s="478"/>
      <c r="J230" s="359"/>
      <c r="K230" s="478"/>
      <c r="L230" s="362"/>
      <c r="M230" s="499"/>
      <c r="N230" s="576"/>
      <c r="O230" s="8"/>
      <c r="P230" s="338"/>
      <c r="Q230" s="10"/>
      <c r="R230" s="73"/>
    </row>
    <row r="231" spans="1:18" x14ac:dyDescent="0.25">
      <c r="A231" s="105">
        <f t="shared" si="31"/>
        <v>230</v>
      </c>
      <c r="B231" s="59"/>
      <c r="C231" s="8"/>
      <c r="D231" s="359"/>
      <c r="E231" s="478"/>
      <c r="F231" s="362"/>
      <c r="G231" s="499"/>
      <c r="H231" s="362"/>
      <c r="I231" s="499"/>
      <c r="J231" s="362"/>
      <c r="K231" s="499"/>
      <c r="L231" s="365"/>
      <c r="M231" s="500"/>
      <c r="N231" s="577"/>
      <c r="O231" s="8"/>
      <c r="P231" s="338"/>
      <c r="Q231" s="10"/>
      <c r="R231" s="73"/>
    </row>
    <row r="232" spans="1:18" x14ac:dyDescent="0.25">
      <c r="A232" s="105">
        <f t="shared" si="31"/>
        <v>231</v>
      </c>
      <c r="B232" s="59"/>
      <c r="C232" s="9"/>
      <c r="D232" s="359"/>
      <c r="E232" s="478"/>
      <c r="F232" s="359"/>
      <c r="G232" s="478"/>
      <c r="H232" s="359"/>
      <c r="I232" s="478"/>
      <c r="J232" s="359"/>
      <c r="K232" s="478"/>
      <c r="L232" s="365"/>
      <c r="M232" s="500"/>
      <c r="N232" s="577"/>
      <c r="O232" s="8"/>
      <c r="P232" s="338"/>
      <c r="Q232" s="10"/>
      <c r="R232" s="73"/>
    </row>
    <row r="233" spans="1:18" x14ac:dyDescent="0.25">
      <c r="A233" s="105">
        <f t="shared" si="31"/>
        <v>232</v>
      </c>
      <c r="B233" s="59"/>
      <c r="C233" s="9"/>
      <c r="D233" s="370"/>
      <c r="E233" s="489"/>
      <c r="F233" s="373"/>
      <c r="G233" s="493"/>
      <c r="H233" s="359"/>
      <c r="I233" s="478"/>
      <c r="J233" s="373"/>
      <c r="K233" s="493"/>
      <c r="L233" s="362"/>
      <c r="M233" s="499"/>
      <c r="N233" s="576"/>
      <c r="O233" s="8"/>
      <c r="P233" s="338"/>
      <c r="Q233" s="10"/>
      <c r="R233" s="73"/>
    </row>
    <row r="234" spans="1:18" x14ac:dyDescent="0.25">
      <c r="A234" s="105">
        <f t="shared" si="31"/>
        <v>233</v>
      </c>
      <c r="B234" s="59"/>
      <c r="C234" s="9"/>
      <c r="D234" s="369"/>
      <c r="E234" s="481"/>
      <c r="F234" s="369"/>
      <c r="G234" s="481"/>
      <c r="H234" s="369"/>
      <c r="I234" s="481"/>
      <c r="J234" s="369"/>
      <c r="K234" s="481"/>
      <c r="L234" s="365"/>
      <c r="M234" s="500"/>
      <c r="N234" s="577"/>
      <c r="O234" s="8"/>
      <c r="P234" s="338"/>
      <c r="Q234" s="10"/>
      <c r="R234" s="73"/>
    </row>
    <row r="235" spans="1:18" x14ac:dyDescent="0.25">
      <c r="A235" s="105">
        <f t="shared" si="31"/>
        <v>234</v>
      </c>
      <c r="B235" s="59"/>
      <c r="C235" s="9"/>
      <c r="D235" s="359"/>
      <c r="E235" s="478"/>
      <c r="F235" s="359"/>
      <c r="G235" s="478"/>
      <c r="H235" s="359"/>
      <c r="I235" s="478"/>
      <c r="J235" s="359"/>
      <c r="K235" s="478"/>
      <c r="L235" s="365"/>
      <c r="M235" s="500"/>
      <c r="N235" s="577"/>
      <c r="O235" s="8"/>
      <c r="P235" s="338"/>
      <c r="Q235" s="10"/>
      <c r="R235" s="73"/>
    </row>
    <row r="236" spans="1:18" x14ac:dyDescent="0.25">
      <c r="A236" s="105">
        <f t="shared" si="31"/>
        <v>235</v>
      </c>
      <c r="B236" s="59"/>
      <c r="C236" s="9"/>
      <c r="D236" s="359"/>
      <c r="E236" s="478"/>
      <c r="F236" s="359"/>
      <c r="G236" s="478"/>
      <c r="H236" s="359"/>
      <c r="I236" s="478"/>
      <c r="J236" s="359"/>
      <c r="K236" s="478"/>
      <c r="L236" s="365"/>
      <c r="M236" s="500"/>
      <c r="N236" s="577"/>
      <c r="O236" s="8"/>
      <c r="P236" s="338"/>
      <c r="Q236" s="10"/>
      <c r="R236" s="73"/>
    </row>
    <row r="237" spans="1:18" x14ac:dyDescent="0.25">
      <c r="A237" s="105">
        <f t="shared" si="31"/>
        <v>236</v>
      </c>
      <c r="B237" s="59"/>
      <c r="C237" s="8"/>
      <c r="D237" s="359"/>
      <c r="E237" s="478"/>
      <c r="F237" s="359"/>
      <c r="G237" s="478"/>
      <c r="H237" s="359"/>
      <c r="I237" s="478"/>
      <c r="J237" s="359"/>
      <c r="K237" s="478"/>
      <c r="L237" s="365"/>
      <c r="M237" s="500"/>
      <c r="N237" s="577"/>
      <c r="O237" s="8"/>
      <c r="P237" s="338"/>
      <c r="Q237" s="10"/>
      <c r="R237" s="73"/>
    </row>
    <row r="238" spans="1:18" x14ac:dyDescent="0.25">
      <c r="A238" s="105">
        <f t="shared" si="31"/>
        <v>237</v>
      </c>
      <c r="B238" s="59"/>
      <c r="C238" s="9"/>
      <c r="D238" s="359"/>
      <c r="E238" s="478"/>
      <c r="F238" s="359"/>
      <c r="G238" s="478"/>
      <c r="H238" s="359"/>
      <c r="I238" s="478"/>
      <c r="J238" s="359"/>
      <c r="K238" s="478"/>
      <c r="L238" s="362"/>
      <c r="M238" s="499"/>
      <c r="N238" s="576"/>
      <c r="O238" s="8"/>
      <c r="P238" s="338"/>
      <c r="Q238" s="10"/>
      <c r="R238" s="73"/>
    </row>
    <row r="239" spans="1:18" x14ac:dyDescent="0.25">
      <c r="A239" s="105">
        <f t="shared" si="31"/>
        <v>238</v>
      </c>
      <c r="B239" s="59"/>
      <c r="C239" s="9"/>
      <c r="D239" s="359"/>
      <c r="E239" s="478"/>
      <c r="F239" s="359"/>
      <c r="G239" s="478"/>
      <c r="H239" s="359"/>
      <c r="I239" s="478"/>
      <c r="J239" s="359"/>
      <c r="K239" s="478"/>
      <c r="L239" s="365"/>
      <c r="M239" s="500"/>
      <c r="N239" s="577"/>
      <c r="O239" s="8"/>
      <c r="P239" s="338"/>
      <c r="Q239" s="10"/>
      <c r="R239" s="73"/>
    </row>
    <row r="240" spans="1:18" x14ac:dyDescent="0.25">
      <c r="A240" s="105">
        <f t="shared" si="31"/>
        <v>239</v>
      </c>
      <c r="B240" s="59"/>
      <c r="C240" s="9"/>
      <c r="D240" s="369"/>
      <c r="E240" s="481"/>
      <c r="F240" s="369"/>
      <c r="G240" s="481"/>
      <c r="H240" s="369"/>
      <c r="I240" s="481"/>
      <c r="J240" s="369"/>
      <c r="K240" s="481"/>
      <c r="L240" s="365"/>
      <c r="M240" s="500"/>
      <c r="N240" s="577"/>
      <c r="O240" s="8"/>
      <c r="P240" s="338"/>
      <c r="Q240" s="10"/>
      <c r="R240" s="73"/>
    </row>
    <row r="241" spans="1:18" x14ac:dyDescent="0.25">
      <c r="A241" s="105">
        <f t="shared" si="31"/>
        <v>240</v>
      </c>
      <c r="B241" s="59"/>
      <c r="C241" s="9"/>
      <c r="D241" s="359"/>
      <c r="E241" s="478"/>
      <c r="F241" s="359"/>
      <c r="G241" s="478"/>
      <c r="H241" s="359"/>
      <c r="I241" s="478"/>
      <c r="J241" s="359"/>
      <c r="K241" s="478"/>
      <c r="L241" s="365"/>
      <c r="M241" s="500"/>
      <c r="N241" s="577"/>
      <c r="O241" s="8"/>
      <c r="P241" s="338"/>
      <c r="Q241" s="10"/>
      <c r="R241" s="73"/>
    </row>
    <row r="242" spans="1:18" x14ac:dyDescent="0.25">
      <c r="A242" s="105">
        <f t="shared" si="31"/>
        <v>241</v>
      </c>
      <c r="B242" s="59"/>
      <c r="C242" s="9"/>
      <c r="D242" s="369"/>
      <c r="E242" s="481"/>
      <c r="F242" s="369"/>
      <c r="G242" s="481"/>
      <c r="H242" s="369"/>
      <c r="I242" s="481"/>
      <c r="J242" s="369"/>
      <c r="K242" s="481"/>
      <c r="L242" s="365"/>
      <c r="M242" s="500"/>
      <c r="N242" s="577"/>
      <c r="O242" s="8"/>
      <c r="P242" s="338"/>
      <c r="Q242" s="10"/>
      <c r="R242" s="73"/>
    </row>
    <row r="243" spans="1:18" x14ac:dyDescent="0.25">
      <c r="A243" s="105">
        <f t="shared" si="31"/>
        <v>242</v>
      </c>
      <c r="B243" s="59"/>
      <c r="C243" s="9"/>
      <c r="D243" s="369"/>
      <c r="E243" s="481"/>
      <c r="F243" s="369"/>
      <c r="G243" s="481"/>
      <c r="H243" s="369"/>
      <c r="I243" s="481"/>
      <c r="J243" s="369"/>
      <c r="K243" s="481"/>
      <c r="L243" s="362"/>
      <c r="M243" s="499"/>
      <c r="N243" s="576"/>
      <c r="O243" s="8"/>
      <c r="P243" s="338"/>
      <c r="Q243" s="10"/>
      <c r="R243" s="73"/>
    </row>
    <row r="244" spans="1:18" x14ac:dyDescent="0.25">
      <c r="A244" s="105">
        <f t="shared" si="31"/>
        <v>243</v>
      </c>
      <c r="B244" s="59"/>
      <c r="C244" s="9"/>
      <c r="D244" s="359"/>
      <c r="E244" s="478"/>
      <c r="F244" s="359"/>
      <c r="G244" s="478"/>
      <c r="H244" s="359"/>
      <c r="I244" s="478"/>
      <c r="J244" s="359"/>
      <c r="K244" s="478"/>
      <c r="L244" s="365"/>
      <c r="M244" s="500"/>
      <c r="N244" s="577"/>
      <c r="O244" s="8"/>
      <c r="P244" s="338"/>
      <c r="Q244" s="10"/>
      <c r="R244" s="73"/>
    </row>
    <row r="245" spans="1:18" x14ac:dyDescent="0.25">
      <c r="A245" s="105">
        <f t="shared" si="31"/>
        <v>244</v>
      </c>
      <c r="B245" s="59"/>
      <c r="C245" s="9"/>
      <c r="D245" s="359"/>
      <c r="E245" s="478"/>
      <c r="F245" s="359"/>
      <c r="G245" s="478"/>
      <c r="H245" s="359"/>
      <c r="I245" s="478"/>
      <c r="J245" s="359"/>
      <c r="K245" s="478"/>
      <c r="L245" s="365"/>
      <c r="M245" s="500"/>
      <c r="N245" s="577"/>
      <c r="O245" s="8"/>
      <c r="P245" s="338"/>
      <c r="Q245" s="10"/>
      <c r="R245" s="73"/>
    </row>
    <row r="246" spans="1:18" x14ac:dyDescent="0.25">
      <c r="A246" s="105">
        <f t="shared" si="31"/>
        <v>245</v>
      </c>
      <c r="B246" s="59"/>
      <c r="C246" s="9"/>
      <c r="D246" s="359"/>
      <c r="E246" s="478"/>
      <c r="F246" s="362"/>
      <c r="G246" s="499"/>
      <c r="H246" s="362"/>
      <c r="I246" s="499"/>
      <c r="J246" s="362"/>
      <c r="K246" s="499"/>
      <c r="L246" s="362"/>
      <c r="M246" s="499"/>
      <c r="N246" s="576"/>
      <c r="O246" s="8"/>
      <c r="P246" s="338"/>
      <c r="Q246" s="10"/>
      <c r="R246" s="73"/>
    </row>
    <row r="247" spans="1:18" x14ac:dyDescent="0.25">
      <c r="A247" s="105">
        <f t="shared" si="31"/>
        <v>246</v>
      </c>
      <c r="B247" s="59"/>
      <c r="C247" s="8"/>
      <c r="D247" s="369"/>
      <c r="E247" s="481"/>
      <c r="F247" s="369"/>
      <c r="G247" s="481"/>
      <c r="H247" s="369"/>
      <c r="I247" s="481"/>
      <c r="J247" s="369"/>
      <c r="K247" s="481"/>
      <c r="L247" s="365"/>
      <c r="M247" s="500"/>
      <c r="N247" s="577"/>
      <c r="O247" s="8"/>
      <c r="P247" s="338"/>
      <c r="Q247" s="10"/>
      <c r="R247" s="73"/>
    </row>
    <row r="248" spans="1:18" x14ac:dyDescent="0.25">
      <c r="A248" s="105">
        <f t="shared" si="31"/>
        <v>247</v>
      </c>
      <c r="B248" s="59"/>
      <c r="C248" s="9"/>
      <c r="D248" s="359"/>
      <c r="E248" s="478"/>
      <c r="F248" s="359"/>
      <c r="G248" s="478"/>
      <c r="H248" s="359"/>
      <c r="I248" s="478"/>
      <c r="J248" s="359"/>
      <c r="K248" s="478"/>
      <c r="L248" s="365"/>
      <c r="M248" s="500"/>
      <c r="N248" s="577"/>
      <c r="O248" s="8"/>
      <c r="P248" s="338"/>
      <c r="Q248" s="10"/>
      <c r="R248" s="73"/>
    </row>
    <row r="249" spans="1:18" x14ac:dyDescent="0.25">
      <c r="A249" s="105">
        <f t="shared" si="31"/>
        <v>248</v>
      </c>
      <c r="B249" s="59"/>
      <c r="C249" s="9"/>
      <c r="D249" s="359"/>
      <c r="E249" s="478"/>
      <c r="F249" s="362"/>
      <c r="G249" s="499"/>
      <c r="H249" s="362"/>
      <c r="I249" s="499"/>
      <c r="J249" s="362"/>
      <c r="K249" s="499"/>
      <c r="L249" s="362"/>
      <c r="M249" s="499"/>
      <c r="N249" s="576"/>
      <c r="O249" s="8"/>
      <c r="P249" s="338"/>
      <c r="Q249" s="10"/>
      <c r="R249" s="73"/>
    </row>
    <row r="250" spans="1:18" x14ac:dyDescent="0.25">
      <c r="A250" s="105">
        <f t="shared" si="31"/>
        <v>249</v>
      </c>
      <c r="B250" s="59"/>
      <c r="C250" s="8"/>
      <c r="D250" s="359"/>
      <c r="E250" s="478"/>
      <c r="F250" s="362"/>
      <c r="G250" s="499"/>
      <c r="H250" s="362"/>
      <c r="I250" s="499"/>
      <c r="J250" s="362"/>
      <c r="K250" s="499"/>
      <c r="L250" s="365"/>
      <c r="M250" s="500"/>
      <c r="N250" s="577"/>
      <c r="O250" s="8"/>
      <c r="P250" s="338"/>
      <c r="Q250" s="10"/>
      <c r="R250" s="72"/>
    </row>
    <row r="251" spans="1:18" x14ac:dyDescent="0.25">
      <c r="A251" s="105">
        <f t="shared" si="31"/>
        <v>250</v>
      </c>
      <c r="B251" s="59"/>
      <c r="C251" s="8"/>
      <c r="D251" s="359"/>
      <c r="E251" s="478"/>
      <c r="F251" s="359"/>
      <c r="G251" s="478"/>
      <c r="H251" s="359"/>
      <c r="I251" s="478"/>
      <c r="J251" s="359"/>
      <c r="K251" s="478"/>
      <c r="L251" s="365"/>
      <c r="M251" s="500"/>
      <c r="N251" s="577"/>
      <c r="O251" s="8"/>
      <c r="P251" s="338"/>
      <c r="Q251" s="10"/>
      <c r="R251" s="73"/>
    </row>
    <row r="252" spans="1:18" x14ac:dyDescent="0.25">
      <c r="A252" s="105">
        <f t="shared" si="31"/>
        <v>251</v>
      </c>
      <c r="B252" s="59"/>
      <c r="C252" s="9"/>
      <c r="D252" s="359"/>
      <c r="E252" s="478"/>
      <c r="F252" s="359"/>
      <c r="G252" s="478"/>
      <c r="H252" s="359"/>
      <c r="I252" s="478"/>
      <c r="J252" s="359"/>
      <c r="K252" s="478"/>
      <c r="L252" s="365"/>
      <c r="M252" s="500"/>
      <c r="N252" s="577"/>
      <c r="O252" s="8"/>
      <c r="P252" s="338"/>
      <c r="Q252" s="10"/>
      <c r="R252" s="73"/>
    </row>
    <row r="253" spans="1:18" x14ac:dyDescent="0.25">
      <c r="A253" s="105">
        <f t="shared" si="31"/>
        <v>252</v>
      </c>
      <c r="B253" s="59"/>
      <c r="C253" s="9"/>
      <c r="D253" s="359"/>
      <c r="E253" s="478"/>
      <c r="F253" s="359"/>
      <c r="G253" s="478"/>
      <c r="H253" s="359"/>
      <c r="I253" s="478"/>
      <c r="J253" s="359"/>
      <c r="K253" s="478"/>
      <c r="L253" s="365"/>
      <c r="M253" s="500"/>
      <c r="N253" s="577"/>
      <c r="O253" s="8"/>
      <c r="P253" s="338"/>
      <c r="Q253" s="10"/>
      <c r="R253" s="73"/>
    </row>
    <row r="254" spans="1:18" x14ac:dyDescent="0.25">
      <c r="A254" s="105">
        <f t="shared" si="31"/>
        <v>253</v>
      </c>
      <c r="B254" s="59"/>
      <c r="C254" s="9"/>
      <c r="D254" s="359"/>
      <c r="E254" s="478"/>
      <c r="F254" s="359"/>
      <c r="G254" s="478"/>
      <c r="H254" s="359"/>
      <c r="I254" s="478"/>
      <c r="J254" s="359"/>
      <c r="K254" s="478"/>
      <c r="L254" s="365"/>
      <c r="M254" s="500"/>
      <c r="N254" s="577"/>
      <c r="O254" s="8"/>
      <c r="P254" s="338"/>
      <c r="Q254" s="10"/>
      <c r="R254" s="73"/>
    </row>
    <row r="255" spans="1:18" x14ac:dyDescent="0.25">
      <c r="A255" s="105">
        <f t="shared" si="31"/>
        <v>254</v>
      </c>
      <c r="B255" s="59"/>
      <c r="C255" s="9"/>
      <c r="D255" s="359"/>
      <c r="E255" s="478"/>
      <c r="F255" s="359"/>
      <c r="G255" s="478"/>
      <c r="H255" s="359"/>
      <c r="I255" s="478"/>
      <c r="J255" s="359"/>
      <c r="K255" s="478"/>
      <c r="L255" s="365"/>
      <c r="M255" s="500"/>
      <c r="N255" s="577"/>
      <c r="O255" s="8"/>
      <c r="P255" s="338"/>
      <c r="Q255" s="10"/>
      <c r="R255" s="73"/>
    </row>
    <row r="256" spans="1:18" x14ac:dyDescent="0.25">
      <c r="A256" s="105">
        <f t="shared" si="31"/>
        <v>255</v>
      </c>
      <c r="B256" s="59"/>
      <c r="C256" s="8"/>
      <c r="D256" s="359"/>
      <c r="E256" s="478"/>
      <c r="F256" s="359"/>
      <c r="G256" s="478"/>
      <c r="H256" s="359"/>
      <c r="I256" s="478"/>
      <c r="J256" s="359"/>
      <c r="K256" s="478"/>
      <c r="L256" s="365"/>
      <c r="M256" s="500"/>
      <c r="N256" s="577"/>
      <c r="O256" s="8"/>
      <c r="P256" s="338"/>
      <c r="Q256" s="10"/>
      <c r="R256" s="73"/>
    </row>
    <row r="257" spans="1:18" x14ac:dyDescent="0.25">
      <c r="A257" s="105">
        <f t="shared" si="31"/>
        <v>256</v>
      </c>
      <c r="B257" s="59"/>
      <c r="C257" s="9"/>
      <c r="D257" s="359"/>
      <c r="E257" s="478"/>
      <c r="F257" s="359"/>
      <c r="G257" s="478"/>
      <c r="H257" s="359"/>
      <c r="I257" s="478"/>
      <c r="J257" s="359"/>
      <c r="K257" s="478"/>
      <c r="L257" s="365"/>
      <c r="M257" s="500"/>
      <c r="N257" s="577"/>
      <c r="O257" s="8"/>
      <c r="P257" s="338"/>
      <c r="Q257" s="10"/>
      <c r="R257" s="73"/>
    </row>
    <row r="258" spans="1:18" x14ac:dyDescent="0.25">
      <c r="A258" s="105">
        <f t="shared" si="31"/>
        <v>257</v>
      </c>
      <c r="B258" s="59"/>
      <c r="C258" s="9"/>
      <c r="D258" s="369"/>
      <c r="E258" s="481"/>
      <c r="F258" s="369"/>
      <c r="G258" s="481"/>
      <c r="H258" s="369"/>
      <c r="I258" s="481"/>
      <c r="J258" s="369"/>
      <c r="K258" s="481"/>
      <c r="L258" s="365"/>
      <c r="M258" s="500"/>
      <c r="N258" s="577"/>
      <c r="O258" s="8"/>
      <c r="P258" s="338"/>
      <c r="Q258" s="10"/>
      <c r="R258" s="73"/>
    </row>
    <row r="259" spans="1:18" x14ac:dyDescent="0.25">
      <c r="A259" s="105">
        <f t="shared" si="31"/>
        <v>258</v>
      </c>
      <c r="B259" s="59"/>
      <c r="C259" s="8"/>
      <c r="D259" s="359"/>
      <c r="E259" s="478"/>
      <c r="F259" s="359"/>
      <c r="G259" s="478"/>
      <c r="H259" s="359"/>
      <c r="I259" s="478"/>
      <c r="J259" s="359"/>
      <c r="K259" s="478"/>
      <c r="L259" s="362"/>
      <c r="M259" s="499"/>
      <c r="N259" s="576"/>
      <c r="O259" s="8"/>
      <c r="P259" s="338"/>
      <c r="Q259" s="10"/>
      <c r="R259" s="73"/>
    </row>
    <row r="260" spans="1:18" x14ac:dyDescent="0.25">
      <c r="A260" s="105">
        <f t="shared" si="31"/>
        <v>259</v>
      </c>
      <c r="B260" s="59"/>
      <c r="C260" s="9"/>
      <c r="D260" s="359"/>
      <c r="E260" s="478"/>
      <c r="F260" s="359"/>
      <c r="G260" s="478"/>
      <c r="H260" s="359"/>
      <c r="I260" s="478"/>
      <c r="J260" s="359"/>
      <c r="K260" s="478"/>
      <c r="L260" s="365"/>
      <c r="M260" s="500"/>
      <c r="N260" s="577"/>
      <c r="O260" s="8"/>
      <c r="P260" s="338"/>
      <c r="Q260" s="10"/>
      <c r="R260" s="73"/>
    </row>
    <row r="261" spans="1:18" x14ac:dyDescent="0.25">
      <c r="A261" s="105">
        <f t="shared" si="31"/>
        <v>260</v>
      </c>
      <c r="B261" s="59"/>
      <c r="C261" s="9"/>
      <c r="D261" s="359"/>
      <c r="E261" s="478"/>
      <c r="F261" s="360"/>
      <c r="G261" s="480"/>
      <c r="H261" s="360"/>
      <c r="I261" s="480"/>
      <c r="J261" s="360"/>
      <c r="K261" s="480"/>
      <c r="L261" s="365"/>
      <c r="M261" s="500"/>
      <c r="N261" s="577"/>
      <c r="O261" s="8"/>
      <c r="P261" s="338"/>
      <c r="Q261" s="10"/>
      <c r="R261" s="73"/>
    </row>
    <row r="262" spans="1:18" x14ac:dyDescent="0.25">
      <c r="A262" s="105">
        <f t="shared" si="31"/>
        <v>261</v>
      </c>
      <c r="B262" s="59"/>
      <c r="C262" s="8"/>
      <c r="D262" s="359"/>
      <c r="E262" s="478"/>
      <c r="F262" s="359"/>
      <c r="G262" s="478"/>
      <c r="H262" s="359"/>
      <c r="I262" s="478"/>
      <c r="J262" s="359"/>
      <c r="K262" s="478"/>
      <c r="L262" s="365"/>
      <c r="M262" s="500"/>
      <c r="N262" s="577"/>
      <c r="O262" s="8"/>
      <c r="P262" s="338"/>
      <c r="Q262" s="10"/>
      <c r="R262" s="73"/>
    </row>
    <row r="263" spans="1:18" x14ac:dyDescent="0.25">
      <c r="A263" s="105">
        <f t="shared" si="31"/>
        <v>262</v>
      </c>
      <c r="B263" s="59"/>
      <c r="C263" s="9"/>
      <c r="D263" s="359"/>
      <c r="E263" s="478"/>
      <c r="F263" s="359"/>
      <c r="G263" s="478"/>
      <c r="H263" s="359"/>
      <c r="I263" s="478"/>
      <c r="J263" s="359"/>
      <c r="K263" s="478"/>
      <c r="L263" s="365"/>
      <c r="M263" s="500"/>
      <c r="N263" s="577"/>
      <c r="O263" s="8"/>
      <c r="P263" s="338"/>
      <c r="Q263" s="10"/>
      <c r="R263" s="73"/>
    </row>
    <row r="264" spans="1:18" x14ac:dyDescent="0.25">
      <c r="A264" s="105">
        <f t="shared" si="31"/>
        <v>263</v>
      </c>
      <c r="B264" s="59"/>
      <c r="C264" s="9"/>
      <c r="D264" s="359"/>
      <c r="E264" s="478"/>
      <c r="F264" s="359"/>
      <c r="G264" s="478"/>
      <c r="H264" s="359"/>
      <c r="I264" s="478"/>
      <c r="J264" s="359"/>
      <c r="K264" s="478"/>
      <c r="L264" s="365"/>
      <c r="M264" s="500"/>
      <c r="N264" s="577"/>
      <c r="O264" s="8"/>
      <c r="P264" s="338"/>
      <c r="Q264" s="10"/>
      <c r="R264" s="73"/>
    </row>
    <row r="265" spans="1:18" x14ac:dyDescent="0.25">
      <c r="A265" s="105">
        <f t="shared" si="31"/>
        <v>264</v>
      </c>
      <c r="B265" s="59"/>
      <c r="C265" s="8"/>
      <c r="D265" s="359"/>
      <c r="E265" s="478"/>
      <c r="F265" s="359"/>
      <c r="G265" s="478"/>
      <c r="H265" s="359"/>
      <c r="I265" s="478"/>
      <c r="J265" s="359"/>
      <c r="K265" s="478"/>
      <c r="L265" s="365"/>
      <c r="M265" s="500"/>
      <c r="N265" s="577"/>
      <c r="O265" s="8"/>
      <c r="P265" s="338"/>
      <c r="Q265" s="10"/>
      <c r="R265" s="73"/>
    </row>
    <row r="266" spans="1:18" x14ac:dyDescent="0.25">
      <c r="A266" s="105">
        <f t="shared" si="31"/>
        <v>265</v>
      </c>
      <c r="B266" s="59"/>
      <c r="C266" s="9"/>
      <c r="D266" s="359"/>
      <c r="E266" s="478"/>
      <c r="F266" s="359"/>
      <c r="G266" s="478"/>
      <c r="H266" s="359"/>
      <c r="I266" s="478"/>
      <c r="J266" s="359"/>
      <c r="K266" s="478"/>
      <c r="L266" s="362"/>
      <c r="M266" s="499"/>
      <c r="N266" s="576"/>
      <c r="O266" s="8"/>
      <c r="P266" s="338"/>
      <c r="Q266" s="10"/>
      <c r="R266" s="73"/>
    </row>
    <row r="267" spans="1:18" x14ac:dyDescent="0.25">
      <c r="A267" s="105">
        <f t="shared" si="31"/>
        <v>266</v>
      </c>
      <c r="B267" s="59"/>
      <c r="C267" s="9"/>
      <c r="D267" s="359"/>
      <c r="E267" s="478"/>
      <c r="F267" s="359"/>
      <c r="G267" s="478"/>
      <c r="H267" s="359"/>
      <c r="I267" s="478"/>
      <c r="J267" s="359"/>
      <c r="K267" s="478"/>
      <c r="L267" s="365"/>
      <c r="M267" s="500"/>
      <c r="N267" s="577"/>
      <c r="O267" s="8"/>
      <c r="P267" s="338"/>
      <c r="Q267" s="10"/>
      <c r="R267" s="73"/>
    </row>
    <row r="268" spans="1:18" x14ac:dyDescent="0.25">
      <c r="A268" s="105">
        <f t="shared" si="31"/>
        <v>267</v>
      </c>
      <c r="B268" s="59"/>
      <c r="C268" s="9"/>
      <c r="D268" s="359"/>
      <c r="E268" s="478"/>
      <c r="F268" s="359"/>
      <c r="G268" s="478"/>
      <c r="H268" s="359"/>
      <c r="I268" s="478"/>
      <c r="J268" s="359"/>
      <c r="K268" s="478"/>
      <c r="L268" s="365"/>
      <c r="M268" s="500"/>
      <c r="N268" s="577"/>
      <c r="O268" s="8"/>
      <c r="P268" s="338"/>
      <c r="Q268" s="10"/>
      <c r="R268" s="73"/>
    </row>
    <row r="269" spans="1:18" x14ac:dyDescent="0.25">
      <c r="A269" s="105">
        <f t="shared" si="31"/>
        <v>268</v>
      </c>
      <c r="B269" s="59"/>
      <c r="C269" s="8"/>
      <c r="D269" s="359"/>
      <c r="E269" s="478"/>
      <c r="F269" s="359"/>
      <c r="G269" s="478"/>
      <c r="H269" s="359"/>
      <c r="I269" s="478"/>
      <c r="J269" s="359"/>
      <c r="K269" s="478"/>
      <c r="L269" s="365"/>
      <c r="M269" s="500"/>
      <c r="N269" s="577"/>
      <c r="O269" s="8"/>
      <c r="P269" s="338"/>
      <c r="Q269" s="10"/>
      <c r="R269" s="73"/>
    </row>
    <row r="270" spans="1:18" x14ac:dyDescent="0.25">
      <c r="A270" s="105">
        <f t="shared" si="31"/>
        <v>269</v>
      </c>
      <c r="B270" s="59"/>
      <c r="C270" s="9"/>
      <c r="D270" s="359"/>
      <c r="E270" s="478"/>
      <c r="F270" s="359"/>
      <c r="G270" s="478"/>
      <c r="H270" s="359"/>
      <c r="I270" s="478"/>
      <c r="J270" s="359"/>
      <c r="K270" s="478"/>
      <c r="L270" s="365"/>
      <c r="M270" s="500"/>
      <c r="N270" s="577"/>
      <c r="O270" s="8"/>
      <c r="P270" s="338"/>
      <c r="Q270" s="10"/>
      <c r="R270" s="73"/>
    </row>
    <row r="271" spans="1:18" x14ac:dyDescent="0.25">
      <c r="A271" s="105">
        <f t="shared" si="31"/>
        <v>270</v>
      </c>
      <c r="B271" s="59"/>
      <c r="C271" s="9"/>
      <c r="D271" s="359"/>
      <c r="E271" s="478"/>
      <c r="F271" s="362"/>
      <c r="G271" s="499"/>
      <c r="H271" s="362"/>
      <c r="I271" s="499"/>
      <c r="J271" s="362"/>
      <c r="K271" s="499"/>
      <c r="L271" s="365"/>
      <c r="M271" s="500"/>
      <c r="N271" s="577"/>
      <c r="O271" s="8"/>
      <c r="P271" s="338"/>
      <c r="Q271" s="10"/>
      <c r="R271" s="73"/>
    </row>
    <row r="272" spans="1:18" x14ac:dyDescent="0.25">
      <c r="A272" s="105">
        <f t="shared" si="31"/>
        <v>271</v>
      </c>
      <c r="B272" s="59"/>
      <c r="C272" s="9"/>
      <c r="D272" s="359"/>
      <c r="E272" s="478"/>
      <c r="F272" s="359"/>
      <c r="G272" s="478"/>
      <c r="H272" s="359"/>
      <c r="I272" s="478"/>
      <c r="J272" s="359"/>
      <c r="K272" s="478"/>
      <c r="L272" s="365"/>
      <c r="M272" s="500"/>
      <c r="N272" s="577"/>
      <c r="O272" s="8"/>
      <c r="P272" s="338"/>
      <c r="Q272" s="10"/>
      <c r="R272" s="73"/>
    </row>
    <row r="273" spans="1:18" x14ac:dyDescent="0.25">
      <c r="A273" s="105">
        <f t="shared" si="31"/>
        <v>272</v>
      </c>
      <c r="B273" s="59"/>
      <c r="C273" s="9"/>
      <c r="D273" s="359"/>
      <c r="E273" s="478"/>
      <c r="F273" s="359"/>
      <c r="G273" s="478"/>
      <c r="H273" s="359"/>
      <c r="I273" s="478"/>
      <c r="J273" s="359"/>
      <c r="K273" s="478"/>
      <c r="L273" s="365"/>
      <c r="M273" s="500"/>
      <c r="N273" s="577"/>
      <c r="O273" s="8"/>
      <c r="P273" s="338"/>
      <c r="Q273" s="10"/>
      <c r="R273" s="73"/>
    </row>
    <row r="274" spans="1:18" x14ac:dyDescent="0.25">
      <c r="A274" s="105">
        <f t="shared" si="31"/>
        <v>273</v>
      </c>
      <c r="B274" s="59"/>
      <c r="C274" s="9"/>
      <c r="D274" s="359"/>
      <c r="E274" s="478"/>
      <c r="F274" s="359"/>
      <c r="G274" s="478"/>
      <c r="H274" s="359"/>
      <c r="I274" s="478"/>
      <c r="J274" s="359"/>
      <c r="K274" s="478"/>
      <c r="L274" s="365"/>
      <c r="M274" s="500"/>
      <c r="N274" s="577"/>
      <c r="O274" s="8"/>
      <c r="P274" s="338"/>
      <c r="Q274" s="10"/>
      <c r="R274" s="73"/>
    </row>
    <row r="275" spans="1:18" x14ac:dyDescent="0.25">
      <c r="A275" s="105">
        <f t="shared" si="31"/>
        <v>274</v>
      </c>
      <c r="B275" s="59"/>
      <c r="C275" s="9"/>
      <c r="D275" s="359"/>
      <c r="E275" s="478"/>
      <c r="F275" s="359"/>
      <c r="G275" s="478"/>
      <c r="H275" s="359"/>
      <c r="I275" s="478"/>
      <c r="J275" s="359"/>
      <c r="K275" s="478"/>
      <c r="L275" s="365"/>
      <c r="M275" s="500"/>
      <c r="N275" s="577"/>
      <c r="O275" s="8"/>
      <c r="P275" s="338"/>
      <c r="Q275" s="10"/>
      <c r="R275" s="73"/>
    </row>
    <row r="276" spans="1:18" x14ac:dyDescent="0.25">
      <c r="A276" s="105">
        <f t="shared" ref="A276:A313" si="32">A275+1</f>
        <v>275</v>
      </c>
      <c r="B276" s="59"/>
      <c r="C276" s="9"/>
      <c r="D276" s="359"/>
      <c r="E276" s="478"/>
      <c r="F276" s="359"/>
      <c r="G276" s="478"/>
      <c r="H276" s="359"/>
      <c r="I276" s="478"/>
      <c r="J276" s="359"/>
      <c r="K276" s="478"/>
      <c r="L276" s="365"/>
      <c r="M276" s="500"/>
      <c r="N276" s="577"/>
      <c r="O276" s="8"/>
      <c r="P276" s="338"/>
      <c r="Q276" s="10"/>
      <c r="R276" s="73"/>
    </row>
    <row r="277" spans="1:18" x14ac:dyDescent="0.25">
      <c r="A277" s="105">
        <f t="shared" si="32"/>
        <v>276</v>
      </c>
      <c r="B277" s="59"/>
      <c r="C277" s="9"/>
      <c r="D277" s="359"/>
      <c r="E277" s="478"/>
      <c r="F277" s="359"/>
      <c r="G277" s="478"/>
      <c r="H277" s="359"/>
      <c r="I277" s="478"/>
      <c r="J277" s="359"/>
      <c r="K277" s="478"/>
      <c r="L277" s="365"/>
      <c r="M277" s="500"/>
      <c r="N277" s="577"/>
      <c r="O277" s="8"/>
      <c r="P277" s="338"/>
      <c r="Q277" s="10"/>
      <c r="R277" s="73"/>
    </row>
    <row r="278" spans="1:18" x14ac:dyDescent="0.25">
      <c r="A278" s="105">
        <f t="shared" si="32"/>
        <v>277</v>
      </c>
      <c r="B278" s="59"/>
      <c r="C278" s="9"/>
      <c r="D278" s="359"/>
      <c r="E278" s="478"/>
      <c r="F278" s="359"/>
      <c r="G278" s="478"/>
      <c r="H278" s="359"/>
      <c r="I278" s="478"/>
      <c r="J278" s="359"/>
      <c r="K278" s="478"/>
      <c r="L278" s="365"/>
      <c r="M278" s="500"/>
      <c r="N278" s="577"/>
      <c r="O278" s="8"/>
      <c r="P278" s="338"/>
      <c r="Q278" s="10"/>
      <c r="R278" s="73"/>
    </row>
    <row r="279" spans="1:18" x14ac:dyDescent="0.25">
      <c r="A279" s="105">
        <f t="shared" si="32"/>
        <v>278</v>
      </c>
      <c r="B279" s="59"/>
      <c r="C279" s="9"/>
      <c r="D279" s="359"/>
      <c r="E279" s="478"/>
      <c r="F279" s="359"/>
      <c r="G279" s="478"/>
      <c r="H279" s="359"/>
      <c r="I279" s="478"/>
      <c r="J279" s="359"/>
      <c r="K279" s="478"/>
      <c r="L279" s="365"/>
      <c r="M279" s="500"/>
      <c r="N279" s="577"/>
      <c r="O279" s="8"/>
      <c r="P279" s="338"/>
      <c r="Q279" s="10"/>
      <c r="R279" s="73"/>
    </row>
    <row r="280" spans="1:18" x14ac:dyDescent="0.25">
      <c r="A280" s="105">
        <f t="shared" si="32"/>
        <v>279</v>
      </c>
      <c r="B280" s="59"/>
      <c r="C280" s="8"/>
      <c r="D280" s="359"/>
      <c r="E280" s="478"/>
      <c r="F280" s="359"/>
      <c r="G280" s="478"/>
      <c r="H280" s="359"/>
      <c r="I280" s="478"/>
      <c r="J280" s="359"/>
      <c r="K280" s="478"/>
      <c r="L280" s="362"/>
      <c r="M280" s="499"/>
      <c r="N280" s="576"/>
      <c r="O280" s="8"/>
      <c r="P280" s="338"/>
      <c r="Q280" s="10"/>
      <c r="R280" s="73"/>
    </row>
    <row r="281" spans="1:18" x14ac:dyDescent="0.25">
      <c r="A281" s="105">
        <f t="shared" si="32"/>
        <v>280</v>
      </c>
      <c r="B281" s="59"/>
      <c r="C281" s="9"/>
      <c r="D281" s="359"/>
      <c r="E281" s="478"/>
      <c r="F281" s="359"/>
      <c r="G281" s="478"/>
      <c r="H281" s="359"/>
      <c r="I281" s="478"/>
      <c r="J281" s="359"/>
      <c r="K281" s="478"/>
      <c r="L281" s="365"/>
      <c r="M281" s="500"/>
      <c r="N281" s="577"/>
      <c r="O281" s="8"/>
      <c r="P281" s="338"/>
      <c r="Q281" s="10"/>
      <c r="R281" s="73"/>
    </row>
    <row r="282" spans="1:18" x14ac:dyDescent="0.25">
      <c r="A282" s="105">
        <f t="shared" si="32"/>
        <v>281</v>
      </c>
      <c r="B282" s="59"/>
      <c r="C282" s="9"/>
      <c r="D282" s="359"/>
      <c r="E282" s="478"/>
      <c r="F282" s="359"/>
      <c r="G282" s="478"/>
      <c r="H282" s="359"/>
      <c r="I282" s="478"/>
      <c r="J282" s="359"/>
      <c r="K282" s="478"/>
      <c r="L282" s="362"/>
      <c r="M282" s="499"/>
      <c r="N282" s="576"/>
      <c r="O282" s="8"/>
      <c r="P282" s="338"/>
      <c r="Q282" s="10"/>
      <c r="R282" s="73"/>
    </row>
    <row r="283" spans="1:18" x14ac:dyDescent="0.25">
      <c r="A283" s="105">
        <f t="shared" si="32"/>
        <v>282</v>
      </c>
      <c r="B283" s="59"/>
      <c r="C283" s="9"/>
      <c r="D283" s="359"/>
      <c r="E283" s="478"/>
      <c r="F283" s="359"/>
      <c r="G283" s="478"/>
      <c r="H283" s="359"/>
      <c r="I283" s="478"/>
      <c r="J283" s="359"/>
      <c r="K283" s="478"/>
      <c r="L283" s="365"/>
      <c r="M283" s="500"/>
      <c r="N283" s="577"/>
      <c r="O283" s="8"/>
      <c r="P283" s="338"/>
      <c r="Q283" s="10"/>
      <c r="R283" s="73"/>
    </row>
    <row r="284" spans="1:18" x14ac:dyDescent="0.25">
      <c r="A284" s="105">
        <f t="shared" si="32"/>
        <v>283</v>
      </c>
      <c r="B284" s="59"/>
      <c r="C284" s="9"/>
      <c r="D284" s="359"/>
      <c r="E284" s="478"/>
      <c r="F284" s="362"/>
      <c r="G284" s="499"/>
      <c r="H284" s="362"/>
      <c r="I284" s="499"/>
      <c r="J284" s="362"/>
      <c r="K284" s="499"/>
      <c r="L284" s="365"/>
      <c r="M284" s="500"/>
      <c r="N284" s="577"/>
      <c r="O284" s="8"/>
      <c r="P284" s="338"/>
      <c r="Q284" s="10"/>
      <c r="R284" s="73"/>
    </row>
    <row r="285" spans="1:18" x14ac:dyDescent="0.25">
      <c r="A285" s="105">
        <f t="shared" si="32"/>
        <v>284</v>
      </c>
      <c r="B285" s="59"/>
      <c r="C285" s="8"/>
      <c r="D285" s="359"/>
      <c r="E285" s="478"/>
      <c r="F285" s="362"/>
      <c r="G285" s="499"/>
      <c r="H285" s="362"/>
      <c r="I285" s="499"/>
      <c r="J285" s="362"/>
      <c r="K285" s="499"/>
      <c r="L285" s="365"/>
      <c r="M285" s="500"/>
      <c r="N285" s="577"/>
      <c r="O285" s="8"/>
      <c r="P285" s="338"/>
      <c r="Q285" s="10"/>
      <c r="R285" s="73"/>
    </row>
    <row r="286" spans="1:18" x14ac:dyDescent="0.25">
      <c r="A286" s="105">
        <f t="shared" si="32"/>
        <v>285</v>
      </c>
      <c r="B286" s="59"/>
      <c r="C286" s="9"/>
      <c r="D286" s="359"/>
      <c r="E286" s="478"/>
      <c r="F286" s="359"/>
      <c r="G286" s="478"/>
      <c r="H286" s="359"/>
      <c r="I286" s="478"/>
      <c r="J286" s="359"/>
      <c r="K286" s="478"/>
      <c r="L286" s="365"/>
      <c r="M286" s="500"/>
      <c r="N286" s="577"/>
      <c r="O286" s="8"/>
      <c r="P286" s="338"/>
      <c r="Q286" s="10"/>
      <c r="R286" s="73"/>
    </row>
    <row r="287" spans="1:18" x14ac:dyDescent="0.25">
      <c r="A287" s="105">
        <f t="shared" si="32"/>
        <v>286</v>
      </c>
      <c r="B287" s="59"/>
      <c r="C287" s="9"/>
      <c r="D287" s="359"/>
      <c r="E287" s="478"/>
      <c r="F287" s="359"/>
      <c r="G287" s="478"/>
      <c r="H287" s="359"/>
      <c r="I287" s="478"/>
      <c r="J287" s="359"/>
      <c r="K287" s="478"/>
      <c r="L287" s="362"/>
      <c r="M287" s="499"/>
      <c r="N287" s="576"/>
      <c r="O287" s="8"/>
      <c r="P287" s="338"/>
      <c r="Q287" s="10"/>
      <c r="R287" s="73"/>
    </row>
    <row r="288" spans="1:18" x14ac:dyDescent="0.25">
      <c r="A288" s="105">
        <f t="shared" si="32"/>
        <v>287</v>
      </c>
      <c r="B288" s="59"/>
      <c r="C288" s="9"/>
      <c r="D288" s="359"/>
      <c r="E288" s="478"/>
      <c r="F288" s="373"/>
      <c r="G288" s="493"/>
      <c r="H288" s="359"/>
      <c r="I288" s="478"/>
      <c r="J288" s="373"/>
      <c r="K288" s="493"/>
      <c r="L288" s="365"/>
      <c r="M288" s="500"/>
      <c r="N288" s="577"/>
      <c r="O288" s="8"/>
      <c r="P288" s="338"/>
      <c r="Q288" s="10"/>
      <c r="R288" s="73"/>
    </row>
    <row r="289" spans="1:18" x14ac:dyDescent="0.25">
      <c r="A289" s="105">
        <f t="shared" si="32"/>
        <v>288</v>
      </c>
      <c r="B289" s="59"/>
      <c r="C289" s="8"/>
      <c r="D289" s="359"/>
      <c r="E289" s="478"/>
      <c r="F289" s="359"/>
      <c r="G289" s="478"/>
      <c r="H289" s="359"/>
      <c r="I289" s="478"/>
      <c r="J289" s="359"/>
      <c r="K289" s="478"/>
      <c r="L289" s="365"/>
      <c r="M289" s="500"/>
      <c r="N289" s="577"/>
      <c r="O289" s="8"/>
      <c r="P289" s="338"/>
      <c r="Q289" s="10"/>
      <c r="R289" s="73"/>
    </row>
    <row r="290" spans="1:18" x14ac:dyDescent="0.25">
      <c r="A290" s="105">
        <f t="shared" si="32"/>
        <v>289</v>
      </c>
      <c r="B290" s="59"/>
      <c r="C290" s="9"/>
      <c r="D290" s="359"/>
      <c r="E290" s="478"/>
      <c r="F290" s="359"/>
      <c r="G290" s="478"/>
      <c r="H290" s="359"/>
      <c r="I290" s="478"/>
      <c r="J290" s="359"/>
      <c r="K290" s="478"/>
      <c r="L290" s="365"/>
      <c r="M290" s="500"/>
      <c r="N290" s="577"/>
      <c r="O290" s="8"/>
      <c r="P290" s="338"/>
      <c r="Q290" s="10"/>
      <c r="R290" s="73"/>
    </row>
    <row r="291" spans="1:18" x14ac:dyDescent="0.25">
      <c r="A291" s="105">
        <f t="shared" si="32"/>
        <v>290</v>
      </c>
      <c r="B291" s="59"/>
      <c r="C291" s="9"/>
      <c r="D291" s="359"/>
      <c r="E291" s="478"/>
      <c r="F291" s="359"/>
      <c r="G291" s="478"/>
      <c r="H291" s="359"/>
      <c r="I291" s="478"/>
      <c r="J291" s="359"/>
      <c r="K291" s="478"/>
      <c r="L291" s="365"/>
      <c r="M291" s="500"/>
      <c r="N291" s="577"/>
      <c r="O291" s="8"/>
      <c r="P291" s="338"/>
      <c r="Q291" s="10"/>
      <c r="R291" s="73"/>
    </row>
    <row r="292" spans="1:18" x14ac:dyDescent="0.25">
      <c r="A292" s="105">
        <f t="shared" si="32"/>
        <v>291</v>
      </c>
      <c r="B292" s="59"/>
      <c r="C292" s="9"/>
      <c r="D292" s="359"/>
      <c r="E292" s="478"/>
      <c r="F292" s="359"/>
      <c r="G292" s="478"/>
      <c r="H292" s="359"/>
      <c r="I292" s="478"/>
      <c r="J292" s="359"/>
      <c r="K292" s="478"/>
      <c r="L292" s="365"/>
      <c r="M292" s="500"/>
      <c r="N292" s="577"/>
      <c r="O292" s="8"/>
      <c r="P292" s="338"/>
      <c r="Q292" s="10"/>
      <c r="R292" s="73"/>
    </row>
    <row r="293" spans="1:18" x14ac:dyDescent="0.25">
      <c r="A293" s="105">
        <f t="shared" si="32"/>
        <v>292</v>
      </c>
      <c r="B293" s="59"/>
      <c r="C293" s="9"/>
      <c r="D293" s="359"/>
      <c r="E293" s="478"/>
      <c r="F293" s="359"/>
      <c r="G293" s="478"/>
      <c r="H293" s="359"/>
      <c r="I293" s="478"/>
      <c r="J293" s="359"/>
      <c r="K293" s="478"/>
      <c r="L293" s="365"/>
      <c r="M293" s="500"/>
      <c r="N293" s="577"/>
      <c r="O293" s="8"/>
      <c r="P293" s="338"/>
      <c r="Q293" s="10"/>
      <c r="R293" s="73"/>
    </row>
    <row r="294" spans="1:18" x14ac:dyDescent="0.25">
      <c r="A294" s="105">
        <f t="shared" si="32"/>
        <v>293</v>
      </c>
      <c r="B294" s="59"/>
      <c r="C294" s="9"/>
      <c r="D294" s="359"/>
      <c r="E294" s="478"/>
      <c r="F294" s="359"/>
      <c r="G294" s="478"/>
      <c r="H294" s="359"/>
      <c r="I294" s="478"/>
      <c r="J294" s="359"/>
      <c r="K294" s="478"/>
      <c r="L294" s="365"/>
      <c r="M294" s="500"/>
      <c r="N294" s="577"/>
      <c r="O294" s="8"/>
      <c r="P294" s="338"/>
      <c r="Q294" s="10"/>
      <c r="R294" s="73"/>
    </row>
    <row r="295" spans="1:18" x14ac:dyDescent="0.25">
      <c r="A295" s="105">
        <f t="shared" si="32"/>
        <v>294</v>
      </c>
      <c r="B295" s="59"/>
      <c r="C295" s="9"/>
      <c r="D295" s="359"/>
      <c r="E295" s="478"/>
      <c r="F295" s="362"/>
      <c r="G295" s="499"/>
      <c r="H295" s="362"/>
      <c r="I295" s="499"/>
      <c r="J295" s="362"/>
      <c r="K295" s="499"/>
      <c r="L295" s="365"/>
      <c r="M295" s="500"/>
      <c r="N295" s="577"/>
      <c r="O295" s="8"/>
      <c r="P295" s="338"/>
      <c r="Q295" s="10"/>
      <c r="R295" s="73"/>
    </row>
    <row r="296" spans="1:18" x14ac:dyDescent="0.25">
      <c r="A296" s="105">
        <f t="shared" si="32"/>
        <v>295</v>
      </c>
      <c r="B296" s="59"/>
      <c r="C296" s="9"/>
      <c r="D296" s="359"/>
      <c r="E296" s="478"/>
      <c r="F296" s="359"/>
      <c r="G296" s="478"/>
      <c r="H296" s="359"/>
      <c r="I296" s="478"/>
      <c r="J296" s="359"/>
      <c r="K296" s="478"/>
      <c r="L296" s="365"/>
      <c r="M296" s="500"/>
      <c r="N296" s="577"/>
      <c r="O296" s="8"/>
      <c r="P296" s="338"/>
      <c r="Q296" s="10"/>
      <c r="R296" s="73"/>
    </row>
    <row r="297" spans="1:18" x14ac:dyDescent="0.25">
      <c r="A297" s="105">
        <f t="shared" si="32"/>
        <v>296</v>
      </c>
      <c r="B297" s="59"/>
      <c r="C297" s="9"/>
      <c r="D297" s="359"/>
      <c r="E297" s="478"/>
      <c r="F297" s="359"/>
      <c r="G297" s="478"/>
      <c r="H297" s="359"/>
      <c r="I297" s="478"/>
      <c r="J297" s="359"/>
      <c r="K297" s="478"/>
      <c r="L297" s="365"/>
      <c r="M297" s="500"/>
      <c r="N297" s="577"/>
      <c r="O297" s="8"/>
      <c r="P297" s="338"/>
      <c r="Q297" s="10"/>
      <c r="R297" s="73"/>
    </row>
    <row r="298" spans="1:18" x14ac:dyDescent="0.25">
      <c r="A298" s="105">
        <f t="shared" si="32"/>
        <v>297</v>
      </c>
      <c r="B298" s="59"/>
      <c r="C298" s="9"/>
      <c r="D298" s="359"/>
      <c r="E298" s="478"/>
      <c r="F298" s="359"/>
      <c r="G298" s="478"/>
      <c r="H298" s="359"/>
      <c r="I298" s="478"/>
      <c r="J298" s="359"/>
      <c r="K298" s="478"/>
      <c r="L298" s="365"/>
      <c r="M298" s="500"/>
      <c r="N298" s="577"/>
      <c r="O298" s="8"/>
      <c r="P298" s="338"/>
      <c r="Q298" s="10"/>
      <c r="R298" s="73"/>
    </row>
    <row r="299" spans="1:18" x14ac:dyDescent="0.25">
      <c r="A299" s="105">
        <f t="shared" si="32"/>
        <v>298</v>
      </c>
      <c r="B299" s="59"/>
      <c r="C299" s="8"/>
      <c r="D299" s="359"/>
      <c r="E299" s="478"/>
      <c r="F299" s="359"/>
      <c r="G299" s="478"/>
      <c r="H299" s="359"/>
      <c r="I299" s="478"/>
      <c r="J299" s="359"/>
      <c r="K299" s="478"/>
      <c r="L299" s="362"/>
      <c r="M299" s="499"/>
      <c r="N299" s="576"/>
      <c r="O299" s="8"/>
      <c r="P299" s="338"/>
      <c r="Q299" s="10"/>
      <c r="R299" s="73"/>
    </row>
    <row r="300" spans="1:18" x14ac:dyDescent="0.25">
      <c r="A300" s="105">
        <f t="shared" si="32"/>
        <v>299</v>
      </c>
      <c r="B300" s="59"/>
      <c r="C300" s="9"/>
      <c r="D300" s="359"/>
      <c r="E300" s="478"/>
      <c r="F300" s="359"/>
      <c r="G300" s="478"/>
      <c r="H300" s="359"/>
      <c r="I300" s="478"/>
      <c r="J300" s="359"/>
      <c r="K300" s="478"/>
      <c r="L300" s="365"/>
      <c r="M300" s="500"/>
      <c r="N300" s="577"/>
      <c r="O300" s="8"/>
      <c r="P300" s="338"/>
      <c r="Q300" s="10"/>
      <c r="R300" s="73"/>
    </row>
    <row r="301" spans="1:18" x14ac:dyDescent="0.25">
      <c r="A301" s="105">
        <f t="shared" si="32"/>
        <v>300</v>
      </c>
      <c r="B301" s="59"/>
      <c r="C301" s="9"/>
      <c r="D301" s="359"/>
      <c r="E301" s="478"/>
      <c r="F301" s="359"/>
      <c r="G301" s="478"/>
      <c r="H301" s="359"/>
      <c r="I301" s="478"/>
      <c r="J301" s="359"/>
      <c r="K301" s="478"/>
      <c r="L301" s="365"/>
      <c r="M301" s="500"/>
      <c r="N301" s="577"/>
      <c r="O301" s="8"/>
      <c r="P301" s="338"/>
      <c r="Q301" s="10"/>
      <c r="R301" s="73"/>
    </row>
    <row r="302" spans="1:18" x14ac:dyDescent="0.25">
      <c r="A302" s="105">
        <f t="shared" si="32"/>
        <v>301</v>
      </c>
      <c r="B302" s="61"/>
      <c r="C302" s="120"/>
      <c r="D302" s="361"/>
      <c r="E302" s="482"/>
      <c r="F302" s="365"/>
      <c r="G302" s="500"/>
      <c r="H302" s="365"/>
      <c r="I302" s="500"/>
      <c r="J302" s="365"/>
      <c r="K302" s="500"/>
      <c r="L302" s="365"/>
      <c r="M302" s="500"/>
      <c r="N302" s="577"/>
      <c r="O302" s="8"/>
      <c r="P302" s="338"/>
      <c r="Q302" s="10"/>
      <c r="R302" s="73"/>
    </row>
    <row r="303" spans="1:18" x14ac:dyDescent="0.25">
      <c r="A303" s="105">
        <f t="shared" si="32"/>
        <v>302</v>
      </c>
      <c r="B303" s="61"/>
      <c r="C303" s="120"/>
      <c r="D303" s="361"/>
      <c r="E303" s="482"/>
      <c r="F303" s="365"/>
      <c r="G303" s="500"/>
      <c r="H303" s="365"/>
      <c r="I303" s="500"/>
      <c r="J303" s="365"/>
      <c r="K303" s="500"/>
      <c r="L303" s="365"/>
      <c r="M303" s="500"/>
      <c r="N303" s="577"/>
      <c r="O303" s="195"/>
      <c r="P303" s="338"/>
      <c r="Q303" s="10"/>
      <c r="R303" s="75"/>
    </row>
    <row r="304" spans="1:18" x14ac:dyDescent="0.25">
      <c r="A304" s="105">
        <f t="shared" si="32"/>
        <v>303</v>
      </c>
      <c r="B304" s="61"/>
      <c r="C304" s="120"/>
      <c r="D304" s="361"/>
      <c r="E304" s="482"/>
      <c r="F304" s="365"/>
      <c r="G304" s="500"/>
      <c r="H304" s="365"/>
      <c r="I304" s="500"/>
      <c r="J304" s="365"/>
      <c r="K304" s="500"/>
      <c r="L304" s="365"/>
      <c r="M304" s="500"/>
      <c r="N304" s="577"/>
      <c r="O304" s="195"/>
      <c r="P304" s="338"/>
      <c r="Q304" s="10"/>
      <c r="R304" s="75"/>
    </row>
    <row r="305" spans="1:18" x14ac:dyDescent="0.25">
      <c r="A305" s="105">
        <f t="shared" si="32"/>
        <v>304</v>
      </c>
      <c r="B305" s="61"/>
      <c r="C305" s="120"/>
      <c r="D305" s="361"/>
      <c r="E305" s="482"/>
      <c r="F305" s="365"/>
      <c r="G305" s="500"/>
      <c r="H305" s="365"/>
      <c r="I305" s="500"/>
      <c r="J305" s="365"/>
      <c r="K305" s="500"/>
      <c r="L305" s="365"/>
      <c r="M305" s="500"/>
      <c r="N305" s="577"/>
      <c r="O305" s="195"/>
      <c r="P305" s="338"/>
      <c r="Q305" s="10"/>
      <c r="R305" s="75"/>
    </row>
    <row r="306" spans="1:18" x14ac:dyDescent="0.25">
      <c r="A306" s="105">
        <f t="shared" si="32"/>
        <v>305</v>
      </c>
      <c r="B306" s="61"/>
      <c r="C306" s="120"/>
      <c r="D306" s="361"/>
      <c r="E306" s="482"/>
      <c r="F306" s="365"/>
      <c r="G306" s="500"/>
      <c r="H306" s="365"/>
      <c r="I306" s="500"/>
      <c r="J306" s="365"/>
      <c r="K306" s="500"/>
      <c r="L306" s="365"/>
      <c r="M306" s="500"/>
      <c r="N306" s="577"/>
      <c r="O306" s="195"/>
      <c r="P306" s="338"/>
      <c r="Q306" s="10"/>
      <c r="R306" s="75"/>
    </row>
    <row r="307" spans="1:18" x14ac:dyDescent="0.25">
      <c r="A307" s="105">
        <f t="shared" si="32"/>
        <v>306</v>
      </c>
      <c r="B307" s="61"/>
      <c r="C307" s="120"/>
      <c r="D307" s="361"/>
      <c r="E307" s="482"/>
      <c r="F307" s="365"/>
      <c r="G307" s="500"/>
      <c r="H307" s="365"/>
      <c r="I307" s="500"/>
      <c r="J307" s="365"/>
      <c r="K307" s="500"/>
      <c r="L307" s="365"/>
      <c r="M307" s="500"/>
      <c r="N307" s="577"/>
      <c r="O307" s="195"/>
      <c r="P307" s="338"/>
      <c r="Q307" s="10"/>
      <c r="R307" s="75"/>
    </row>
    <row r="308" spans="1:18" x14ac:dyDescent="0.25">
      <c r="A308" s="105">
        <f t="shared" si="32"/>
        <v>307</v>
      </c>
      <c r="B308" s="61"/>
      <c r="C308" s="120"/>
      <c r="D308" s="361"/>
      <c r="E308" s="482"/>
      <c r="F308" s="365"/>
      <c r="G308" s="500"/>
      <c r="H308" s="365"/>
      <c r="I308" s="500"/>
      <c r="J308" s="365"/>
      <c r="K308" s="500"/>
      <c r="L308" s="365"/>
      <c r="M308" s="500"/>
      <c r="N308" s="577"/>
      <c r="O308" s="195"/>
      <c r="P308" s="338"/>
      <c r="Q308" s="10"/>
      <c r="R308" s="75"/>
    </row>
    <row r="309" spans="1:18" x14ac:dyDescent="0.25">
      <c r="A309" s="105">
        <f t="shared" si="32"/>
        <v>308</v>
      </c>
      <c r="Q309" s="10"/>
    </row>
    <row r="310" spans="1:18" x14ac:dyDescent="0.25">
      <c r="A310" s="105">
        <f t="shared" si="32"/>
        <v>309</v>
      </c>
      <c r="Q310" s="10"/>
    </row>
    <row r="311" spans="1:18" x14ac:dyDescent="0.25">
      <c r="A311" s="105">
        <f t="shared" si="32"/>
        <v>310</v>
      </c>
      <c r="Q311" s="10"/>
    </row>
    <row r="312" spans="1:18" x14ac:dyDescent="0.25">
      <c r="A312" s="105">
        <f t="shared" si="32"/>
        <v>311</v>
      </c>
      <c r="Q312" s="10"/>
    </row>
    <row r="313" spans="1:18" x14ac:dyDescent="0.25">
      <c r="A313" s="105">
        <f t="shared" si="32"/>
        <v>312</v>
      </c>
      <c r="Q313" s="10"/>
    </row>
    <row r="314" spans="1:18" x14ac:dyDescent="0.25">
      <c r="A314" s="105"/>
      <c r="Q314" s="10"/>
    </row>
    <row r="315" spans="1:18" x14ac:dyDescent="0.25">
      <c r="A315" s="105"/>
      <c r="Q315" s="10"/>
    </row>
    <row r="316" spans="1:18" x14ac:dyDescent="0.25">
      <c r="A316" s="105"/>
    </row>
    <row r="317" spans="1:18" x14ac:dyDescent="0.25">
      <c r="A317" s="105"/>
    </row>
    <row r="318" spans="1:18" x14ac:dyDescent="0.25">
      <c r="A318" s="105"/>
    </row>
    <row r="319" spans="1:18" x14ac:dyDescent="0.25">
      <c r="A319" s="105"/>
    </row>
  </sheetData>
  <autoFilter ref="A1:CE313"/>
  <sortState ref="B2:AD202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I329"/>
  <sheetViews>
    <sheetView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D75" sqref="D75"/>
    </sheetView>
  </sheetViews>
  <sheetFormatPr baseColWidth="10" defaultRowHeight="15" x14ac:dyDescent="0.25"/>
  <cols>
    <col min="1" max="1" width="4.42578125" style="13" customWidth="1"/>
    <col min="2" max="2" width="53" style="16" bestFit="1" customWidth="1"/>
    <col min="3" max="3" width="10" style="302" customWidth="1"/>
    <col min="4" max="4" width="7.5703125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8" ht="30" x14ac:dyDescent="0.25">
      <c r="A1" s="128" t="s">
        <v>0</v>
      </c>
      <c r="B1" s="42" t="s">
        <v>1437</v>
      </c>
      <c r="C1" s="300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314" t="s">
        <v>1142</v>
      </c>
      <c r="C2" s="415">
        <v>2</v>
      </c>
      <c r="D2" s="15">
        <v>24</v>
      </c>
      <c r="E2" s="7">
        <v>37</v>
      </c>
      <c r="F2" s="141">
        <f t="shared" ref="F2:F33" si="0">(E2-D2)/(E2)</f>
        <v>0.35135135135135137</v>
      </c>
      <c r="G2" s="142">
        <f t="shared" ref="G2:G33" si="1">D2*C2</f>
        <v>48</v>
      </c>
      <c r="H2" s="143">
        <f t="shared" ref="H2:H33" si="2">E2*C2</f>
        <v>74</v>
      </c>
    </row>
    <row r="3" spans="1:8" x14ac:dyDescent="0.25">
      <c r="A3" s="13">
        <f t="shared" ref="A3:A66" si="3">A2+1</f>
        <v>2</v>
      </c>
      <c r="B3" s="314" t="s">
        <v>1414</v>
      </c>
      <c r="C3" s="415">
        <v>2</v>
      </c>
      <c r="D3" s="10">
        <v>4.6900000000000004</v>
      </c>
      <c r="E3" s="7">
        <v>8</v>
      </c>
      <c r="F3" s="141">
        <f t="shared" si="0"/>
        <v>0.41374999999999995</v>
      </c>
      <c r="G3" s="142">
        <f t="shared" si="1"/>
        <v>9.3800000000000008</v>
      </c>
      <c r="H3" s="143">
        <f t="shared" si="2"/>
        <v>16</v>
      </c>
    </row>
    <row r="4" spans="1:8" x14ac:dyDescent="0.25">
      <c r="A4" s="315">
        <f t="shared" si="3"/>
        <v>3</v>
      </c>
      <c r="B4" s="314" t="s">
        <v>1143</v>
      </c>
      <c r="C4" s="415">
        <v>17</v>
      </c>
      <c r="D4" s="10">
        <v>4.83</v>
      </c>
      <c r="E4" s="7">
        <v>8</v>
      </c>
      <c r="F4" s="141">
        <f t="shared" si="0"/>
        <v>0.39624999999999999</v>
      </c>
      <c r="G4" s="142">
        <f t="shared" si="1"/>
        <v>82.11</v>
      </c>
      <c r="H4" s="143">
        <f t="shared" si="2"/>
        <v>136</v>
      </c>
    </row>
    <row r="5" spans="1:8" x14ac:dyDescent="0.25">
      <c r="A5" s="315">
        <f t="shared" si="3"/>
        <v>4</v>
      </c>
      <c r="B5" s="314" t="s">
        <v>952</v>
      </c>
      <c r="C5" s="415">
        <v>107</v>
      </c>
      <c r="D5" s="10">
        <v>0.28000000000000003</v>
      </c>
      <c r="E5" s="7">
        <v>0.5</v>
      </c>
      <c r="F5" s="141">
        <f t="shared" si="0"/>
        <v>0.43999999999999995</v>
      </c>
      <c r="G5" s="142">
        <f t="shared" si="1"/>
        <v>29.960000000000004</v>
      </c>
      <c r="H5" s="143">
        <f t="shared" si="2"/>
        <v>53.5</v>
      </c>
    </row>
    <row r="6" spans="1:8" x14ac:dyDescent="0.25">
      <c r="A6" s="315">
        <f t="shared" si="3"/>
        <v>5</v>
      </c>
      <c r="B6" s="314" t="s">
        <v>510</v>
      </c>
      <c r="C6" s="415">
        <v>0</v>
      </c>
      <c r="D6" s="10">
        <v>0.23</v>
      </c>
      <c r="E6" s="7">
        <v>0.5</v>
      </c>
      <c r="F6" s="141">
        <f t="shared" si="0"/>
        <v>0.54</v>
      </c>
      <c r="G6" s="142">
        <f t="shared" si="1"/>
        <v>0</v>
      </c>
      <c r="H6" s="143">
        <f t="shared" si="2"/>
        <v>0</v>
      </c>
    </row>
    <row r="7" spans="1:8" x14ac:dyDescent="0.25">
      <c r="A7" s="315">
        <f t="shared" si="3"/>
        <v>6</v>
      </c>
      <c r="B7" s="314" t="s">
        <v>511</v>
      </c>
      <c r="C7" s="415">
        <v>109</v>
      </c>
      <c r="D7" s="10">
        <v>0.23</v>
      </c>
      <c r="E7" s="7">
        <v>0.5</v>
      </c>
      <c r="F7" s="141">
        <f t="shared" si="0"/>
        <v>0.54</v>
      </c>
      <c r="G7" s="142">
        <f t="shared" si="1"/>
        <v>25.07</v>
      </c>
      <c r="H7" s="143">
        <f t="shared" si="2"/>
        <v>54.5</v>
      </c>
    </row>
    <row r="8" spans="1:8" x14ac:dyDescent="0.25">
      <c r="A8" s="315">
        <f t="shared" si="3"/>
        <v>7</v>
      </c>
      <c r="B8" s="314" t="s">
        <v>953</v>
      </c>
      <c r="C8" s="415">
        <v>78</v>
      </c>
      <c r="D8" s="10">
        <v>0.23</v>
      </c>
      <c r="E8" s="7">
        <v>0.5</v>
      </c>
      <c r="F8" s="141">
        <f t="shared" si="0"/>
        <v>0.54</v>
      </c>
      <c r="G8" s="142">
        <f t="shared" si="1"/>
        <v>17.940000000000001</v>
      </c>
      <c r="H8" s="143">
        <f t="shared" si="2"/>
        <v>39</v>
      </c>
    </row>
    <row r="9" spans="1:8" x14ac:dyDescent="0.25">
      <c r="A9" s="315">
        <f t="shared" si="3"/>
        <v>8</v>
      </c>
      <c r="B9" s="314" t="s">
        <v>514</v>
      </c>
      <c r="C9" s="415">
        <v>40</v>
      </c>
      <c r="D9" s="10">
        <v>0.31</v>
      </c>
      <c r="E9" s="7">
        <v>0.5</v>
      </c>
      <c r="F9" s="141">
        <f t="shared" si="0"/>
        <v>0.38</v>
      </c>
      <c r="G9" s="142">
        <f t="shared" si="1"/>
        <v>12.4</v>
      </c>
      <c r="H9" s="143">
        <f t="shared" si="2"/>
        <v>20</v>
      </c>
    </row>
    <row r="10" spans="1:8" x14ac:dyDescent="0.25">
      <c r="A10" s="315">
        <f t="shared" si="3"/>
        <v>9</v>
      </c>
      <c r="B10" s="314" t="s">
        <v>89</v>
      </c>
      <c r="C10" s="415">
        <v>10</v>
      </c>
      <c r="D10" s="10">
        <v>0.28000000000000003</v>
      </c>
      <c r="E10" s="7">
        <v>0.5</v>
      </c>
      <c r="F10" s="141">
        <f t="shared" si="0"/>
        <v>0.43999999999999995</v>
      </c>
      <c r="G10" s="142">
        <f t="shared" si="1"/>
        <v>2.8000000000000003</v>
      </c>
      <c r="H10" s="143">
        <f t="shared" si="2"/>
        <v>5</v>
      </c>
    </row>
    <row r="11" spans="1:8" x14ac:dyDescent="0.25">
      <c r="A11" s="315">
        <f t="shared" si="3"/>
        <v>10</v>
      </c>
      <c r="B11" s="314" t="s">
        <v>82</v>
      </c>
      <c r="C11" s="658">
        <v>6</v>
      </c>
      <c r="D11" s="10">
        <v>0.31</v>
      </c>
      <c r="E11" s="7">
        <v>0.5</v>
      </c>
      <c r="F11" s="141">
        <f t="shared" si="0"/>
        <v>0.38</v>
      </c>
      <c r="G11" s="142">
        <f t="shared" si="1"/>
        <v>1.8599999999999999</v>
      </c>
      <c r="H11" s="143">
        <f t="shared" si="2"/>
        <v>3</v>
      </c>
    </row>
    <row r="12" spans="1:8" x14ac:dyDescent="0.25">
      <c r="A12" s="315">
        <f t="shared" si="3"/>
        <v>11</v>
      </c>
      <c r="B12" s="314" t="s">
        <v>1307</v>
      </c>
      <c r="C12" s="415">
        <v>153</v>
      </c>
      <c r="D12" s="10">
        <v>0.25</v>
      </c>
      <c r="E12" s="7">
        <v>0.5</v>
      </c>
      <c r="F12" s="141">
        <f t="shared" si="0"/>
        <v>0.5</v>
      </c>
      <c r="G12" s="142">
        <f t="shared" si="1"/>
        <v>38.25</v>
      </c>
      <c r="H12" s="143">
        <f t="shared" si="2"/>
        <v>76.5</v>
      </c>
    </row>
    <row r="13" spans="1:8" x14ac:dyDescent="0.25">
      <c r="A13" s="315">
        <f t="shared" si="3"/>
        <v>12</v>
      </c>
      <c r="B13" s="314" t="s">
        <v>259</v>
      </c>
      <c r="C13" s="415">
        <v>75</v>
      </c>
      <c r="D13" s="10">
        <v>0.23</v>
      </c>
      <c r="E13" s="7">
        <v>0.5</v>
      </c>
      <c r="F13" s="141">
        <f t="shared" si="0"/>
        <v>0.54</v>
      </c>
      <c r="G13" s="142">
        <f t="shared" si="1"/>
        <v>17.25</v>
      </c>
      <c r="H13" s="143">
        <f t="shared" si="2"/>
        <v>37.5</v>
      </c>
    </row>
    <row r="14" spans="1:8" ht="14.25" customHeight="1" x14ac:dyDescent="0.25">
      <c r="A14" s="315">
        <f t="shared" si="3"/>
        <v>13</v>
      </c>
      <c r="B14" s="314" t="s">
        <v>258</v>
      </c>
      <c r="C14" s="415">
        <v>85</v>
      </c>
      <c r="D14" s="10">
        <v>0.23</v>
      </c>
      <c r="E14" s="7">
        <v>0.5</v>
      </c>
      <c r="F14" s="141">
        <f t="shared" si="0"/>
        <v>0.54</v>
      </c>
      <c r="G14" s="142">
        <f t="shared" si="1"/>
        <v>19.55</v>
      </c>
      <c r="H14" s="143">
        <f t="shared" si="2"/>
        <v>42.5</v>
      </c>
    </row>
    <row r="15" spans="1:8" x14ac:dyDescent="0.25">
      <c r="A15" s="315">
        <f t="shared" si="3"/>
        <v>14</v>
      </c>
      <c r="B15" s="314" t="s">
        <v>346</v>
      </c>
      <c r="C15" s="415">
        <v>23</v>
      </c>
      <c r="D15" s="10">
        <v>0.24</v>
      </c>
      <c r="E15" s="7">
        <v>0.5</v>
      </c>
      <c r="F15" s="141">
        <f t="shared" si="0"/>
        <v>0.52</v>
      </c>
      <c r="G15" s="142">
        <f t="shared" si="1"/>
        <v>5.52</v>
      </c>
      <c r="H15" s="143">
        <f t="shared" si="2"/>
        <v>11.5</v>
      </c>
    </row>
    <row r="16" spans="1:8" x14ac:dyDescent="0.25">
      <c r="A16" s="315">
        <f t="shared" si="3"/>
        <v>15</v>
      </c>
      <c r="B16" s="314" t="s">
        <v>345</v>
      </c>
      <c r="C16" s="415">
        <v>33</v>
      </c>
      <c r="D16" s="10">
        <v>0.43</v>
      </c>
      <c r="E16" s="7">
        <v>1</v>
      </c>
      <c r="F16" s="141">
        <f t="shared" si="0"/>
        <v>0.57000000000000006</v>
      </c>
      <c r="G16" s="142">
        <f t="shared" si="1"/>
        <v>14.19</v>
      </c>
      <c r="H16" s="143">
        <f t="shared" si="2"/>
        <v>33</v>
      </c>
    </row>
    <row r="17" spans="1:9" x14ac:dyDescent="0.25">
      <c r="A17" s="315">
        <f t="shared" si="3"/>
        <v>16</v>
      </c>
      <c r="B17" s="314" t="s">
        <v>940</v>
      </c>
      <c r="C17" s="415">
        <v>2</v>
      </c>
      <c r="D17" s="10">
        <v>16.79</v>
      </c>
      <c r="E17" s="7">
        <v>28</v>
      </c>
      <c r="F17" s="141">
        <f t="shared" si="0"/>
        <v>0.40035714285714291</v>
      </c>
      <c r="G17" s="142">
        <f t="shared" si="1"/>
        <v>33.58</v>
      </c>
      <c r="H17" s="143">
        <f t="shared" si="2"/>
        <v>56</v>
      </c>
    </row>
    <row r="18" spans="1:9" x14ac:dyDescent="0.25">
      <c r="A18" s="315">
        <f t="shared" si="3"/>
        <v>17</v>
      </c>
      <c r="B18" s="314" t="s">
        <v>444</v>
      </c>
      <c r="C18" s="415">
        <v>2</v>
      </c>
      <c r="D18" s="15">
        <v>8.65</v>
      </c>
      <c r="E18" s="7">
        <v>15</v>
      </c>
      <c r="F18" s="141">
        <f t="shared" si="0"/>
        <v>0.42333333333333328</v>
      </c>
      <c r="G18" s="142">
        <f t="shared" si="1"/>
        <v>17.3</v>
      </c>
      <c r="H18" s="143">
        <f t="shared" si="2"/>
        <v>30</v>
      </c>
    </row>
    <row r="19" spans="1:9" x14ac:dyDescent="0.25">
      <c r="A19" s="315">
        <f t="shared" si="3"/>
        <v>18</v>
      </c>
      <c r="B19" s="314" t="s">
        <v>141</v>
      </c>
      <c r="C19" s="594">
        <v>27</v>
      </c>
      <c r="D19" s="10">
        <v>1.24</v>
      </c>
      <c r="E19" s="7">
        <v>2.5</v>
      </c>
      <c r="F19" s="141">
        <f t="shared" si="0"/>
        <v>0.504</v>
      </c>
      <c r="G19" s="142">
        <f t="shared" si="1"/>
        <v>33.479999999999997</v>
      </c>
      <c r="H19" s="143">
        <f t="shared" si="2"/>
        <v>67.5</v>
      </c>
    </row>
    <row r="20" spans="1:9" x14ac:dyDescent="0.25">
      <c r="A20" s="315">
        <f t="shared" si="3"/>
        <v>19</v>
      </c>
      <c r="B20" s="314" t="s">
        <v>34</v>
      </c>
      <c r="C20" s="415">
        <v>30</v>
      </c>
      <c r="D20" s="15">
        <v>2.25</v>
      </c>
      <c r="E20" s="7">
        <v>3.75</v>
      </c>
      <c r="F20" s="141">
        <f t="shared" si="0"/>
        <v>0.4</v>
      </c>
      <c r="G20" s="142">
        <f t="shared" si="1"/>
        <v>67.5</v>
      </c>
      <c r="H20" s="143">
        <f t="shared" si="2"/>
        <v>112.5</v>
      </c>
    </row>
    <row r="21" spans="1:9" x14ac:dyDescent="0.25">
      <c r="A21" s="315">
        <f t="shared" si="3"/>
        <v>20</v>
      </c>
      <c r="B21" s="314" t="s">
        <v>635</v>
      </c>
      <c r="C21" s="415">
        <v>24</v>
      </c>
      <c r="D21" s="10">
        <v>2.3199999999999998</v>
      </c>
      <c r="E21" s="7">
        <v>3.5</v>
      </c>
      <c r="F21" s="141">
        <f t="shared" si="0"/>
        <v>0.33714285714285719</v>
      </c>
      <c r="G21" s="142">
        <f t="shared" si="1"/>
        <v>55.679999999999993</v>
      </c>
      <c r="H21" s="143">
        <f t="shared" si="2"/>
        <v>84</v>
      </c>
    </row>
    <row r="22" spans="1:9" x14ac:dyDescent="0.25">
      <c r="A22" s="315">
        <f t="shared" si="3"/>
        <v>21</v>
      </c>
      <c r="B22" s="314" t="s">
        <v>468</v>
      </c>
      <c r="C22" s="415">
        <v>7</v>
      </c>
      <c r="D22" s="10">
        <v>0.3</v>
      </c>
      <c r="E22" s="7">
        <v>0.5</v>
      </c>
      <c r="F22" s="141">
        <f t="shared" si="0"/>
        <v>0.4</v>
      </c>
      <c r="G22" s="142">
        <f t="shared" si="1"/>
        <v>2.1</v>
      </c>
      <c r="H22" s="143">
        <f t="shared" si="2"/>
        <v>3.5</v>
      </c>
    </row>
    <row r="23" spans="1:9" x14ac:dyDescent="0.25">
      <c r="A23" s="315">
        <f t="shared" si="3"/>
        <v>22</v>
      </c>
      <c r="B23" s="314" t="s">
        <v>209</v>
      </c>
      <c r="C23" s="415">
        <v>0</v>
      </c>
      <c r="D23" s="10">
        <v>6.2</v>
      </c>
      <c r="E23" s="7">
        <v>12</v>
      </c>
      <c r="F23" s="141">
        <f t="shared" si="0"/>
        <v>0.48333333333333334</v>
      </c>
      <c r="G23" s="142">
        <f t="shared" si="1"/>
        <v>0</v>
      </c>
      <c r="H23" s="143">
        <f t="shared" si="2"/>
        <v>0</v>
      </c>
    </row>
    <row r="24" spans="1:9" ht="15.75" x14ac:dyDescent="0.25">
      <c r="A24" s="315">
        <f t="shared" si="3"/>
        <v>23</v>
      </c>
      <c r="B24" s="164" t="s">
        <v>121</v>
      </c>
      <c r="C24" s="340">
        <v>39</v>
      </c>
      <c r="D24" s="15">
        <v>1.84</v>
      </c>
      <c r="E24" s="7">
        <v>3</v>
      </c>
      <c r="F24" s="141">
        <f t="shared" si="0"/>
        <v>0.38666666666666666</v>
      </c>
      <c r="G24" s="142">
        <f t="shared" si="1"/>
        <v>71.760000000000005</v>
      </c>
      <c r="H24" s="143">
        <f t="shared" si="2"/>
        <v>117</v>
      </c>
    </row>
    <row r="25" spans="1:9" x14ac:dyDescent="0.25">
      <c r="A25" s="315">
        <f t="shared" si="3"/>
        <v>24</v>
      </c>
      <c r="B25" s="314" t="s">
        <v>58</v>
      </c>
      <c r="C25" s="415">
        <v>108</v>
      </c>
      <c r="D25" s="10">
        <v>1.01</v>
      </c>
      <c r="E25" s="7">
        <v>1.5</v>
      </c>
      <c r="F25" s="141">
        <f t="shared" si="0"/>
        <v>0.32666666666666666</v>
      </c>
      <c r="G25" s="142">
        <f t="shared" si="1"/>
        <v>109.08</v>
      </c>
      <c r="H25" s="143">
        <f t="shared" si="2"/>
        <v>162</v>
      </c>
    </row>
    <row r="26" spans="1:9" x14ac:dyDescent="0.25">
      <c r="A26" s="315">
        <f t="shared" si="3"/>
        <v>25</v>
      </c>
      <c r="B26" s="314" t="s">
        <v>158</v>
      </c>
      <c r="C26" s="415">
        <v>1</v>
      </c>
      <c r="D26" s="15">
        <v>19.850000000000001</v>
      </c>
      <c r="E26" s="7">
        <v>32</v>
      </c>
      <c r="F26" s="141">
        <f t="shared" si="0"/>
        <v>0.37968749999999996</v>
      </c>
      <c r="G26" s="142">
        <f t="shared" si="1"/>
        <v>19.850000000000001</v>
      </c>
      <c r="H26" s="143">
        <f t="shared" si="2"/>
        <v>32</v>
      </c>
    </row>
    <row r="27" spans="1:9" x14ac:dyDescent="0.25">
      <c r="A27" s="315">
        <f t="shared" si="3"/>
        <v>26</v>
      </c>
      <c r="B27" s="314" t="s">
        <v>344</v>
      </c>
      <c r="C27" s="415">
        <v>2</v>
      </c>
      <c r="D27" s="10">
        <v>5.4</v>
      </c>
      <c r="E27" s="7">
        <v>10</v>
      </c>
      <c r="F27" s="141">
        <f t="shared" si="0"/>
        <v>0.45999999999999996</v>
      </c>
      <c r="G27" s="142">
        <f t="shared" si="1"/>
        <v>10.8</v>
      </c>
      <c r="H27" s="143">
        <f t="shared" si="2"/>
        <v>20</v>
      </c>
      <c r="I27" s="97"/>
    </row>
    <row r="28" spans="1:9" x14ac:dyDescent="0.25">
      <c r="A28" s="315">
        <f t="shared" si="3"/>
        <v>27</v>
      </c>
      <c r="B28" s="314" t="s">
        <v>343</v>
      </c>
      <c r="C28" s="594">
        <v>7</v>
      </c>
      <c r="D28" s="10">
        <v>5.65</v>
      </c>
      <c r="E28" s="7">
        <v>10</v>
      </c>
      <c r="F28" s="141">
        <f t="shared" si="0"/>
        <v>0.43499999999999994</v>
      </c>
      <c r="G28" s="142">
        <f t="shared" si="1"/>
        <v>39.550000000000004</v>
      </c>
      <c r="H28" s="143">
        <f t="shared" si="2"/>
        <v>70</v>
      </c>
    </row>
    <row r="29" spans="1:9" x14ac:dyDescent="0.25">
      <c r="A29" s="315">
        <f t="shared" si="3"/>
        <v>28</v>
      </c>
      <c r="B29" s="314" t="s">
        <v>142</v>
      </c>
      <c r="C29" s="433">
        <v>4</v>
      </c>
      <c r="D29" s="10">
        <v>3.75</v>
      </c>
      <c r="E29" s="7">
        <v>10</v>
      </c>
      <c r="F29" s="141">
        <f t="shared" si="0"/>
        <v>0.625</v>
      </c>
      <c r="G29" s="142">
        <f t="shared" si="1"/>
        <v>15</v>
      </c>
      <c r="H29" s="143">
        <f t="shared" si="2"/>
        <v>40</v>
      </c>
    </row>
    <row r="30" spans="1:9" x14ac:dyDescent="0.25">
      <c r="A30" s="315">
        <f t="shared" si="3"/>
        <v>29</v>
      </c>
      <c r="B30" s="314" t="s">
        <v>309</v>
      </c>
      <c r="C30" s="415">
        <v>5</v>
      </c>
      <c r="D30" s="10">
        <v>5.65</v>
      </c>
      <c r="E30" s="7">
        <v>10</v>
      </c>
      <c r="F30" s="141">
        <f t="shared" si="0"/>
        <v>0.43499999999999994</v>
      </c>
      <c r="G30" s="142">
        <f t="shared" si="1"/>
        <v>28.25</v>
      </c>
      <c r="H30" s="143">
        <f t="shared" si="2"/>
        <v>50</v>
      </c>
    </row>
    <row r="31" spans="1:9" x14ac:dyDescent="0.25">
      <c r="A31" s="315">
        <f t="shared" si="3"/>
        <v>30</v>
      </c>
      <c r="B31" s="314" t="s">
        <v>143</v>
      </c>
      <c r="C31" s="415">
        <v>4</v>
      </c>
      <c r="D31" s="10">
        <v>5.4</v>
      </c>
      <c r="E31" s="7">
        <v>10</v>
      </c>
      <c r="F31" s="141">
        <f t="shared" si="0"/>
        <v>0.45999999999999996</v>
      </c>
      <c r="G31" s="142">
        <f t="shared" si="1"/>
        <v>21.6</v>
      </c>
      <c r="H31" s="143">
        <f t="shared" si="2"/>
        <v>40</v>
      </c>
    </row>
    <row r="32" spans="1:9" x14ac:dyDescent="0.25">
      <c r="A32" s="315">
        <f t="shared" si="3"/>
        <v>31</v>
      </c>
      <c r="B32" s="314" t="s">
        <v>1310</v>
      </c>
      <c r="C32" s="415">
        <v>1</v>
      </c>
      <c r="D32" s="10">
        <v>4.08</v>
      </c>
      <c r="E32" s="7">
        <v>7</v>
      </c>
      <c r="F32" s="141">
        <f t="shared" si="0"/>
        <v>0.41714285714285715</v>
      </c>
      <c r="G32" s="142">
        <f t="shared" si="1"/>
        <v>4.08</v>
      </c>
      <c r="H32" s="143">
        <f t="shared" si="2"/>
        <v>7</v>
      </c>
    </row>
    <row r="33" spans="1:9" x14ac:dyDescent="0.25">
      <c r="A33" s="315">
        <f t="shared" si="3"/>
        <v>32</v>
      </c>
      <c r="B33" s="314" t="s">
        <v>1369</v>
      </c>
      <c r="C33" s="415">
        <v>1</v>
      </c>
      <c r="D33" s="10">
        <v>66.599999999999994</v>
      </c>
      <c r="E33" s="7">
        <v>110</v>
      </c>
      <c r="F33" s="141">
        <f t="shared" si="0"/>
        <v>0.39454545454545459</v>
      </c>
      <c r="G33" s="142">
        <f t="shared" si="1"/>
        <v>66.599999999999994</v>
      </c>
      <c r="H33" s="143">
        <f t="shared" si="2"/>
        <v>110</v>
      </c>
    </row>
    <row r="34" spans="1:9" x14ac:dyDescent="0.25">
      <c r="A34" s="315">
        <f t="shared" si="3"/>
        <v>33</v>
      </c>
      <c r="B34" s="314" t="s">
        <v>19</v>
      </c>
      <c r="C34" s="415">
        <v>2</v>
      </c>
      <c r="D34" s="15">
        <v>9.32</v>
      </c>
      <c r="E34" s="7">
        <v>19</v>
      </c>
      <c r="F34" s="141">
        <f t="shared" ref="F34:F65" si="4">(E34-D34)/(E34)</f>
        <v>0.5094736842105263</v>
      </c>
      <c r="G34" s="142">
        <f t="shared" ref="G34:G65" si="5">D34*C34</f>
        <v>18.64</v>
      </c>
      <c r="H34" s="143">
        <f t="shared" ref="H34:H65" si="6">E34*C34</f>
        <v>38</v>
      </c>
    </row>
    <row r="35" spans="1:9" x14ac:dyDescent="0.25">
      <c r="A35" s="315">
        <f t="shared" si="3"/>
        <v>34</v>
      </c>
      <c r="B35" s="314" t="s">
        <v>314</v>
      </c>
      <c r="C35" s="415">
        <v>1</v>
      </c>
      <c r="D35" s="10">
        <v>18.600000000000001</v>
      </c>
      <c r="E35" s="7">
        <v>30</v>
      </c>
      <c r="F35" s="141">
        <f t="shared" si="4"/>
        <v>0.37999999999999995</v>
      </c>
      <c r="G35" s="142">
        <f t="shared" si="5"/>
        <v>18.600000000000001</v>
      </c>
      <c r="H35" s="143">
        <f t="shared" si="6"/>
        <v>30</v>
      </c>
    </row>
    <row r="36" spans="1:9" x14ac:dyDescent="0.25">
      <c r="A36" s="315">
        <f t="shared" si="3"/>
        <v>35</v>
      </c>
      <c r="B36" s="314" t="s">
        <v>1144</v>
      </c>
      <c r="C36" s="415">
        <v>72</v>
      </c>
      <c r="D36" s="10">
        <v>0.67</v>
      </c>
      <c r="E36" s="7">
        <v>1</v>
      </c>
      <c r="F36" s="141">
        <f t="shared" si="4"/>
        <v>0.32999999999999996</v>
      </c>
      <c r="G36" s="142">
        <f t="shared" si="5"/>
        <v>48.24</v>
      </c>
      <c r="H36" s="143">
        <f t="shared" si="6"/>
        <v>72</v>
      </c>
    </row>
    <row r="37" spans="1:9" x14ac:dyDescent="0.25">
      <c r="A37" s="315">
        <f t="shared" si="3"/>
        <v>36</v>
      </c>
      <c r="B37" s="314" t="s">
        <v>1172</v>
      </c>
      <c r="C37" s="340">
        <v>0</v>
      </c>
      <c r="D37" s="10">
        <v>0</v>
      </c>
      <c r="E37" s="7">
        <v>0</v>
      </c>
      <c r="F37" s="141" t="e">
        <f t="shared" si="4"/>
        <v>#DIV/0!</v>
      </c>
      <c r="G37" s="142">
        <f t="shared" si="5"/>
        <v>0</v>
      </c>
      <c r="H37" s="143">
        <f t="shared" si="6"/>
        <v>0</v>
      </c>
    </row>
    <row r="38" spans="1:9" x14ac:dyDescent="0.25">
      <c r="A38" s="315">
        <f t="shared" si="3"/>
        <v>37</v>
      </c>
      <c r="B38" s="314" t="s">
        <v>1145</v>
      </c>
      <c r="C38" s="414">
        <v>130</v>
      </c>
      <c r="D38" s="10">
        <v>0.62</v>
      </c>
      <c r="E38" s="7">
        <v>1</v>
      </c>
      <c r="F38" s="141">
        <f t="shared" si="4"/>
        <v>0.38</v>
      </c>
      <c r="G38" s="142">
        <f t="shared" si="5"/>
        <v>80.599999999999994</v>
      </c>
      <c r="H38" s="143">
        <f t="shared" si="6"/>
        <v>130</v>
      </c>
    </row>
    <row r="39" spans="1:9" x14ac:dyDescent="0.25">
      <c r="A39" s="315">
        <f t="shared" si="3"/>
        <v>38</v>
      </c>
      <c r="B39" s="314" t="s">
        <v>334</v>
      </c>
      <c r="C39" s="415">
        <v>3</v>
      </c>
      <c r="D39" s="10">
        <v>33.9</v>
      </c>
      <c r="E39" s="7">
        <v>51</v>
      </c>
      <c r="F39" s="141">
        <f t="shared" si="4"/>
        <v>0.33529411764705885</v>
      </c>
      <c r="G39" s="142">
        <f t="shared" si="5"/>
        <v>101.69999999999999</v>
      </c>
      <c r="H39" s="143">
        <f t="shared" si="6"/>
        <v>153</v>
      </c>
    </row>
    <row r="40" spans="1:9" x14ac:dyDescent="0.25">
      <c r="A40" s="315">
        <f t="shared" si="3"/>
        <v>39</v>
      </c>
      <c r="B40" s="314" t="s">
        <v>207</v>
      </c>
      <c r="C40" s="415">
        <v>3</v>
      </c>
      <c r="D40" s="10">
        <v>5.78</v>
      </c>
      <c r="E40" s="7">
        <v>10</v>
      </c>
      <c r="F40" s="141">
        <f t="shared" si="4"/>
        <v>0.42199999999999999</v>
      </c>
      <c r="G40" s="142">
        <f t="shared" si="5"/>
        <v>17.34</v>
      </c>
      <c r="H40" s="143">
        <f t="shared" si="6"/>
        <v>30</v>
      </c>
    </row>
    <row r="41" spans="1:9" x14ac:dyDescent="0.25">
      <c r="A41" s="315">
        <f t="shared" si="3"/>
        <v>40</v>
      </c>
      <c r="B41" s="314" t="s">
        <v>1146</v>
      </c>
      <c r="C41" s="415">
        <v>36</v>
      </c>
      <c r="D41" s="10">
        <v>0.98</v>
      </c>
      <c r="E41" s="7">
        <v>1.75</v>
      </c>
      <c r="F41" s="141">
        <f t="shared" si="4"/>
        <v>0.44</v>
      </c>
      <c r="G41" s="142">
        <f t="shared" si="5"/>
        <v>35.28</v>
      </c>
      <c r="H41" s="143">
        <f t="shared" si="6"/>
        <v>63</v>
      </c>
    </row>
    <row r="42" spans="1:9" x14ac:dyDescent="0.25">
      <c r="A42" s="315">
        <f t="shared" si="3"/>
        <v>41</v>
      </c>
      <c r="B42" s="314" t="s">
        <v>1147</v>
      </c>
      <c r="C42" s="415">
        <v>92</v>
      </c>
      <c r="D42" s="10">
        <v>0.57999999999999996</v>
      </c>
      <c r="E42" s="7">
        <v>0.9</v>
      </c>
      <c r="F42" s="141">
        <f t="shared" si="4"/>
        <v>0.35555555555555562</v>
      </c>
      <c r="G42" s="142">
        <f t="shared" si="5"/>
        <v>53.36</v>
      </c>
      <c r="H42" s="143">
        <f t="shared" si="6"/>
        <v>82.8</v>
      </c>
    </row>
    <row r="43" spans="1:9" x14ac:dyDescent="0.25">
      <c r="A43" s="315">
        <f t="shared" si="3"/>
        <v>42</v>
      </c>
      <c r="B43" s="314" t="s">
        <v>845</v>
      </c>
      <c r="C43" s="415">
        <v>1</v>
      </c>
      <c r="D43" s="10">
        <v>50.48</v>
      </c>
      <c r="E43" s="7">
        <v>81</v>
      </c>
      <c r="F43" s="141">
        <f t="shared" si="4"/>
        <v>0.37679012345679014</v>
      </c>
      <c r="G43" s="142">
        <f t="shared" si="5"/>
        <v>50.48</v>
      </c>
      <c r="H43" s="143">
        <f t="shared" si="6"/>
        <v>81</v>
      </c>
      <c r="I43" s="97"/>
    </row>
    <row r="44" spans="1:9" x14ac:dyDescent="0.25">
      <c r="A44" s="315">
        <f t="shared" si="3"/>
        <v>43</v>
      </c>
      <c r="B44" s="314" t="s">
        <v>844</v>
      </c>
      <c r="C44" s="415">
        <v>2</v>
      </c>
      <c r="D44" s="10">
        <v>47.57</v>
      </c>
      <c r="E44" s="7">
        <v>78</v>
      </c>
      <c r="F44" s="141">
        <f t="shared" si="4"/>
        <v>0.39012820512820512</v>
      </c>
      <c r="G44" s="142">
        <f t="shared" si="5"/>
        <v>95.14</v>
      </c>
      <c r="H44" s="143">
        <f t="shared" si="6"/>
        <v>156</v>
      </c>
    </row>
    <row r="45" spans="1:9" x14ac:dyDescent="0.25">
      <c r="A45" s="315">
        <f t="shared" si="3"/>
        <v>44</v>
      </c>
      <c r="B45" s="314" t="s">
        <v>235</v>
      </c>
      <c r="C45" s="415">
        <v>30</v>
      </c>
      <c r="D45" s="10">
        <v>0.23</v>
      </c>
      <c r="E45" s="7">
        <v>0.5</v>
      </c>
      <c r="F45" s="141">
        <f t="shared" si="4"/>
        <v>0.54</v>
      </c>
      <c r="G45" s="142">
        <f t="shared" si="5"/>
        <v>6.9</v>
      </c>
      <c r="H45" s="143">
        <f t="shared" si="6"/>
        <v>15</v>
      </c>
    </row>
    <row r="46" spans="1:9" x14ac:dyDescent="0.25">
      <c r="A46" s="315">
        <f t="shared" si="3"/>
        <v>45</v>
      </c>
      <c r="B46" s="314" t="s">
        <v>1451</v>
      </c>
      <c r="C46" s="415">
        <v>4</v>
      </c>
      <c r="D46" s="10">
        <v>8.4</v>
      </c>
      <c r="E46" s="7">
        <v>16</v>
      </c>
      <c r="F46" s="141">
        <f t="shared" si="4"/>
        <v>0.47499999999999998</v>
      </c>
      <c r="G46" s="142">
        <f t="shared" si="5"/>
        <v>33.6</v>
      </c>
      <c r="H46" s="143">
        <f t="shared" si="6"/>
        <v>64</v>
      </c>
    </row>
    <row r="47" spans="1:9" x14ac:dyDescent="0.25">
      <c r="A47" s="315">
        <f t="shared" si="3"/>
        <v>46</v>
      </c>
      <c r="B47" s="314" t="s">
        <v>863</v>
      </c>
      <c r="C47" s="415">
        <v>29</v>
      </c>
      <c r="D47" s="10">
        <v>0.59</v>
      </c>
      <c r="E47" s="7">
        <v>1</v>
      </c>
      <c r="F47" s="141">
        <f t="shared" si="4"/>
        <v>0.41000000000000003</v>
      </c>
      <c r="G47" s="142">
        <f t="shared" si="5"/>
        <v>17.11</v>
      </c>
      <c r="H47" s="143">
        <f t="shared" si="6"/>
        <v>29</v>
      </c>
    </row>
    <row r="48" spans="1:9" x14ac:dyDescent="0.25">
      <c r="A48" s="315">
        <f t="shared" si="3"/>
        <v>47</v>
      </c>
      <c r="B48" s="314" t="s">
        <v>692</v>
      </c>
      <c r="C48" s="415">
        <v>1</v>
      </c>
      <c r="D48" s="10">
        <v>9.75</v>
      </c>
      <c r="E48" s="7">
        <v>16</v>
      </c>
      <c r="F48" s="141">
        <f t="shared" si="4"/>
        <v>0.390625</v>
      </c>
      <c r="G48" s="142">
        <f t="shared" si="5"/>
        <v>9.75</v>
      </c>
      <c r="H48" s="143">
        <f t="shared" si="6"/>
        <v>16</v>
      </c>
    </row>
    <row r="49" spans="1:8" x14ac:dyDescent="0.25">
      <c r="A49" s="315">
        <f t="shared" si="3"/>
        <v>48</v>
      </c>
      <c r="B49" s="314" t="s">
        <v>616</v>
      </c>
      <c r="C49" s="340">
        <v>2</v>
      </c>
      <c r="D49" s="15">
        <v>9.17</v>
      </c>
      <c r="E49" s="7">
        <v>20</v>
      </c>
      <c r="F49" s="141">
        <f t="shared" si="4"/>
        <v>0.54149999999999998</v>
      </c>
      <c r="G49" s="142">
        <f t="shared" si="5"/>
        <v>18.34</v>
      </c>
      <c r="H49" s="143">
        <f t="shared" si="6"/>
        <v>40</v>
      </c>
    </row>
    <row r="50" spans="1:8" x14ac:dyDescent="0.25">
      <c r="A50" s="315">
        <f t="shared" si="3"/>
        <v>49</v>
      </c>
      <c r="B50" s="314" t="s">
        <v>166</v>
      </c>
      <c r="C50" s="415">
        <v>1</v>
      </c>
      <c r="D50" s="10">
        <v>3.92</v>
      </c>
      <c r="E50" s="7">
        <v>7</v>
      </c>
      <c r="F50" s="141">
        <f t="shared" si="4"/>
        <v>0.44</v>
      </c>
      <c r="G50" s="142">
        <f t="shared" si="5"/>
        <v>3.92</v>
      </c>
      <c r="H50" s="143">
        <f t="shared" si="6"/>
        <v>7</v>
      </c>
    </row>
    <row r="51" spans="1:8" x14ac:dyDescent="0.25">
      <c r="A51" s="315">
        <f t="shared" si="3"/>
        <v>50</v>
      </c>
      <c r="B51" s="314" t="s">
        <v>1149</v>
      </c>
      <c r="C51" s="415">
        <v>40</v>
      </c>
      <c r="D51" s="10">
        <v>0.16</v>
      </c>
      <c r="E51" s="7">
        <v>0.25</v>
      </c>
      <c r="F51" s="141">
        <f t="shared" si="4"/>
        <v>0.36</v>
      </c>
      <c r="G51" s="142">
        <f t="shared" si="5"/>
        <v>6.4</v>
      </c>
      <c r="H51" s="143">
        <f t="shared" si="6"/>
        <v>10</v>
      </c>
    </row>
    <row r="52" spans="1:8" x14ac:dyDescent="0.25">
      <c r="A52" s="315">
        <f t="shared" si="3"/>
        <v>51</v>
      </c>
      <c r="B52" s="314" t="s">
        <v>65</v>
      </c>
      <c r="C52" s="415">
        <v>7</v>
      </c>
      <c r="D52" s="10">
        <v>12.25</v>
      </c>
      <c r="E52" s="7">
        <v>20</v>
      </c>
      <c r="F52" s="141">
        <f t="shared" si="4"/>
        <v>0.38750000000000001</v>
      </c>
      <c r="G52" s="142">
        <f t="shared" si="5"/>
        <v>85.75</v>
      </c>
      <c r="H52" s="143">
        <f t="shared" si="6"/>
        <v>140</v>
      </c>
    </row>
    <row r="53" spans="1:8" x14ac:dyDescent="0.25">
      <c r="A53" s="315">
        <f t="shared" si="3"/>
        <v>52</v>
      </c>
      <c r="B53" s="314" t="s">
        <v>66</v>
      </c>
      <c r="C53" s="280">
        <v>0</v>
      </c>
      <c r="D53" s="15">
        <v>75.75</v>
      </c>
      <c r="E53" s="7">
        <v>114</v>
      </c>
      <c r="F53" s="141">
        <f t="shared" si="4"/>
        <v>0.33552631578947367</v>
      </c>
      <c r="G53" s="142">
        <f t="shared" si="5"/>
        <v>0</v>
      </c>
      <c r="H53" s="143">
        <f t="shared" si="6"/>
        <v>0</v>
      </c>
    </row>
    <row r="54" spans="1:8" x14ac:dyDescent="0.25">
      <c r="A54" s="315">
        <f t="shared" si="3"/>
        <v>53</v>
      </c>
      <c r="B54" s="314" t="s">
        <v>518</v>
      </c>
      <c r="C54" s="415">
        <v>1</v>
      </c>
      <c r="D54" s="10">
        <v>51.17</v>
      </c>
      <c r="E54" s="7">
        <v>77</v>
      </c>
      <c r="F54" s="141">
        <f t="shared" si="4"/>
        <v>0.33545454545454545</v>
      </c>
      <c r="G54" s="142">
        <f t="shared" si="5"/>
        <v>51.17</v>
      </c>
      <c r="H54" s="143">
        <f t="shared" si="6"/>
        <v>77</v>
      </c>
    </row>
    <row r="55" spans="1:8" x14ac:dyDescent="0.25">
      <c r="A55" s="315">
        <f t="shared" si="3"/>
        <v>54</v>
      </c>
      <c r="B55" s="314" t="s">
        <v>1362</v>
      </c>
      <c r="C55" s="414">
        <v>64</v>
      </c>
      <c r="D55" s="10">
        <v>1.92</v>
      </c>
      <c r="E55" s="7">
        <v>3</v>
      </c>
      <c r="F55" s="141">
        <f t="shared" si="4"/>
        <v>0.36000000000000004</v>
      </c>
      <c r="G55" s="142">
        <f t="shared" si="5"/>
        <v>122.88</v>
      </c>
      <c r="H55" s="143">
        <f t="shared" si="6"/>
        <v>192</v>
      </c>
    </row>
    <row r="56" spans="1:8" x14ac:dyDescent="0.25">
      <c r="A56" s="315">
        <f t="shared" si="3"/>
        <v>55</v>
      </c>
      <c r="B56" s="314" t="s">
        <v>439</v>
      </c>
      <c r="C56" s="415">
        <v>20</v>
      </c>
      <c r="D56" s="15">
        <v>5.07</v>
      </c>
      <c r="E56" s="7">
        <v>8.5</v>
      </c>
      <c r="F56" s="141">
        <f t="shared" si="4"/>
        <v>0.40352941176470586</v>
      </c>
      <c r="G56" s="142">
        <f t="shared" si="5"/>
        <v>101.4</v>
      </c>
      <c r="H56" s="143">
        <f t="shared" si="6"/>
        <v>170</v>
      </c>
    </row>
    <row r="57" spans="1:8" x14ac:dyDescent="0.25">
      <c r="A57" s="315">
        <f t="shared" si="3"/>
        <v>56</v>
      </c>
      <c r="B57" s="314" t="s">
        <v>1150</v>
      </c>
      <c r="C57" s="415">
        <v>104</v>
      </c>
      <c r="D57" s="10">
        <v>0.53</v>
      </c>
      <c r="E57" s="7">
        <v>0.9</v>
      </c>
      <c r="F57" s="141">
        <f t="shared" si="4"/>
        <v>0.41111111111111109</v>
      </c>
      <c r="G57" s="142">
        <f t="shared" si="5"/>
        <v>55.120000000000005</v>
      </c>
      <c r="H57" s="143">
        <f t="shared" si="6"/>
        <v>93.600000000000009</v>
      </c>
    </row>
    <row r="58" spans="1:8" x14ac:dyDescent="0.25">
      <c r="A58" s="315">
        <f t="shared" si="3"/>
        <v>57</v>
      </c>
      <c r="B58" s="314" t="s">
        <v>1151</v>
      </c>
      <c r="C58" s="415">
        <v>41</v>
      </c>
      <c r="D58" s="10">
        <v>1.79</v>
      </c>
      <c r="E58" s="7">
        <v>2.8</v>
      </c>
      <c r="F58" s="141">
        <f t="shared" si="4"/>
        <v>0.36071428571428565</v>
      </c>
      <c r="G58" s="142">
        <f t="shared" si="5"/>
        <v>73.39</v>
      </c>
      <c r="H58" s="143">
        <f t="shared" si="6"/>
        <v>114.8</v>
      </c>
    </row>
    <row r="59" spans="1:8" x14ac:dyDescent="0.25">
      <c r="A59" s="315">
        <f t="shared" si="3"/>
        <v>58</v>
      </c>
      <c r="B59" s="314" t="s">
        <v>1152</v>
      </c>
      <c r="C59" s="415">
        <v>14</v>
      </c>
      <c r="D59" s="10">
        <v>1.03</v>
      </c>
      <c r="E59" s="7">
        <v>2.5</v>
      </c>
      <c r="F59" s="141">
        <f t="shared" si="4"/>
        <v>0.58799999999999997</v>
      </c>
      <c r="G59" s="142">
        <f t="shared" si="5"/>
        <v>14.42</v>
      </c>
      <c r="H59" s="143">
        <f t="shared" si="6"/>
        <v>35</v>
      </c>
    </row>
    <row r="60" spans="1:8" x14ac:dyDescent="0.25">
      <c r="A60" s="315">
        <f t="shared" si="3"/>
        <v>59</v>
      </c>
      <c r="B60" s="314" t="s">
        <v>159</v>
      </c>
      <c r="C60" s="415">
        <v>2</v>
      </c>
      <c r="D60" s="10">
        <v>36.07</v>
      </c>
      <c r="E60" s="7">
        <v>55</v>
      </c>
      <c r="F60" s="141">
        <f t="shared" si="4"/>
        <v>0.3441818181818182</v>
      </c>
      <c r="G60" s="142">
        <f t="shared" si="5"/>
        <v>72.14</v>
      </c>
      <c r="H60" s="143">
        <f t="shared" si="6"/>
        <v>110</v>
      </c>
    </row>
    <row r="61" spans="1:8" x14ac:dyDescent="0.25">
      <c r="A61" s="315">
        <f t="shared" si="3"/>
        <v>60</v>
      </c>
      <c r="B61" s="314" t="s">
        <v>1153</v>
      </c>
      <c r="C61" s="415">
        <v>30</v>
      </c>
      <c r="D61" s="15">
        <v>1.78</v>
      </c>
      <c r="E61" s="7">
        <v>3</v>
      </c>
      <c r="F61" s="141">
        <f t="shared" si="4"/>
        <v>0.40666666666666668</v>
      </c>
      <c r="G61" s="142">
        <f t="shared" si="5"/>
        <v>53.4</v>
      </c>
      <c r="H61" s="143">
        <f t="shared" si="6"/>
        <v>90</v>
      </c>
    </row>
    <row r="62" spans="1:8" x14ac:dyDescent="0.25">
      <c r="A62" s="315">
        <f t="shared" si="3"/>
        <v>61</v>
      </c>
      <c r="B62" s="314" t="s">
        <v>977</v>
      </c>
      <c r="C62" s="415">
        <v>1</v>
      </c>
      <c r="D62" s="10">
        <v>50.1</v>
      </c>
      <c r="E62" s="7">
        <v>77</v>
      </c>
      <c r="F62" s="141">
        <f t="shared" si="4"/>
        <v>0.34935064935064936</v>
      </c>
      <c r="G62" s="142">
        <f t="shared" si="5"/>
        <v>50.1</v>
      </c>
      <c r="H62" s="143">
        <f t="shared" si="6"/>
        <v>77</v>
      </c>
    </row>
    <row r="63" spans="1:8" x14ac:dyDescent="0.25">
      <c r="A63" s="315">
        <f t="shared" si="3"/>
        <v>62</v>
      </c>
      <c r="B63" s="314" t="s">
        <v>878</v>
      </c>
      <c r="C63" s="415">
        <v>3</v>
      </c>
      <c r="D63" s="10">
        <v>11.37</v>
      </c>
      <c r="E63" s="7">
        <v>19</v>
      </c>
      <c r="F63" s="141">
        <f t="shared" si="4"/>
        <v>0.40157894736842109</v>
      </c>
      <c r="G63" s="142">
        <f t="shared" si="5"/>
        <v>34.11</v>
      </c>
      <c r="H63" s="143">
        <f t="shared" si="6"/>
        <v>57</v>
      </c>
    </row>
    <row r="64" spans="1:8" x14ac:dyDescent="0.25">
      <c r="A64" s="315">
        <f t="shared" si="3"/>
        <v>63</v>
      </c>
      <c r="B64" s="314" t="s">
        <v>590</v>
      </c>
      <c r="C64" s="415">
        <v>1</v>
      </c>
      <c r="D64" s="10">
        <v>26.03</v>
      </c>
      <c r="E64" s="7">
        <v>41</v>
      </c>
      <c r="F64" s="141">
        <f t="shared" si="4"/>
        <v>0.36512195121951219</v>
      </c>
      <c r="G64" s="142">
        <f t="shared" si="5"/>
        <v>26.03</v>
      </c>
      <c r="H64" s="143">
        <f t="shared" si="6"/>
        <v>41</v>
      </c>
    </row>
    <row r="65" spans="1:9" x14ac:dyDescent="0.25">
      <c r="A65" s="315">
        <f t="shared" si="3"/>
        <v>64</v>
      </c>
      <c r="B65" s="314" t="s">
        <v>324</v>
      </c>
      <c r="C65" s="415">
        <v>74</v>
      </c>
      <c r="D65" s="10">
        <v>1.03</v>
      </c>
      <c r="E65" s="7">
        <v>1.8</v>
      </c>
      <c r="F65" s="141">
        <f t="shared" si="4"/>
        <v>0.42777777777777776</v>
      </c>
      <c r="G65" s="142">
        <f t="shared" si="5"/>
        <v>76.22</v>
      </c>
      <c r="H65" s="143">
        <f t="shared" si="6"/>
        <v>133.20000000000002</v>
      </c>
    </row>
    <row r="66" spans="1:9" x14ac:dyDescent="0.25">
      <c r="A66" s="315">
        <f t="shared" si="3"/>
        <v>65</v>
      </c>
      <c r="B66" s="314" t="s">
        <v>68</v>
      </c>
      <c r="C66" s="415">
        <v>2</v>
      </c>
      <c r="D66" s="15">
        <v>11.96</v>
      </c>
      <c r="E66" s="7">
        <v>18</v>
      </c>
      <c r="F66" s="141">
        <f t="shared" ref="F66:F97" si="7">(E66-D66)/(E66)</f>
        <v>0.3355555555555555</v>
      </c>
      <c r="G66" s="142">
        <f t="shared" ref="G66:G97" si="8">D66*C66</f>
        <v>23.92</v>
      </c>
      <c r="H66" s="143">
        <f t="shared" ref="H66:H97" si="9">E66*C66</f>
        <v>36</v>
      </c>
    </row>
    <row r="67" spans="1:9" x14ac:dyDescent="0.25">
      <c r="A67" s="315">
        <f t="shared" ref="A67:A130" si="10">A66+1</f>
        <v>66</v>
      </c>
      <c r="B67" s="314" t="s">
        <v>97</v>
      </c>
      <c r="C67" s="415">
        <v>34</v>
      </c>
      <c r="D67" s="18">
        <v>0.11</v>
      </c>
      <c r="E67" s="44">
        <v>0.25</v>
      </c>
      <c r="F67" s="141">
        <f t="shared" si="7"/>
        <v>0.56000000000000005</v>
      </c>
      <c r="G67" s="142">
        <f t="shared" si="8"/>
        <v>3.74</v>
      </c>
      <c r="H67" s="143">
        <f t="shared" si="9"/>
        <v>8.5</v>
      </c>
    </row>
    <row r="68" spans="1:9" x14ac:dyDescent="0.25">
      <c r="A68" s="315">
        <f t="shared" si="10"/>
        <v>67</v>
      </c>
      <c r="B68" s="314" t="s">
        <v>954</v>
      </c>
      <c r="C68" s="415">
        <v>127</v>
      </c>
      <c r="D68" s="10">
        <v>0.1</v>
      </c>
      <c r="E68" s="7">
        <v>0.25</v>
      </c>
      <c r="F68" s="141">
        <f t="shared" si="7"/>
        <v>0.6</v>
      </c>
      <c r="G68" s="142">
        <f t="shared" si="8"/>
        <v>12.700000000000001</v>
      </c>
      <c r="H68" s="143">
        <f t="shared" si="9"/>
        <v>31.75</v>
      </c>
    </row>
    <row r="69" spans="1:9" x14ac:dyDescent="0.25">
      <c r="A69" s="315">
        <f t="shared" si="10"/>
        <v>68</v>
      </c>
      <c r="B69" s="314" t="s">
        <v>1154</v>
      </c>
      <c r="C69" s="415">
        <v>33</v>
      </c>
      <c r="D69" s="10">
        <v>1.66</v>
      </c>
      <c r="E69" s="7">
        <v>2.7</v>
      </c>
      <c r="F69" s="141">
        <f t="shared" si="7"/>
        <v>0.38518518518518524</v>
      </c>
      <c r="G69" s="142">
        <f t="shared" si="8"/>
        <v>54.779999999999994</v>
      </c>
      <c r="H69" s="143">
        <f t="shared" si="9"/>
        <v>89.100000000000009</v>
      </c>
    </row>
    <row r="70" spans="1:9" x14ac:dyDescent="0.25">
      <c r="A70" s="315">
        <f t="shared" si="10"/>
        <v>69</v>
      </c>
      <c r="B70" s="314" t="s">
        <v>60</v>
      </c>
      <c r="C70" s="415">
        <v>1</v>
      </c>
      <c r="D70" s="15">
        <v>45.5</v>
      </c>
      <c r="E70" s="7">
        <v>69</v>
      </c>
      <c r="F70" s="141">
        <f t="shared" si="7"/>
        <v>0.34057971014492755</v>
      </c>
      <c r="G70" s="142">
        <f t="shared" si="8"/>
        <v>45.5</v>
      </c>
      <c r="H70" s="143">
        <f t="shared" si="9"/>
        <v>69</v>
      </c>
    </row>
    <row r="71" spans="1:9" x14ac:dyDescent="0.25">
      <c r="A71" s="315">
        <f t="shared" si="10"/>
        <v>70</v>
      </c>
      <c r="B71" s="314" t="s">
        <v>73</v>
      </c>
      <c r="C71" s="658">
        <v>1</v>
      </c>
      <c r="D71" s="10">
        <v>26.09</v>
      </c>
      <c r="E71" s="7">
        <v>40</v>
      </c>
      <c r="F71" s="141">
        <f t="shared" si="7"/>
        <v>0.34775</v>
      </c>
      <c r="G71" s="142">
        <f t="shared" si="8"/>
        <v>26.09</v>
      </c>
      <c r="H71" s="143">
        <f t="shared" si="9"/>
        <v>40</v>
      </c>
    </row>
    <row r="72" spans="1:9" x14ac:dyDescent="0.25">
      <c r="A72" s="315">
        <f t="shared" si="10"/>
        <v>71</v>
      </c>
      <c r="B72" s="314" t="s">
        <v>633</v>
      </c>
      <c r="C72" s="415">
        <v>1</v>
      </c>
      <c r="D72" s="10">
        <v>37.86</v>
      </c>
      <c r="E72" s="7">
        <v>61</v>
      </c>
      <c r="F72" s="141">
        <f t="shared" si="7"/>
        <v>0.379344262295082</v>
      </c>
      <c r="G72" s="142">
        <f t="shared" si="8"/>
        <v>37.86</v>
      </c>
      <c r="H72" s="143">
        <f t="shared" si="9"/>
        <v>61</v>
      </c>
    </row>
    <row r="73" spans="1:9" ht="14.25" customHeight="1" x14ac:dyDescent="0.25">
      <c r="A73" s="315">
        <f t="shared" si="10"/>
        <v>72</v>
      </c>
      <c r="B73" s="314" t="s">
        <v>408</v>
      </c>
      <c r="C73" s="280">
        <v>1</v>
      </c>
      <c r="D73" s="15">
        <v>27.28</v>
      </c>
      <c r="E73" s="7">
        <v>42</v>
      </c>
      <c r="F73" s="141">
        <f t="shared" si="7"/>
        <v>0.35047619047619044</v>
      </c>
      <c r="G73" s="142">
        <f t="shared" si="8"/>
        <v>27.28</v>
      </c>
      <c r="H73" s="143">
        <f t="shared" si="9"/>
        <v>42</v>
      </c>
    </row>
    <row r="74" spans="1:9" x14ac:dyDescent="0.25">
      <c r="A74" s="315">
        <f t="shared" si="10"/>
        <v>73</v>
      </c>
      <c r="B74" s="314" t="s">
        <v>75</v>
      </c>
      <c r="C74" s="340">
        <v>33</v>
      </c>
      <c r="D74" s="10">
        <v>0.61</v>
      </c>
      <c r="E74" s="7">
        <v>1</v>
      </c>
      <c r="F74" s="141">
        <f t="shared" si="7"/>
        <v>0.39</v>
      </c>
      <c r="G74" s="142">
        <f t="shared" si="8"/>
        <v>20.13</v>
      </c>
      <c r="H74" s="143">
        <f t="shared" si="9"/>
        <v>33</v>
      </c>
    </row>
    <row r="75" spans="1:9" x14ac:dyDescent="0.25">
      <c r="A75" s="315">
        <f t="shared" si="10"/>
        <v>74</v>
      </c>
      <c r="B75" s="314" t="s">
        <v>1415</v>
      </c>
      <c r="C75" s="415">
        <v>0</v>
      </c>
      <c r="D75" s="10">
        <v>0</v>
      </c>
      <c r="E75" s="7">
        <v>0</v>
      </c>
      <c r="F75" s="141" t="e">
        <f t="shared" si="7"/>
        <v>#DIV/0!</v>
      </c>
      <c r="G75" s="142">
        <f t="shared" si="8"/>
        <v>0</v>
      </c>
      <c r="H75" s="143">
        <f t="shared" si="9"/>
        <v>0</v>
      </c>
    </row>
    <row r="76" spans="1:9" x14ac:dyDescent="0.25">
      <c r="A76" s="315">
        <f t="shared" si="10"/>
        <v>75</v>
      </c>
      <c r="B76" s="4" t="s">
        <v>278</v>
      </c>
      <c r="C76" s="415">
        <v>4</v>
      </c>
      <c r="D76" s="15">
        <v>9.5500000000000007</v>
      </c>
      <c r="E76" s="7">
        <v>19</v>
      </c>
      <c r="F76" s="141">
        <f t="shared" si="7"/>
        <v>0.49736842105263152</v>
      </c>
      <c r="G76" s="142">
        <f t="shared" si="8"/>
        <v>38.200000000000003</v>
      </c>
      <c r="H76" s="143">
        <f t="shared" si="9"/>
        <v>76</v>
      </c>
    </row>
    <row r="77" spans="1:9" x14ac:dyDescent="0.25">
      <c r="A77" s="315">
        <f t="shared" si="10"/>
        <v>76</v>
      </c>
      <c r="B77" s="314" t="s">
        <v>1156</v>
      </c>
      <c r="C77" s="415">
        <v>26</v>
      </c>
      <c r="D77" s="10">
        <v>2.5499999999999998</v>
      </c>
      <c r="E77" s="7">
        <v>4</v>
      </c>
      <c r="F77" s="141">
        <f t="shared" si="7"/>
        <v>0.36250000000000004</v>
      </c>
      <c r="G77" s="142">
        <f t="shared" si="8"/>
        <v>66.3</v>
      </c>
      <c r="H77" s="143">
        <f t="shared" si="9"/>
        <v>104</v>
      </c>
    </row>
    <row r="78" spans="1:9" x14ac:dyDescent="0.25">
      <c r="A78" s="315">
        <f t="shared" si="10"/>
        <v>77</v>
      </c>
      <c r="B78" s="314" t="s">
        <v>1157</v>
      </c>
      <c r="C78" s="415">
        <v>200</v>
      </c>
      <c r="D78" s="10">
        <v>0.31</v>
      </c>
      <c r="E78" s="7">
        <v>1</v>
      </c>
      <c r="F78" s="141">
        <f t="shared" si="7"/>
        <v>0.69</v>
      </c>
      <c r="G78" s="142">
        <f t="shared" si="8"/>
        <v>62</v>
      </c>
      <c r="H78" s="143">
        <f t="shared" si="9"/>
        <v>200</v>
      </c>
    </row>
    <row r="79" spans="1:9" x14ac:dyDescent="0.25">
      <c r="A79" s="315">
        <f t="shared" si="10"/>
        <v>78</v>
      </c>
      <c r="B79" s="314" t="s">
        <v>1158</v>
      </c>
      <c r="C79" s="280">
        <v>0</v>
      </c>
      <c r="D79" s="10">
        <v>0.21</v>
      </c>
      <c r="E79" s="7">
        <v>0.5</v>
      </c>
      <c r="F79" s="141">
        <f t="shared" si="7"/>
        <v>0.58000000000000007</v>
      </c>
      <c r="G79" s="142">
        <f t="shared" si="8"/>
        <v>0</v>
      </c>
      <c r="H79" s="143">
        <f t="shared" si="9"/>
        <v>0</v>
      </c>
      <c r="I79" s="32"/>
    </row>
    <row r="80" spans="1:9" x14ac:dyDescent="0.25">
      <c r="A80" s="315">
        <f t="shared" si="10"/>
        <v>79</v>
      </c>
      <c r="B80" s="314" t="s">
        <v>153</v>
      </c>
      <c r="C80" s="415">
        <v>2</v>
      </c>
      <c r="D80" s="10">
        <v>5.15</v>
      </c>
      <c r="E80" s="7">
        <v>9</v>
      </c>
      <c r="F80" s="141">
        <f t="shared" si="7"/>
        <v>0.42777777777777776</v>
      </c>
      <c r="G80" s="142">
        <f t="shared" si="8"/>
        <v>10.3</v>
      </c>
      <c r="H80" s="143">
        <f t="shared" si="9"/>
        <v>18</v>
      </c>
      <c r="I80" s="31"/>
    </row>
    <row r="81" spans="1:9" x14ac:dyDescent="0.25">
      <c r="A81" s="315">
        <f t="shared" si="10"/>
        <v>80</v>
      </c>
      <c r="B81" s="314" t="s">
        <v>122</v>
      </c>
      <c r="C81" s="415">
        <v>3</v>
      </c>
      <c r="D81" s="10">
        <v>11</v>
      </c>
      <c r="E81" s="7">
        <v>18</v>
      </c>
      <c r="F81" s="141">
        <f t="shared" si="7"/>
        <v>0.3888888888888889</v>
      </c>
      <c r="G81" s="142">
        <f t="shared" si="8"/>
        <v>33</v>
      </c>
      <c r="H81" s="143">
        <f t="shared" si="9"/>
        <v>54</v>
      </c>
      <c r="I81" s="96"/>
    </row>
    <row r="82" spans="1:9" x14ac:dyDescent="0.25">
      <c r="A82" s="315">
        <f t="shared" si="10"/>
        <v>81</v>
      </c>
      <c r="B82" s="314" t="s">
        <v>1098</v>
      </c>
      <c r="C82" s="415">
        <v>6</v>
      </c>
      <c r="D82" s="10">
        <v>9.3000000000000007</v>
      </c>
      <c r="E82" s="7">
        <v>14</v>
      </c>
      <c r="F82" s="141">
        <f t="shared" si="7"/>
        <v>0.33571428571428569</v>
      </c>
      <c r="G82" s="142">
        <f t="shared" si="8"/>
        <v>55.800000000000004</v>
      </c>
      <c r="H82" s="143">
        <f t="shared" si="9"/>
        <v>84</v>
      </c>
    </row>
    <row r="83" spans="1:9" ht="14.25" customHeight="1" x14ac:dyDescent="0.25">
      <c r="A83" s="315">
        <f t="shared" si="10"/>
        <v>82</v>
      </c>
      <c r="B83" s="314" t="s">
        <v>85</v>
      </c>
      <c r="C83" s="415">
        <v>5</v>
      </c>
      <c r="D83" s="10">
        <v>3.48</v>
      </c>
      <c r="E83" s="7">
        <v>7</v>
      </c>
      <c r="F83" s="141">
        <f t="shared" si="7"/>
        <v>0.50285714285714289</v>
      </c>
      <c r="G83" s="142">
        <f t="shared" si="8"/>
        <v>17.399999999999999</v>
      </c>
      <c r="H83" s="143">
        <f t="shared" si="9"/>
        <v>35</v>
      </c>
    </row>
    <row r="84" spans="1:9" x14ac:dyDescent="0.25">
      <c r="A84" s="315">
        <f t="shared" si="10"/>
        <v>83</v>
      </c>
      <c r="B84" s="314" t="s">
        <v>262</v>
      </c>
      <c r="C84" s="415">
        <v>3</v>
      </c>
      <c r="D84" s="10">
        <v>17.5</v>
      </c>
      <c r="E84" s="7">
        <v>29</v>
      </c>
      <c r="F84" s="141">
        <f t="shared" si="7"/>
        <v>0.39655172413793105</v>
      </c>
      <c r="G84" s="142">
        <f t="shared" si="8"/>
        <v>52.5</v>
      </c>
      <c r="H84" s="143">
        <f t="shared" si="9"/>
        <v>87</v>
      </c>
      <c r="I84" s="31"/>
    </row>
    <row r="85" spans="1:9" x14ac:dyDescent="0.25">
      <c r="A85" s="315">
        <f t="shared" si="10"/>
        <v>84</v>
      </c>
      <c r="B85" s="314" t="s">
        <v>629</v>
      </c>
      <c r="C85" s="415">
        <v>2</v>
      </c>
      <c r="D85" s="10">
        <v>7</v>
      </c>
      <c r="E85" s="7">
        <v>12</v>
      </c>
      <c r="F85" s="141">
        <f t="shared" si="7"/>
        <v>0.41666666666666669</v>
      </c>
      <c r="G85" s="142">
        <f t="shared" si="8"/>
        <v>14</v>
      </c>
      <c r="H85" s="143">
        <f t="shared" si="9"/>
        <v>24</v>
      </c>
      <c r="I85" s="97"/>
    </row>
    <row r="86" spans="1:9" x14ac:dyDescent="0.25">
      <c r="A86" s="315">
        <f t="shared" si="10"/>
        <v>85</v>
      </c>
      <c r="B86" s="314" t="s">
        <v>148</v>
      </c>
      <c r="C86" s="415">
        <v>2</v>
      </c>
      <c r="D86" s="10">
        <v>8</v>
      </c>
      <c r="E86" s="7">
        <v>13</v>
      </c>
      <c r="F86" s="141">
        <f t="shared" si="7"/>
        <v>0.38461538461538464</v>
      </c>
      <c r="G86" s="142">
        <f t="shared" si="8"/>
        <v>16</v>
      </c>
      <c r="H86" s="143">
        <f t="shared" si="9"/>
        <v>26</v>
      </c>
    </row>
    <row r="87" spans="1:9" x14ac:dyDescent="0.25">
      <c r="A87" s="315">
        <f t="shared" si="10"/>
        <v>86</v>
      </c>
      <c r="B87" s="314" t="s">
        <v>637</v>
      </c>
      <c r="C87" s="415">
        <v>0</v>
      </c>
      <c r="D87" s="10">
        <v>4.9000000000000004</v>
      </c>
      <c r="E87" s="7">
        <v>9</v>
      </c>
      <c r="F87" s="141">
        <f t="shared" si="7"/>
        <v>0.45555555555555549</v>
      </c>
      <c r="G87" s="142">
        <f t="shared" si="8"/>
        <v>0</v>
      </c>
      <c r="H87" s="143">
        <f t="shared" si="9"/>
        <v>0</v>
      </c>
    </row>
    <row r="88" spans="1:9" x14ac:dyDescent="0.25">
      <c r="A88" s="315">
        <f t="shared" si="10"/>
        <v>87</v>
      </c>
      <c r="B88" s="314" t="s">
        <v>283</v>
      </c>
      <c r="C88" s="415">
        <v>2</v>
      </c>
      <c r="D88" s="10">
        <v>13.25</v>
      </c>
      <c r="E88" s="7">
        <v>22</v>
      </c>
      <c r="F88" s="141">
        <f t="shared" si="7"/>
        <v>0.39772727272727271</v>
      </c>
      <c r="G88" s="142">
        <f t="shared" si="8"/>
        <v>26.5</v>
      </c>
      <c r="H88" s="143">
        <f t="shared" si="9"/>
        <v>44</v>
      </c>
    </row>
    <row r="89" spans="1:9" x14ac:dyDescent="0.25">
      <c r="A89" s="315">
        <f t="shared" si="10"/>
        <v>88</v>
      </c>
      <c r="B89" s="314" t="s">
        <v>79</v>
      </c>
      <c r="C89" s="415">
        <v>3</v>
      </c>
      <c r="D89" s="10">
        <v>12.35</v>
      </c>
      <c r="E89" s="7">
        <v>20</v>
      </c>
      <c r="F89" s="141">
        <f t="shared" si="7"/>
        <v>0.38250000000000001</v>
      </c>
      <c r="G89" s="142">
        <f t="shared" si="8"/>
        <v>37.049999999999997</v>
      </c>
      <c r="H89" s="143">
        <f t="shared" si="9"/>
        <v>60</v>
      </c>
    </row>
    <row r="90" spans="1:9" x14ac:dyDescent="0.25">
      <c r="A90" s="315">
        <f t="shared" si="10"/>
        <v>89</v>
      </c>
      <c r="B90" s="314" t="s">
        <v>1296</v>
      </c>
      <c r="C90" s="415">
        <v>5</v>
      </c>
      <c r="D90" s="10">
        <v>6.32</v>
      </c>
      <c r="E90" s="7">
        <v>10</v>
      </c>
      <c r="F90" s="141">
        <f t="shared" si="7"/>
        <v>0.36799999999999999</v>
      </c>
      <c r="G90" s="142">
        <f t="shared" si="8"/>
        <v>31.6</v>
      </c>
      <c r="H90" s="143">
        <f t="shared" si="9"/>
        <v>50</v>
      </c>
    </row>
    <row r="91" spans="1:9" x14ac:dyDescent="0.25">
      <c r="A91" s="315">
        <f t="shared" si="10"/>
        <v>90</v>
      </c>
      <c r="B91" s="4" t="s">
        <v>1297</v>
      </c>
      <c r="C91" s="415">
        <v>2</v>
      </c>
      <c r="D91" s="10">
        <v>6.32</v>
      </c>
      <c r="E91" s="7">
        <v>10</v>
      </c>
      <c r="F91" s="141">
        <f t="shared" si="7"/>
        <v>0.36799999999999999</v>
      </c>
      <c r="G91" s="142">
        <f t="shared" si="8"/>
        <v>12.64</v>
      </c>
      <c r="H91" s="143">
        <f t="shared" si="9"/>
        <v>20</v>
      </c>
    </row>
    <row r="92" spans="1:9" x14ac:dyDescent="0.25">
      <c r="A92" s="315">
        <f t="shared" si="10"/>
        <v>91</v>
      </c>
      <c r="B92" s="314" t="s">
        <v>164</v>
      </c>
      <c r="C92" s="433">
        <v>0</v>
      </c>
      <c r="D92" s="10">
        <v>15.17</v>
      </c>
      <c r="E92" s="7">
        <v>25</v>
      </c>
      <c r="F92" s="141">
        <f t="shared" si="7"/>
        <v>0.39319999999999999</v>
      </c>
      <c r="G92" s="142">
        <f t="shared" si="8"/>
        <v>0</v>
      </c>
      <c r="H92" s="143">
        <f t="shared" si="9"/>
        <v>0</v>
      </c>
    </row>
    <row r="93" spans="1:9" x14ac:dyDescent="0.25">
      <c r="A93" s="315">
        <f t="shared" si="10"/>
        <v>92</v>
      </c>
      <c r="B93" s="314" t="s">
        <v>348</v>
      </c>
      <c r="C93" s="280">
        <v>15</v>
      </c>
      <c r="D93" s="10">
        <v>0.57999999999999996</v>
      </c>
      <c r="E93" s="7">
        <v>1</v>
      </c>
      <c r="F93" s="141">
        <f t="shared" si="7"/>
        <v>0.42000000000000004</v>
      </c>
      <c r="G93" s="142">
        <f t="shared" si="8"/>
        <v>8.6999999999999993</v>
      </c>
      <c r="H93" s="143">
        <f t="shared" si="9"/>
        <v>15</v>
      </c>
    </row>
    <row r="94" spans="1:9" x14ac:dyDescent="0.25">
      <c r="A94" s="315">
        <f t="shared" si="10"/>
        <v>93</v>
      </c>
      <c r="B94" s="314" t="s">
        <v>349</v>
      </c>
      <c r="C94" s="415">
        <v>75</v>
      </c>
      <c r="D94" s="10">
        <v>0.37</v>
      </c>
      <c r="E94" s="7">
        <v>1</v>
      </c>
      <c r="F94" s="141">
        <f t="shared" si="7"/>
        <v>0.63</v>
      </c>
      <c r="G94" s="142">
        <f t="shared" si="8"/>
        <v>27.75</v>
      </c>
      <c r="H94" s="143">
        <f t="shared" si="9"/>
        <v>75</v>
      </c>
    </row>
    <row r="95" spans="1:9" x14ac:dyDescent="0.25">
      <c r="A95" s="315">
        <f t="shared" si="10"/>
        <v>94</v>
      </c>
      <c r="B95" s="314" t="s">
        <v>347</v>
      </c>
      <c r="C95" s="415">
        <v>3</v>
      </c>
      <c r="D95" s="10">
        <v>0.35</v>
      </c>
      <c r="E95" s="7">
        <v>1</v>
      </c>
      <c r="F95" s="141">
        <f t="shared" si="7"/>
        <v>0.65</v>
      </c>
      <c r="G95" s="142">
        <f t="shared" si="8"/>
        <v>1.0499999999999998</v>
      </c>
      <c r="H95" s="143">
        <f t="shared" si="9"/>
        <v>3</v>
      </c>
    </row>
    <row r="96" spans="1:9" x14ac:dyDescent="0.25">
      <c r="A96" s="315">
        <f t="shared" si="10"/>
        <v>95</v>
      </c>
      <c r="B96" s="314" t="s">
        <v>520</v>
      </c>
      <c r="C96" s="415">
        <v>8</v>
      </c>
      <c r="D96" s="10">
        <v>2.0499999999999998</v>
      </c>
      <c r="E96" s="7">
        <v>3.5</v>
      </c>
      <c r="F96" s="141">
        <f t="shared" si="7"/>
        <v>0.41428571428571431</v>
      </c>
      <c r="G96" s="142">
        <f t="shared" si="8"/>
        <v>16.399999999999999</v>
      </c>
      <c r="H96" s="143">
        <f t="shared" si="9"/>
        <v>28</v>
      </c>
    </row>
    <row r="97" spans="1:8" x14ac:dyDescent="0.25">
      <c r="A97" s="315">
        <f t="shared" si="10"/>
        <v>96</v>
      </c>
      <c r="B97" s="314" t="s">
        <v>101</v>
      </c>
      <c r="C97" s="415">
        <v>2</v>
      </c>
      <c r="D97" s="10">
        <v>10.94</v>
      </c>
      <c r="E97" s="7">
        <v>18</v>
      </c>
      <c r="F97" s="141">
        <f t="shared" si="7"/>
        <v>0.39222222222222225</v>
      </c>
      <c r="G97" s="142">
        <f t="shared" si="8"/>
        <v>21.88</v>
      </c>
      <c r="H97" s="143">
        <f t="shared" si="9"/>
        <v>36</v>
      </c>
    </row>
    <row r="98" spans="1:8" x14ac:dyDescent="0.25">
      <c r="A98" s="315">
        <f t="shared" si="10"/>
        <v>97</v>
      </c>
      <c r="B98" s="314" t="s">
        <v>124</v>
      </c>
      <c r="C98" s="415">
        <v>2</v>
      </c>
      <c r="D98" s="10">
        <v>14.75</v>
      </c>
      <c r="E98" s="7">
        <v>25</v>
      </c>
      <c r="F98" s="141">
        <f t="shared" ref="F98:F129" si="11">(E98-D98)/(E98)</f>
        <v>0.41</v>
      </c>
      <c r="G98" s="142">
        <f t="shared" ref="G98:G129" si="12">D98*C98</f>
        <v>29.5</v>
      </c>
      <c r="H98" s="143">
        <f t="shared" ref="H98:H129" si="13">E98*C98</f>
        <v>50</v>
      </c>
    </row>
    <row r="99" spans="1:8" x14ac:dyDescent="0.25">
      <c r="A99" s="315">
        <f t="shared" si="10"/>
        <v>98</v>
      </c>
      <c r="B99" s="314" t="s">
        <v>105</v>
      </c>
      <c r="C99" s="415">
        <v>1</v>
      </c>
      <c r="D99" s="10">
        <v>10.11</v>
      </c>
      <c r="E99" s="7">
        <v>16</v>
      </c>
      <c r="F99" s="141">
        <f t="shared" si="11"/>
        <v>0.36812500000000004</v>
      </c>
      <c r="G99" s="142">
        <f t="shared" si="12"/>
        <v>10.11</v>
      </c>
      <c r="H99" s="143">
        <f t="shared" si="13"/>
        <v>16</v>
      </c>
    </row>
    <row r="100" spans="1:8" x14ac:dyDescent="0.25">
      <c r="A100" s="315">
        <f t="shared" si="10"/>
        <v>99</v>
      </c>
      <c r="B100" s="314" t="s">
        <v>1159</v>
      </c>
      <c r="C100" s="415">
        <v>1</v>
      </c>
      <c r="D100" s="10">
        <v>2.77</v>
      </c>
      <c r="E100" s="7">
        <v>5</v>
      </c>
      <c r="F100" s="141">
        <f t="shared" si="11"/>
        <v>0.44600000000000001</v>
      </c>
      <c r="G100" s="142">
        <f t="shared" si="12"/>
        <v>2.77</v>
      </c>
      <c r="H100" s="143">
        <f t="shared" si="13"/>
        <v>5</v>
      </c>
    </row>
    <row r="101" spans="1:8" x14ac:dyDescent="0.25">
      <c r="A101" s="315">
        <f t="shared" si="10"/>
        <v>100</v>
      </c>
      <c r="B101" s="314" t="s">
        <v>1160</v>
      </c>
      <c r="C101" s="415">
        <v>68</v>
      </c>
      <c r="D101" s="10">
        <v>1.1100000000000001</v>
      </c>
      <c r="E101" s="7">
        <v>2</v>
      </c>
      <c r="F101" s="141">
        <f t="shared" si="11"/>
        <v>0.44499999999999995</v>
      </c>
      <c r="G101" s="142">
        <f t="shared" si="12"/>
        <v>75.48</v>
      </c>
      <c r="H101" s="143">
        <f t="shared" si="13"/>
        <v>136</v>
      </c>
    </row>
    <row r="102" spans="1:8" x14ac:dyDescent="0.25">
      <c r="A102" s="315">
        <f t="shared" si="10"/>
        <v>101</v>
      </c>
      <c r="B102" s="314" t="s">
        <v>156</v>
      </c>
      <c r="C102" s="658">
        <v>9</v>
      </c>
      <c r="D102" s="10">
        <v>5.48</v>
      </c>
      <c r="E102" s="7">
        <v>10</v>
      </c>
      <c r="F102" s="141">
        <f t="shared" si="11"/>
        <v>0.45199999999999996</v>
      </c>
      <c r="G102" s="142">
        <f t="shared" si="12"/>
        <v>49.320000000000007</v>
      </c>
      <c r="H102" s="143">
        <f t="shared" si="13"/>
        <v>90</v>
      </c>
    </row>
    <row r="103" spans="1:8" x14ac:dyDescent="0.25">
      <c r="A103" s="315">
        <f t="shared" si="10"/>
        <v>102</v>
      </c>
      <c r="B103" s="314" t="s">
        <v>48</v>
      </c>
      <c r="C103" s="415">
        <v>88</v>
      </c>
      <c r="D103" s="15">
        <v>1.54</v>
      </c>
      <c r="E103" s="7">
        <v>2.5</v>
      </c>
      <c r="F103" s="141">
        <f t="shared" si="11"/>
        <v>0.38400000000000001</v>
      </c>
      <c r="G103" s="142">
        <f t="shared" si="12"/>
        <v>135.52000000000001</v>
      </c>
      <c r="H103" s="143">
        <f t="shared" si="13"/>
        <v>220</v>
      </c>
    </row>
    <row r="104" spans="1:8" x14ac:dyDescent="0.25">
      <c r="A104" s="315">
        <f t="shared" si="10"/>
        <v>103</v>
      </c>
      <c r="B104" s="314" t="s">
        <v>230</v>
      </c>
      <c r="C104" s="415">
        <v>2</v>
      </c>
      <c r="D104" s="10">
        <v>6</v>
      </c>
      <c r="E104" s="7">
        <v>10</v>
      </c>
      <c r="F104" s="141">
        <f t="shared" si="11"/>
        <v>0.4</v>
      </c>
      <c r="G104" s="142">
        <f t="shared" si="12"/>
        <v>12</v>
      </c>
      <c r="H104" s="143">
        <f t="shared" si="13"/>
        <v>20</v>
      </c>
    </row>
    <row r="105" spans="1:8" x14ac:dyDescent="0.25">
      <c r="A105" s="315">
        <f t="shared" si="10"/>
        <v>104</v>
      </c>
      <c r="B105" s="4" t="s">
        <v>56</v>
      </c>
      <c r="C105" s="415">
        <v>14</v>
      </c>
      <c r="D105" s="10">
        <v>3.66</v>
      </c>
      <c r="E105" s="7">
        <v>6</v>
      </c>
      <c r="F105" s="141">
        <f t="shared" si="11"/>
        <v>0.38999999999999996</v>
      </c>
      <c r="G105" s="142">
        <f t="shared" si="12"/>
        <v>51.24</v>
      </c>
      <c r="H105" s="143">
        <f t="shared" si="13"/>
        <v>84</v>
      </c>
    </row>
    <row r="106" spans="1:8" x14ac:dyDescent="0.25">
      <c r="A106" s="315">
        <f t="shared" si="10"/>
        <v>105</v>
      </c>
      <c r="B106" s="314" t="s">
        <v>14</v>
      </c>
      <c r="C106" s="415">
        <v>6</v>
      </c>
      <c r="D106" s="10">
        <v>5.46</v>
      </c>
      <c r="E106" s="7">
        <v>10</v>
      </c>
      <c r="F106" s="141">
        <f t="shared" si="11"/>
        <v>0.45400000000000001</v>
      </c>
      <c r="G106" s="142">
        <f t="shared" si="12"/>
        <v>32.76</v>
      </c>
      <c r="H106" s="143">
        <f t="shared" si="13"/>
        <v>60</v>
      </c>
    </row>
    <row r="107" spans="1:8" x14ac:dyDescent="0.25">
      <c r="A107" s="315">
        <f t="shared" si="10"/>
        <v>106</v>
      </c>
      <c r="B107" s="314" t="s">
        <v>134</v>
      </c>
      <c r="C107" s="415">
        <v>6</v>
      </c>
      <c r="D107" s="10">
        <v>4.38</v>
      </c>
      <c r="E107" s="7">
        <v>8</v>
      </c>
      <c r="F107" s="141">
        <f t="shared" si="11"/>
        <v>0.45250000000000001</v>
      </c>
      <c r="G107" s="142">
        <f t="shared" si="12"/>
        <v>26.28</v>
      </c>
      <c r="H107" s="143">
        <f t="shared" si="13"/>
        <v>48</v>
      </c>
    </row>
    <row r="108" spans="1:8" x14ac:dyDescent="0.25">
      <c r="A108" s="315">
        <f t="shared" si="10"/>
        <v>107</v>
      </c>
      <c r="B108" s="314" t="s">
        <v>288</v>
      </c>
      <c r="C108" s="415">
        <v>2</v>
      </c>
      <c r="D108" s="10">
        <v>45.94</v>
      </c>
      <c r="E108" s="7">
        <v>72</v>
      </c>
      <c r="F108" s="141">
        <f t="shared" si="11"/>
        <v>0.36194444444444446</v>
      </c>
      <c r="G108" s="142">
        <f t="shared" si="12"/>
        <v>91.88</v>
      </c>
      <c r="H108" s="143">
        <f t="shared" si="13"/>
        <v>144</v>
      </c>
    </row>
    <row r="109" spans="1:8" x14ac:dyDescent="0.25">
      <c r="A109" s="315">
        <f t="shared" si="10"/>
        <v>108</v>
      </c>
      <c r="B109" s="4" t="s">
        <v>477</v>
      </c>
      <c r="C109" s="415">
        <v>0</v>
      </c>
      <c r="D109" s="15">
        <v>4.75</v>
      </c>
      <c r="E109" s="7">
        <v>8</v>
      </c>
      <c r="F109" s="141">
        <f t="shared" si="11"/>
        <v>0.40625</v>
      </c>
      <c r="G109" s="142">
        <f t="shared" si="12"/>
        <v>0</v>
      </c>
      <c r="H109" s="143">
        <f t="shared" si="13"/>
        <v>0</v>
      </c>
    </row>
    <row r="110" spans="1:8" x14ac:dyDescent="0.25">
      <c r="A110" s="315">
        <f t="shared" si="10"/>
        <v>109</v>
      </c>
      <c r="B110" s="314" t="s">
        <v>508</v>
      </c>
      <c r="C110" s="415">
        <v>1</v>
      </c>
      <c r="D110" s="10">
        <v>21.42</v>
      </c>
      <c r="E110" s="7">
        <v>34</v>
      </c>
      <c r="F110" s="141">
        <f t="shared" si="11"/>
        <v>0.36999999999999994</v>
      </c>
      <c r="G110" s="142">
        <f t="shared" si="12"/>
        <v>21.42</v>
      </c>
      <c r="H110" s="143">
        <f t="shared" si="13"/>
        <v>34</v>
      </c>
    </row>
    <row r="111" spans="1:8" x14ac:dyDescent="0.25">
      <c r="A111" s="315">
        <f t="shared" si="10"/>
        <v>110</v>
      </c>
      <c r="B111" s="314" t="s">
        <v>494</v>
      </c>
      <c r="C111" s="594">
        <v>5</v>
      </c>
      <c r="D111" s="18">
        <v>7.28</v>
      </c>
      <c r="E111" s="44">
        <v>12</v>
      </c>
      <c r="F111" s="141">
        <f t="shared" si="11"/>
        <v>0.39333333333333331</v>
      </c>
      <c r="G111" s="142">
        <f t="shared" si="12"/>
        <v>36.4</v>
      </c>
      <c r="H111" s="143">
        <f t="shared" si="13"/>
        <v>60</v>
      </c>
    </row>
    <row r="112" spans="1:8" x14ac:dyDescent="0.25">
      <c r="A112" s="315">
        <f t="shared" si="10"/>
        <v>111</v>
      </c>
      <c r="B112" s="314" t="s">
        <v>106</v>
      </c>
      <c r="C112" s="415">
        <v>5</v>
      </c>
      <c r="D112" s="10">
        <v>7.2</v>
      </c>
      <c r="E112" s="7">
        <v>11</v>
      </c>
      <c r="F112" s="141">
        <f t="shared" si="11"/>
        <v>0.34545454545454546</v>
      </c>
      <c r="G112" s="142">
        <f t="shared" si="12"/>
        <v>36</v>
      </c>
      <c r="H112" s="143">
        <f t="shared" si="13"/>
        <v>55</v>
      </c>
    </row>
    <row r="113" spans="1:8" x14ac:dyDescent="0.25">
      <c r="A113" s="315">
        <f t="shared" si="10"/>
        <v>112</v>
      </c>
      <c r="B113" s="314" t="s">
        <v>291</v>
      </c>
      <c r="C113" s="415">
        <v>2</v>
      </c>
      <c r="D113" s="10">
        <v>52.5</v>
      </c>
      <c r="E113" s="7">
        <v>79</v>
      </c>
      <c r="F113" s="141">
        <f t="shared" si="11"/>
        <v>0.33544303797468356</v>
      </c>
      <c r="G113" s="142">
        <f t="shared" si="12"/>
        <v>105</v>
      </c>
      <c r="H113" s="143">
        <f t="shared" si="13"/>
        <v>158</v>
      </c>
    </row>
    <row r="114" spans="1:8" x14ac:dyDescent="0.25">
      <c r="A114" s="315">
        <f t="shared" si="10"/>
        <v>113</v>
      </c>
      <c r="B114" s="314" t="s">
        <v>1161</v>
      </c>
      <c r="C114" s="415">
        <v>33</v>
      </c>
      <c r="D114" s="10">
        <v>2.73</v>
      </c>
      <c r="E114" s="7">
        <v>4.4000000000000004</v>
      </c>
      <c r="F114" s="141">
        <f t="shared" si="11"/>
        <v>0.37954545454545457</v>
      </c>
      <c r="G114" s="142">
        <f t="shared" si="12"/>
        <v>90.09</v>
      </c>
      <c r="H114" s="143">
        <f t="shared" si="13"/>
        <v>145.20000000000002</v>
      </c>
    </row>
    <row r="115" spans="1:8" x14ac:dyDescent="0.25">
      <c r="A115" s="315">
        <f t="shared" si="10"/>
        <v>114</v>
      </c>
      <c r="B115" s="314" t="s">
        <v>440</v>
      </c>
      <c r="C115" s="415">
        <v>26</v>
      </c>
      <c r="D115" s="15">
        <v>0.77</v>
      </c>
      <c r="E115" s="7">
        <v>1.2</v>
      </c>
      <c r="F115" s="141">
        <f t="shared" si="11"/>
        <v>0.35833333333333328</v>
      </c>
      <c r="G115" s="142">
        <f t="shared" si="12"/>
        <v>20.02</v>
      </c>
      <c r="H115" s="143">
        <f t="shared" si="13"/>
        <v>31.2</v>
      </c>
    </row>
    <row r="116" spans="1:8" x14ac:dyDescent="0.25">
      <c r="A116" s="315">
        <f t="shared" si="10"/>
        <v>115</v>
      </c>
      <c r="B116" s="314" t="s">
        <v>1162</v>
      </c>
      <c r="C116" s="280">
        <v>17</v>
      </c>
      <c r="D116" s="10">
        <v>1.04</v>
      </c>
      <c r="E116" s="7">
        <v>1.75</v>
      </c>
      <c r="F116" s="141">
        <f t="shared" si="11"/>
        <v>0.40571428571428569</v>
      </c>
      <c r="G116" s="142">
        <f t="shared" si="12"/>
        <v>17.68</v>
      </c>
      <c r="H116" s="143">
        <f t="shared" si="13"/>
        <v>29.75</v>
      </c>
    </row>
    <row r="117" spans="1:8" x14ac:dyDescent="0.25">
      <c r="A117" s="315">
        <f t="shared" si="10"/>
        <v>116</v>
      </c>
      <c r="B117" s="314" t="s">
        <v>45</v>
      </c>
      <c r="C117" s="415">
        <v>44</v>
      </c>
      <c r="D117" s="10">
        <v>1.52</v>
      </c>
      <c r="E117" s="7">
        <v>2.5</v>
      </c>
      <c r="F117" s="141">
        <f t="shared" si="11"/>
        <v>0.39200000000000002</v>
      </c>
      <c r="G117" s="142">
        <f t="shared" si="12"/>
        <v>66.88</v>
      </c>
      <c r="H117" s="143">
        <f t="shared" si="13"/>
        <v>110</v>
      </c>
    </row>
    <row r="118" spans="1:8" x14ac:dyDescent="0.25">
      <c r="A118" s="315">
        <f t="shared" si="10"/>
        <v>117</v>
      </c>
      <c r="B118" s="314" t="s">
        <v>96</v>
      </c>
      <c r="C118" s="415">
        <v>4</v>
      </c>
      <c r="D118" s="15">
        <v>9.1</v>
      </c>
      <c r="E118" s="7">
        <v>16</v>
      </c>
      <c r="F118" s="141">
        <f t="shared" si="11"/>
        <v>0.43125000000000002</v>
      </c>
      <c r="G118" s="142">
        <f t="shared" si="12"/>
        <v>36.4</v>
      </c>
      <c r="H118" s="143">
        <f t="shared" si="13"/>
        <v>64</v>
      </c>
    </row>
    <row r="119" spans="1:8" x14ac:dyDescent="0.25">
      <c r="A119" s="315">
        <f t="shared" si="10"/>
        <v>118</v>
      </c>
      <c r="B119" s="314" t="s">
        <v>222</v>
      </c>
      <c r="C119" s="415">
        <v>0</v>
      </c>
      <c r="D119" s="10">
        <v>1.6870000000000001</v>
      </c>
      <c r="E119" s="7">
        <v>4</v>
      </c>
      <c r="F119" s="141">
        <f t="shared" si="11"/>
        <v>0.57824999999999993</v>
      </c>
      <c r="G119" s="142">
        <f t="shared" si="12"/>
        <v>0</v>
      </c>
      <c r="H119" s="143">
        <f t="shared" si="13"/>
        <v>0</v>
      </c>
    </row>
    <row r="120" spans="1:8" x14ac:dyDescent="0.25">
      <c r="A120" s="315">
        <f t="shared" si="10"/>
        <v>119</v>
      </c>
      <c r="B120" s="4" t="s">
        <v>1163</v>
      </c>
      <c r="C120" s="415">
        <v>2</v>
      </c>
      <c r="D120" s="10">
        <v>3.59</v>
      </c>
      <c r="E120" s="7">
        <v>6</v>
      </c>
      <c r="F120" s="141">
        <f t="shared" si="11"/>
        <v>0.40166666666666667</v>
      </c>
      <c r="G120" s="142">
        <f t="shared" si="12"/>
        <v>7.18</v>
      </c>
      <c r="H120" s="143">
        <f t="shared" si="13"/>
        <v>12</v>
      </c>
    </row>
    <row r="121" spans="1:8" x14ac:dyDescent="0.25">
      <c r="A121" s="315">
        <f t="shared" si="10"/>
        <v>120</v>
      </c>
      <c r="B121" s="353" t="s">
        <v>50</v>
      </c>
      <c r="C121" s="415">
        <v>5</v>
      </c>
      <c r="D121" s="15">
        <v>13.5</v>
      </c>
      <c r="E121" s="7">
        <v>23</v>
      </c>
      <c r="F121" s="141">
        <f t="shared" si="11"/>
        <v>0.41304347826086957</v>
      </c>
      <c r="G121" s="142">
        <f t="shared" si="12"/>
        <v>67.5</v>
      </c>
      <c r="H121" s="143">
        <f t="shared" si="13"/>
        <v>115</v>
      </c>
    </row>
    <row r="122" spans="1:8" x14ac:dyDescent="0.25">
      <c r="A122" s="315">
        <f t="shared" si="10"/>
        <v>121</v>
      </c>
      <c r="B122" s="314" t="s">
        <v>630</v>
      </c>
      <c r="C122" s="280">
        <v>0</v>
      </c>
      <c r="D122" s="10">
        <v>1.83</v>
      </c>
      <c r="E122" s="7">
        <v>3</v>
      </c>
      <c r="F122" s="141">
        <f t="shared" si="11"/>
        <v>0.38999999999999996</v>
      </c>
      <c r="G122" s="142">
        <f t="shared" si="12"/>
        <v>0</v>
      </c>
      <c r="H122" s="143">
        <f t="shared" si="13"/>
        <v>0</v>
      </c>
    </row>
    <row r="123" spans="1:8" x14ac:dyDescent="0.25">
      <c r="A123" s="315">
        <f t="shared" si="10"/>
        <v>122</v>
      </c>
      <c r="B123" s="314" t="s">
        <v>210</v>
      </c>
      <c r="C123" s="415">
        <v>51</v>
      </c>
      <c r="D123" s="10">
        <v>0.61</v>
      </c>
      <c r="E123" s="7">
        <v>1</v>
      </c>
      <c r="F123" s="141">
        <f t="shared" si="11"/>
        <v>0.39</v>
      </c>
      <c r="G123" s="142">
        <f t="shared" si="12"/>
        <v>31.11</v>
      </c>
      <c r="H123" s="143">
        <f t="shared" si="13"/>
        <v>51</v>
      </c>
    </row>
    <row r="124" spans="1:8" x14ac:dyDescent="0.25">
      <c r="A124" s="315">
        <f t="shared" si="10"/>
        <v>123</v>
      </c>
      <c r="B124" s="314" t="s">
        <v>537</v>
      </c>
      <c r="C124" s="415">
        <v>2</v>
      </c>
      <c r="D124" s="10">
        <v>33.99</v>
      </c>
      <c r="E124" s="7">
        <v>50</v>
      </c>
      <c r="F124" s="141">
        <f t="shared" si="11"/>
        <v>0.32019999999999998</v>
      </c>
      <c r="G124" s="142">
        <f t="shared" si="12"/>
        <v>67.98</v>
      </c>
      <c r="H124" s="143">
        <f t="shared" si="13"/>
        <v>100</v>
      </c>
    </row>
    <row r="125" spans="1:8" x14ac:dyDescent="0.25">
      <c r="A125" s="315">
        <f t="shared" si="10"/>
        <v>124</v>
      </c>
      <c r="B125" s="314" t="s">
        <v>88</v>
      </c>
      <c r="C125" s="415">
        <v>1</v>
      </c>
      <c r="D125" s="15">
        <v>20.75</v>
      </c>
      <c r="E125" s="7">
        <v>33</v>
      </c>
      <c r="F125" s="141">
        <f t="shared" si="11"/>
        <v>0.37121212121212122</v>
      </c>
      <c r="G125" s="142">
        <f t="shared" si="12"/>
        <v>20.75</v>
      </c>
      <c r="H125" s="143">
        <f t="shared" si="13"/>
        <v>33</v>
      </c>
    </row>
    <row r="126" spans="1:8" x14ac:dyDescent="0.25">
      <c r="A126" s="315">
        <f t="shared" si="10"/>
        <v>125</v>
      </c>
      <c r="B126" s="314" t="s">
        <v>233</v>
      </c>
      <c r="C126" s="415">
        <v>38</v>
      </c>
      <c r="D126" s="10">
        <v>1.69</v>
      </c>
      <c r="E126" s="7">
        <v>2.7</v>
      </c>
      <c r="F126" s="141">
        <f t="shared" si="11"/>
        <v>0.37407407407407411</v>
      </c>
      <c r="G126" s="142">
        <f t="shared" si="12"/>
        <v>64.22</v>
      </c>
      <c r="H126" s="143">
        <f t="shared" si="13"/>
        <v>102.60000000000001</v>
      </c>
    </row>
    <row r="127" spans="1:8" x14ac:dyDescent="0.25">
      <c r="A127" s="315">
        <f t="shared" si="10"/>
        <v>126</v>
      </c>
      <c r="B127" s="314" t="s">
        <v>307</v>
      </c>
      <c r="C127" s="415">
        <v>1</v>
      </c>
      <c r="D127" s="10">
        <v>12</v>
      </c>
      <c r="E127" s="7">
        <v>20</v>
      </c>
      <c r="F127" s="141">
        <f t="shared" si="11"/>
        <v>0.4</v>
      </c>
      <c r="G127" s="142">
        <f t="shared" si="12"/>
        <v>12</v>
      </c>
      <c r="H127" s="143">
        <f t="shared" si="13"/>
        <v>20</v>
      </c>
    </row>
    <row r="128" spans="1:8" x14ac:dyDescent="0.25">
      <c r="A128" s="315">
        <f t="shared" si="10"/>
        <v>127</v>
      </c>
      <c r="B128" s="314" t="s">
        <v>411</v>
      </c>
      <c r="C128" s="415">
        <v>2</v>
      </c>
      <c r="D128" s="10">
        <v>7.25</v>
      </c>
      <c r="E128" s="7">
        <v>13</v>
      </c>
      <c r="F128" s="141">
        <f t="shared" si="11"/>
        <v>0.44230769230769229</v>
      </c>
      <c r="G128" s="142">
        <f t="shared" si="12"/>
        <v>14.5</v>
      </c>
      <c r="H128" s="143">
        <f t="shared" si="13"/>
        <v>26</v>
      </c>
    </row>
    <row r="129" spans="1:8" x14ac:dyDescent="0.25">
      <c r="A129" s="315">
        <f t="shared" si="10"/>
        <v>128</v>
      </c>
      <c r="B129" s="314" t="s">
        <v>44</v>
      </c>
      <c r="C129" s="415">
        <v>3</v>
      </c>
      <c r="D129" s="10">
        <v>8.4</v>
      </c>
      <c r="E129" s="7">
        <v>14</v>
      </c>
      <c r="F129" s="141">
        <f t="shared" si="11"/>
        <v>0.39999999999999997</v>
      </c>
      <c r="G129" s="142">
        <f t="shared" si="12"/>
        <v>25.200000000000003</v>
      </c>
      <c r="H129" s="143">
        <f t="shared" si="13"/>
        <v>42</v>
      </c>
    </row>
    <row r="130" spans="1:8" x14ac:dyDescent="0.25">
      <c r="A130" s="315">
        <f t="shared" si="10"/>
        <v>129</v>
      </c>
      <c r="B130" s="314" t="s">
        <v>713</v>
      </c>
      <c r="C130" s="415">
        <v>1</v>
      </c>
      <c r="D130" s="15">
        <v>31.25</v>
      </c>
      <c r="E130" s="7">
        <v>49</v>
      </c>
      <c r="F130" s="141">
        <f t="shared" ref="F130:F161" si="14">(E130-D130)/(E130)</f>
        <v>0.36224489795918369</v>
      </c>
      <c r="G130" s="142">
        <f t="shared" ref="G130:G161" si="15">D130*C130</f>
        <v>31.25</v>
      </c>
      <c r="H130" s="143">
        <f t="shared" ref="H130:H161" si="16">E130*C130</f>
        <v>49</v>
      </c>
    </row>
    <row r="131" spans="1:8" x14ac:dyDescent="0.25">
      <c r="A131" s="315">
        <f t="shared" ref="A131:A180" si="17">A130+1</f>
        <v>130</v>
      </c>
      <c r="B131" s="314" t="s">
        <v>162</v>
      </c>
      <c r="C131" s="415">
        <v>0</v>
      </c>
      <c r="D131" s="10">
        <v>24.93</v>
      </c>
      <c r="E131" s="7">
        <v>45</v>
      </c>
      <c r="F131" s="141">
        <f t="shared" si="14"/>
        <v>0.44600000000000001</v>
      </c>
      <c r="G131" s="142">
        <f t="shared" si="15"/>
        <v>0</v>
      </c>
      <c r="H131" s="143">
        <f t="shared" si="16"/>
        <v>0</v>
      </c>
    </row>
    <row r="132" spans="1:8" x14ac:dyDescent="0.25">
      <c r="A132" s="315">
        <f t="shared" si="17"/>
        <v>131</v>
      </c>
      <c r="B132" s="314" t="s">
        <v>281</v>
      </c>
      <c r="C132" s="340">
        <v>1</v>
      </c>
      <c r="D132" s="10">
        <v>22.75</v>
      </c>
      <c r="E132" s="7">
        <v>35</v>
      </c>
      <c r="F132" s="141">
        <f t="shared" si="14"/>
        <v>0.35</v>
      </c>
      <c r="G132" s="142">
        <f t="shared" si="15"/>
        <v>22.75</v>
      </c>
      <c r="H132" s="143">
        <f t="shared" si="16"/>
        <v>35</v>
      </c>
    </row>
    <row r="133" spans="1:8" x14ac:dyDescent="0.25">
      <c r="A133" s="315">
        <f t="shared" si="17"/>
        <v>132</v>
      </c>
      <c r="B133" s="314" t="s">
        <v>179</v>
      </c>
      <c r="C133" s="415">
        <v>10</v>
      </c>
      <c r="D133" s="10">
        <v>4.75</v>
      </c>
      <c r="E133" s="7">
        <v>8</v>
      </c>
      <c r="F133" s="141">
        <f t="shared" si="14"/>
        <v>0.40625</v>
      </c>
      <c r="G133" s="142">
        <f t="shared" si="15"/>
        <v>47.5</v>
      </c>
      <c r="H133" s="143">
        <f t="shared" si="16"/>
        <v>80</v>
      </c>
    </row>
    <row r="134" spans="1:8" x14ac:dyDescent="0.25">
      <c r="A134" s="315">
        <f t="shared" si="17"/>
        <v>133</v>
      </c>
      <c r="B134" s="314" t="s">
        <v>531</v>
      </c>
      <c r="C134" s="415">
        <v>16</v>
      </c>
      <c r="D134" s="10">
        <v>3.4729999999999999</v>
      </c>
      <c r="E134" s="7">
        <v>6</v>
      </c>
      <c r="F134" s="141">
        <f t="shared" si="14"/>
        <v>0.42116666666666669</v>
      </c>
      <c r="G134" s="142">
        <f t="shared" si="15"/>
        <v>55.567999999999998</v>
      </c>
      <c r="H134" s="143">
        <f t="shared" si="16"/>
        <v>96</v>
      </c>
    </row>
    <row r="135" spans="1:8" x14ac:dyDescent="0.25">
      <c r="A135" s="315">
        <f t="shared" si="17"/>
        <v>134</v>
      </c>
      <c r="B135" s="4" t="s">
        <v>250</v>
      </c>
      <c r="C135" s="415">
        <v>50</v>
      </c>
      <c r="D135" s="15">
        <v>4.76</v>
      </c>
      <c r="E135" s="7">
        <v>7.5</v>
      </c>
      <c r="F135" s="141">
        <f t="shared" si="14"/>
        <v>0.36533333333333334</v>
      </c>
      <c r="G135" s="142">
        <f t="shared" si="15"/>
        <v>238</v>
      </c>
      <c r="H135" s="143">
        <f t="shared" si="16"/>
        <v>375</v>
      </c>
    </row>
    <row r="136" spans="1:8" x14ac:dyDescent="0.25">
      <c r="A136" s="315">
        <f t="shared" si="17"/>
        <v>135</v>
      </c>
      <c r="B136" s="314" t="s">
        <v>39</v>
      </c>
      <c r="C136" s="415">
        <v>2</v>
      </c>
      <c r="D136" s="10">
        <v>7.8</v>
      </c>
      <c r="E136" s="7">
        <v>14</v>
      </c>
      <c r="F136" s="141">
        <f t="shared" si="14"/>
        <v>0.44285714285714289</v>
      </c>
      <c r="G136" s="142">
        <f t="shared" si="15"/>
        <v>15.6</v>
      </c>
      <c r="H136" s="143">
        <f t="shared" si="16"/>
        <v>28</v>
      </c>
    </row>
    <row r="137" spans="1:8" x14ac:dyDescent="0.25">
      <c r="A137" s="315">
        <f t="shared" si="17"/>
        <v>136</v>
      </c>
      <c r="B137" s="314" t="s">
        <v>37</v>
      </c>
      <c r="C137" s="415">
        <v>0</v>
      </c>
      <c r="D137" s="10">
        <v>14.3</v>
      </c>
      <c r="E137" s="7">
        <v>24</v>
      </c>
      <c r="F137" s="141">
        <f t="shared" si="14"/>
        <v>0.40416666666666662</v>
      </c>
      <c r="G137" s="142">
        <f t="shared" si="15"/>
        <v>0</v>
      </c>
      <c r="H137" s="143">
        <f t="shared" si="16"/>
        <v>0</v>
      </c>
    </row>
    <row r="138" spans="1:8" x14ac:dyDescent="0.25">
      <c r="A138" s="315">
        <f t="shared" si="17"/>
        <v>137</v>
      </c>
      <c r="B138" s="314" t="s">
        <v>38</v>
      </c>
      <c r="C138" s="415">
        <v>2</v>
      </c>
      <c r="D138" s="10">
        <v>14.17</v>
      </c>
      <c r="E138" s="7">
        <v>24</v>
      </c>
      <c r="F138" s="141">
        <f t="shared" si="14"/>
        <v>0.40958333333333335</v>
      </c>
      <c r="G138" s="142">
        <f t="shared" si="15"/>
        <v>28.34</v>
      </c>
      <c r="H138" s="143">
        <f t="shared" si="16"/>
        <v>48</v>
      </c>
    </row>
    <row r="139" spans="1:8" x14ac:dyDescent="0.25">
      <c r="A139" s="315">
        <f t="shared" si="17"/>
        <v>138</v>
      </c>
      <c r="B139" s="4" t="s">
        <v>55</v>
      </c>
      <c r="C139" s="415">
        <v>114</v>
      </c>
      <c r="D139" s="15">
        <v>0.6</v>
      </c>
      <c r="E139" s="7">
        <v>1</v>
      </c>
      <c r="F139" s="141">
        <f t="shared" si="14"/>
        <v>0.4</v>
      </c>
      <c r="G139" s="142">
        <f t="shared" si="15"/>
        <v>68.399999999999991</v>
      </c>
      <c r="H139" s="143">
        <f t="shared" si="16"/>
        <v>114</v>
      </c>
    </row>
    <row r="140" spans="1:8" x14ac:dyDescent="0.25">
      <c r="A140" s="315">
        <f t="shared" si="17"/>
        <v>139</v>
      </c>
      <c r="B140" s="314" t="s">
        <v>466</v>
      </c>
      <c r="C140" s="415">
        <v>1</v>
      </c>
      <c r="D140" s="10">
        <v>13.91</v>
      </c>
      <c r="E140" s="7">
        <v>22</v>
      </c>
      <c r="F140" s="141">
        <f t="shared" si="14"/>
        <v>0.36772727272727274</v>
      </c>
      <c r="G140" s="142">
        <f t="shared" si="15"/>
        <v>13.91</v>
      </c>
      <c r="H140" s="143">
        <f t="shared" si="16"/>
        <v>22</v>
      </c>
    </row>
    <row r="141" spans="1:8" x14ac:dyDescent="0.25">
      <c r="A141" s="315">
        <f t="shared" si="17"/>
        <v>140</v>
      </c>
      <c r="B141" s="314" t="s">
        <v>167</v>
      </c>
      <c r="C141" s="415">
        <v>2</v>
      </c>
      <c r="D141" s="10">
        <v>9.61</v>
      </c>
      <c r="E141" s="7">
        <v>16</v>
      </c>
      <c r="F141" s="141">
        <f t="shared" si="14"/>
        <v>0.39937500000000004</v>
      </c>
      <c r="G141" s="142">
        <f t="shared" si="15"/>
        <v>19.22</v>
      </c>
      <c r="H141" s="143">
        <f t="shared" si="16"/>
        <v>32</v>
      </c>
    </row>
    <row r="142" spans="1:8" x14ac:dyDescent="0.25">
      <c r="A142" s="315">
        <f t="shared" si="17"/>
        <v>141</v>
      </c>
      <c r="B142" s="314" t="s">
        <v>714</v>
      </c>
      <c r="C142" s="415">
        <v>0</v>
      </c>
      <c r="D142" s="10">
        <v>16.29</v>
      </c>
      <c r="E142" s="7">
        <v>26</v>
      </c>
      <c r="F142" s="141">
        <f t="shared" si="14"/>
        <v>0.37346153846153851</v>
      </c>
      <c r="G142" s="142">
        <f t="shared" si="15"/>
        <v>0</v>
      </c>
      <c r="H142" s="143">
        <f t="shared" si="16"/>
        <v>0</v>
      </c>
    </row>
    <row r="143" spans="1:8" x14ac:dyDescent="0.25">
      <c r="A143" s="315">
        <f t="shared" si="17"/>
        <v>142</v>
      </c>
      <c r="B143" s="314" t="s">
        <v>676</v>
      </c>
      <c r="C143" s="415">
        <v>0</v>
      </c>
      <c r="D143" s="10">
        <v>1.03</v>
      </c>
      <c r="E143" s="7">
        <v>2.5</v>
      </c>
      <c r="F143" s="141">
        <f t="shared" si="14"/>
        <v>0.58799999999999997</v>
      </c>
      <c r="G143" s="142">
        <f t="shared" si="15"/>
        <v>0</v>
      </c>
      <c r="H143" s="143">
        <f t="shared" si="16"/>
        <v>0</v>
      </c>
    </row>
    <row r="144" spans="1:8" x14ac:dyDescent="0.25">
      <c r="A144" s="315">
        <f t="shared" si="17"/>
        <v>143</v>
      </c>
      <c r="B144" s="314" t="s">
        <v>951</v>
      </c>
      <c r="C144" s="415">
        <v>1</v>
      </c>
      <c r="D144" s="10">
        <v>11.04</v>
      </c>
      <c r="E144" s="7">
        <v>19</v>
      </c>
      <c r="F144" s="141">
        <f t="shared" si="14"/>
        <v>0.41894736842105268</v>
      </c>
      <c r="G144" s="142">
        <f t="shared" si="15"/>
        <v>11.04</v>
      </c>
      <c r="H144" s="143">
        <f t="shared" si="16"/>
        <v>19</v>
      </c>
    </row>
    <row r="145" spans="1:9" x14ac:dyDescent="0.25">
      <c r="A145" s="315">
        <f t="shared" si="17"/>
        <v>144</v>
      </c>
      <c r="B145" s="314" t="s">
        <v>213</v>
      </c>
      <c r="C145" s="280">
        <v>41</v>
      </c>
      <c r="D145" s="10">
        <v>1.26</v>
      </c>
      <c r="E145" s="7">
        <v>2.5</v>
      </c>
      <c r="F145" s="141">
        <f t="shared" si="14"/>
        <v>0.496</v>
      </c>
      <c r="G145" s="142">
        <f t="shared" si="15"/>
        <v>51.660000000000004</v>
      </c>
      <c r="H145" s="143">
        <f t="shared" si="16"/>
        <v>102.5</v>
      </c>
    </row>
    <row r="146" spans="1:9" x14ac:dyDescent="0.25">
      <c r="A146" s="315">
        <f t="shared" si="17"/>
        <v>145</v>
      </c>
      <c r="B146" s="314" t="s">
        <v>165</v>
      </c>
      <c r="C146" s="415">
        <v>65</v>
      </c>
      <c r="D146" s="10">
        <v>1.47</v>
      </c>
      <c r="E146" s="7">
        <v>2.5</v>
      </c>
      <c r="F146" s="141">
        <f t="shared" si="14"/>
        <v>0.41200000000000003</v>
      </c>
      <c r="G146" s="142">
        <f t="shared" si="15"/>
        <v>95.55</v>
      </c>
      <c r="H146" s="143">
        <f t="shared" si="16"/>
        <v>162.5</v>
      </c>
    </row>
    <row r="147" spans="1:9" x14ac:dyDescent="0.25">
      <c r="A147" s="315">
        <f t="shared" si="17"/>
        <v>146</v>
      </c>
      <c r="B147" s="314" t="s">
        <v>655</v>
      </c>
      <c r="C147" s="658">
        <v>42</v>
      </c>
      <c r="D147" s="10">
        <v>3.13</v>
      </c>
      <c r="E147" s="7">
        <v>5</v>
      </c>
      <c r="F147" s="141">
        <f t="shared" si="14"/>
        <v>0.374</v>
      </c>
      <c r="G147" s="142">
        <f t="shared" si="15"/>
        <v>131.46</v>
      </c>
      <c r="H147" s="143">
        <f t="shared" si="16"/>
        <v>210</v>
      </c>
    </row>
    <row r="148" spans="1:9" x14ac:dyDescent="0.25">
      <c r="A148" s="315">
        <f t="shared" si="17"/>
        <v>147</v>
      </c>
      <c r="B148" s="314" t="s">
        <v>656</v>
      </c>
      <c r="C148" s="415">
        <v>50</v>
      </c>
      <c r="D148" s="10">
        <v>3.02</v>
      </c>
      <c r="E148" s="7">
        <v>5</v>
      </c>
      <c r="F148" s="141">
        <f t="shared" si="14"/>
        <v>0.39600000000000002</v>
      </c>
      <c r="G148" s="142">
        <f t="shared" si="15"/>
        <v>151</v>
      </c>
      <c r="H148" s="143">
        <f t="shared" si="16"/>
        <v>250</v>
      </c>
    </row>
    <row r="149" spans="1:9" x14ac:dyDescent="0.25">
      <c r="A149" s="315">
        <f t="shared" si="17"/>
        <v>148</v>
      </c>
      <c r="B149" s="314" t="s">
        <v>493</v>
      </c>
      <c r="C149" s="415">
        <v>37</v>
      </c>
      <c r="D149" s="10">
        <v>1.51</v>
      </c>
      <c r="E149" s="7">
        <v>2.5</v>
      </c>
      <c r="F149" s="141">
        <f t="shared" si="14"/>
        <v>0.39600000000000002</v>
      </c>
      <c r="G149" s="142">
        <f t="shared" si="15"/>
        <v>55.87</v>
      </c>
      <c r="H149" s="143">
        <f t="shared" si="16"/>
        <v>92.5</v>
      </c>
    </row>
    <row r="150" spans="1:9" x14ac:dyDescent="0.25">
      <c r="A150" s="315">
        <f t="shared" si="17"/>
        <v>149</v>
      </c>
      <c r="B150" s="314" t="s">
        <v>653</v>
      </c>
      <c r="C150" s="415">
        <v>33</v>
      </c>
      <c r="D150" s="10">
        <v>3.27</v>
      </c>
      <c r="E150" s="7">
        <v>5</v>
      </c>
      <c r="F150" s="141">
        <f t="shared" si="14"/>
        <v>0.34599999999999997</v>
      </c>
      <c r="G150" s="142">
        <f t="shared" si="15"/>
        <v>107.91</v>
      </c>
      <c r="H150" s="143">
        <f t="shared" si="16"/>
        <v>165</v>
      </c>
    </row>
    <row r="151" spans="1:9" x14ac:dyDescent="0.25">
      <c r="A151" s="315">
        <f t="shared" si="17"/>
        <v>150</v>
      </c>
      <c r="B151" s="314" t="s">
        <v>654</v>
      </c>
      <c r="C151" s="415">
        <v>45</v>
      </c>
      <c r="D151" s="10">
        <v>3.39</v>
      </c>
      <c r="E151" s="7">
        <v>5</v>
      </c>
      <c r="F151" s="141">
        <f t="shared" si="14"/>
        <v>0.32199999999999995</v>
      </c>
      <c r="G151" s="142">
        <f t="shared" si="15"/>
        <v>152.55000000000001</v>
      </c>
      <c r="H151" s="143">
        <f t="shared" si="16"/>
        <v>225</v>
      </c>
    </row>
    <row r="152" spans="1:9" x14ac:dyDescent="0.25">
      <c r="A152" s="315">
        <f t="shared" si="17"/>
        <v>151</v>
      </c>
      <c r="B152" s="314" t="s">
        <v>215</v>
      </c>
      <c r="C152" s="658">
        <v>35</v>
      </c>
      <c r="D152" s="10">
        <v>0.9</v>
      </c>
      <c r="E152" s="7">
        <v>1.5</v>
      </c>
      <c r="F152" s="141">
        <f t="shared" si="14"/>
        <v>0.39999999999999997</v>
      </c>
      <c r="G152" s="142">
        <f t="shared" si="15"/>
        <v>31.5</v>
      </c>
      <c r="H152" s="143">
        <f t="shared" si="16"/>
        <v>52.5</v>
      </c>
    </row>
    <row r="153" spans="1:9" x14ac:dyDescent="0.25">
      <c r="A153" s="315">
        <f t="shared" si="17"/>
        <v>152</v>
      </c>
      <c r="B153" s="314" t="s">
        <v>497</v>
      </c>
      <c r="C153" s="415">
        <v>56</v>
      </c>
      <c r="D153" s="10">
        <v>1.21</v>
      </c>
      <c r="E153" s="7">
        <v>2</v>
      </c>
      <c r="F153" s="141">
        <f t="shared" si="14"/>
        <v>0.39500000000000002</v>
      </c>
      <c r="G153" s="142">
        <f t="shared" si="15"/>
        <v>67.759999999999991</v>
      </c>
      <c r="H153" s="143">
        <f t="shared" si="16"/>
        <v>112</v>
      </c>
    </row>
    <row r="154" spans="1:9" x14ac:dyDescent="0.25">
      <c r="A154" s="315">
        <f t="shared" si="17"/>
        <v>153</v>
      </c>
      <c r="B154" s="314" t="s">
        <v>1368</v>
      </c>
      <c r="C154" s="415">
        <v>2</v>
      </c>
      <c r="D154" s="15">
        <v>14.25</v>
      </c>
      <c r="E154" s="7">
        <v>25</v>
      </c>
      <c r="F154" s="141">
        <f t="shared" si="14"/>
        <v>0.43</v>
      </c>
      <c r="G154" s="142">
        <f t="shared" si="15"/>
        <v>28.5</v>
      </c>
      <c r="H154" s="143">
        <f t="shared" si="16"/>
        <v>50</v>
      </c>
    </row>
    <row r="155" spans="1:9" x14ac:dyDescent="0.25">
      <c r="A155" s="315">
        <f t="shared" si="17"/>
        <v>154</v>
      </c>
      <c r="B155" s="314" t="s">
        <v>523</v>
      </c>
      <c r="C155" s="415">
        <v>1</v>
      </c>
      <c r="D155" s="15">
        <v>11.5</v>
      </c>
      <c r="E155" s="7">
        <v>18</v>
      </c>
      <c r="F155" s="141">
        <f t="shared" si="14"/>
        <v>0.3611111111111111</v>
      </c>
      <c r="G155" s="142">
        <f t="shared" si="15"/>
        <v>11.5</v>
      </c>
      <c r="H155" s="143">
        <f t="shared" si="16"/>
        <v>18</v>
      </c>
    </row>
    <row r="156" spans="1:9" x14ac:dyDescent="0.25">
      <c r="A156" s="315">
        <f t="shared" si="17"/>
        <v>155</v>
      </c>
      <c r="B156" s="314" t="s">
        <v>933</v>
      </c>
      <c r="C156" s="340">
        <v>89</v>
      </c>
      <c r="D156" s="15">
        <v>2.21</v>
      </c>
      <c r="E156" s="7">
        <v>4.3</v>
      </c>
      <c r="F156" s="141">
        <f t="shared" si="14"/>
        <v>0.48604651162790696</v>
      </c>
      <c r="G156" s="142">
        <f t="shared" si="15"/>
        <v>196.69</v>
      </c>
      <c r="H156" s="143">
        <f t="shared" si="16"/>
        <v>382.7</v>
      </c>
    </row>
    <row r="157" spans="1:9" x14ac:dyDescent="0.25">
      <c r="A157" s="315">
        <f t="shared" si="17"/>
        <v>156</v>
      </c>
      <c r="B157" s="314" t="s">
        <v>57</v>
      </c>
      <c r="C157" s="433">
        <v>2</v>
      </c>
      <c r="D157" s="10">
        <v>15.55</v>
      </c>
      <c r="E157" s="7">
        <v>25</v>
      </c>
      <c r="F157" s="141">
        <f t="shared" si="14"/>
        <v>0.37799999999999995</v>
      </c>
      <c r="G157" s="142">
        <f t="shared" si="15"/>
        <v>31.1</v>
      </c>
      <c r="H157" s="143">
        <f t="shared" si="16"/>
        <v>50</v>
      </c>
    </row>
    <row r="158" spans="1:9" x14ac:dyDescent="0.25">
      <c r="A158" s="315">
        <f t="shared" si="17"/>
        <v>157</v>
      </c>
      <c r="B158" s="314" t="s">
        <v>588</v>
      </c>
      <c r="C158" s="415">
        <v>0</v>
      </c>
      <c r="D158" s="10">
        <v>9</v>
      </c>
      <c r="E158" s="7">
        <v>15</v>
      </c>
      <c r="F158" s="141">
        <f t="shared" si="14"/>
        <v>0.4</v>
      </c>
      <c r="G158" s="142">
        <f t="shared" si="15"/>
        <v>0</v>
      </c>
      <c r="H158" s="143">
        <f t="shared" si="16"/>
        <v>0</v>
      </c>
      <c r="I158" s="32"/>
    </row>
    <row r="159" spans="1:9" x14ac:dyDescent="0.25">
      <c r="A159" s="315">
        <f t="shared" si="17"/>
        <v>158</v>
      </c>
      <c r="B159" s="314" t="s">
        <v>98</v>
      </c>
      <c r="C159" s="415">
        <v>2</v>
      </c>
      <c r="D159" s="10">
        <v>11.25</v>
      </c>
      <c r="E159" s="7">
        <v>19</v>
      </c>
      <c r="F159" s="141">
        <f t="shared" si="14"/>
        <v>0.40789473684210525</v>
      </c>
      <c r="G159" s="142">
        <f t="shared" si="15"/>
        <v>22.5</v>
      </c>
      <c r="H159" s="143">
        <f t="shared" si="16"/>
        <v>38</v>
      </c>
    </row>
    <row r="160" spans="1:9" x14ac:dyDescent="0.25">
      <c r="A160" s="315">
        <f t="shared" si="17"/>
        <v>159</v>
      </c>
      <c r="B160" s="314" t="s">
        <v>265</v>
      </c>
      <c r="C160" s="415">
        <v>1</v>
      </c>
      <c r="D160" s="10">
        <v>25</v>
      </c>
      <c r="E160" s="7">
        <v>39</v>
      </c>
      <c r="F160" s="141">
        <f t="shared" si="14"/>
        <v>0.35897435897435898</v>
      </c>
      <c r="G160" s="142">
        <f t="shared" si="15"/>
        <v>25</v>
      </c>
      <c r="H160" s="143">
        <f t="shared" si="16"/>
        <v>39</v>
      </c>
    </row>
    <row r="161" spans="1:9" x14ac:dyDescent="0.25">
      <c r="A161" s="315">
        <f t="shared" si="17"/>
        <v>160</v>
      </c>
      <c r="B161" s="314" t="s">
        <v>292</v>
      </c>
      <c r="C161" s="280">
        <v>0</v>
      </c>
      <c r="D161" s="10">
        <v>2.29</v>
      </c>
      <c r="E161" s="7">
        <v>3.5</v>
      </c>
      <c r="F161" s="141">
        <f t="shared" si="14"/>
        <v>0.3457142857142857</v>
      </c>
      <c r="G161" s="142">
        <f t="shared" si="15"/>
        <v>0</v>
      </c>
      <c r="H161" s="143">
        <f t="shared" si="16"/>
        <v>0</v>
      </c>
    </row>
    <row r="162" spans="1:9" x14ac:dyDescent="0.25">
      <c r="A162" s="315">
        <f t="shared" si="17"/>
        <v>161</v>
      </c>
      <c r="B162" s="314" t="s">
        <v>571</v>
      </c>
      <c r="C162" s="415">
        <v>1</v>
      </c>
      <c r="D162" s="10">
        <v>41.11</v>
      </c>
      <c r="E162" s="7">
        <v>68</v>
      </c>
      <c r="F162" s="141">
        <f t="shared" ref="F162:F172" si="18">(E162-D162)/(E162)</f>
        <v>0.39544117647058824</v>
      </c>
      <c r="G162" s="142">
        <f t="shared" ref="G162:G172" si="19">D162*C162</f>
        <v>41.11</v>
      </c>
      <c r="H162" s="143">
        <f t="shared" ref="H162:H172" si="20">E162*C162</f>
        <v>68</v>
      </c>
    </row>
    <row r="163" spans="1:9" x14ac:dyDescent="0.25">
      <c r="A163" s="315">
        <f t="shared" si="17"/>
        <v>162</v>
      </c>
      <c r="B163" s="314" t="s">
        <v>52</v>
      </c>
      <c r="C163" s="415">
        <v>2</v>
      </c>
      <c r="D163" s="10">
        <v>22.98</v>
      </c>
      <c r="E163" s="7">
        <v>38</v>
      </c>
      <c r="F163" s="141">
        <f t="shared" si="18"/>
        <v>0.39526315789473682</v>
      </c>
      <c r="G163" s="142">
        <f t="shared" si="19"/>
        <v>45.96</v>
      </c>
      <c r="H163" s="143">
        <f t="shared" si="20"/>
        <v>76</v>
      </c>
    </row>
    <row r="164" spans="1:9" x14ac:dyDescent="0.25">
      <c r="A164" s="315">
        <f t="shared" si="17"/>
        <v>163</v>
      </c>
      <c r="B164" s="314" t="s">
        <v>95</v>
      </c>
      <c r="C164" s="340">
        <v>4</v>
      </c>
      <c r="D164" s="10">
        <v>19.86</v>
      </c>
      <c r="E164" s="7">
        <v>35</v>
      </c>
      <c r="F164" s="141">
        <f t="shared" si="18"/>
        <v>0.43257142857142861</v>
      </c>
      <c r="G164" s="142">
        <f t="shared" si="19"/>
        <v>79.44</v>
      </c>
      <c r="H164" s="143">
        <f t="shared" si="20"/>
        <v>140</v>
      </c>
    </row>
    <row r="165" spans="1:9" x14ac:dyDescent="0.25">
      <c r="A165" s="315">
        <f t="shared" si="17"/>
        <v>164</v>
      </c>
      <c r="B165" s="314" t="s">
        <v>1192</v>
      </c>
      <c r="C165" s="413">
        <v>1</v>
      </c>
      <c r="D165" s="404">
        <v>22.8</v>
      </c>
      <c r="E165" s="7">
        <v>38</v>
      </c>
      <c r="F165" s="141">
        <f t="shared" si="18"/>
        <v>0.39999999999999997</v>
      </c>
      <c r="G165" s="142">
        <f t="shared" si="19"/>
        <v>22.8</v>
      </c>
      <c r="H165" s="143">
        <f t="shared" si="20"/>
        <v>38</v>
      </c>
    </row>
    <row r="166" spans="1:9" x14ac:dyDescent="0.25">
      <c r="A166" s="315">
        <f t="shared" si="17"/>
        <v>165</v>
      </c>
      <c r="B166" s="314" t="s">
        <v>36</v>
      </c>
      <c r="C166" s="415">
        <v>0</v>
      </c>
      <c r="D166" s="15">
        <v>3.9</v>
      </c>
      <c r="E166" s="7">
        <v>5.8</v>
      </c>
      <c r="F166" s="141">
        <f t="shared" si="18"/>
        <v>0.32758620689655171</v>
      </c>
      <c r="G166" s="142">
        <f t="shared" si="19"/>
        <v>0</v>
      </c>
      <c r="H166" s="143">
        <f t="shared" si="20"/>
        <v>0</v>
      </c>
    </row>
    <row r="167" spans="1:9" x14ac:dyDescent="0.25">
      <c r="A167" s="315">
        <f t="shared" si="17"/>
        <v>166</v>
      </c>
      <c r="B167" s="314" t="s">
        <v>20</v>
      </c>
      <c r="C167" s="415">
        <v>2</v>
      </c>
      <c r="D167" s="15">
        <v>9.85</v>
      </c>
      <c r="E167" s="7">
        <v>19</v>
      </c>
      <c r="F167" s="141">
        <f t="shared" si="18"/>
        <v>0.48157894736842105</v>
      </c>
      <c r="G167" s="142">
        <f t="shared" si="19"/>
        <v>19.7</v>
      </c>
      <c r="H167" s="143">
        <f t="shared" si="20"/>
        <v>38</v>
      </c>
    </row>
    <row r="168" spans="1:9" x14ac:dyDescent="0.25">
      <c r="A168" s="315">
        <f t="shared" si="17"/>
        <v>167</v>
      </c>
      <c r="B168" s="314" t="s">
        <v>191</v>
      </c>
      <c r="C168" s="415">
        <v>24</v>
      </c>
      <c r="D168" s="10">
        <v>2.0859999999999999</v>
      </c>
      <c r="E168" s="7">
        <v>3.5</v>
      </c>
      <c r="F168" s="141">
        <f t="shared" si="18"/>
        <v>0.40400000000000003</v>
      </c>
      <c r="G168" s="142">
        <f t="shared" si="19"/>
        <v>50.063999999999993</v>
      </c>
      <c r="H168" s="143">
        <f t="shared" si="20"/>
        <v>84</v>
      </c>
    </row>
    <row r="169" spans="1:9" x14ac:dyDescent="0.25">
      <c r="A169" s="315">
        <f t="shared" si="17"/>
        <v>168</v>
      </c>
      <c r="B169" s="4" t="s">
        <v>877</v>
      </c>
      <c r="C169" s="415">
        <v>28</v>
      </c>
      <c r="D169" s="10">
        <v>3.73</v>
      </c>
      <c r="E169" s="7">
        <v>6</v>
      </c>
      <c r="F169" s="141">
        <f t="shared" si="18"/>
        <v>0.37833333333333335</v>
      </c>
      <c r="G169" s="142">
        <f t="shared" si="19"/>
        <v>104.44</v>
      </c>
      <c r="H169" s="143">
        <f t="shared" si="20"/>
        <v>168</v>
      </c>
      <c r="I169" s="97"/>
    </row>
    <row r="170" spans="1:9" x14ac:dyDescent="0.25">
      <c r="A170" s="315">
        <f t="shared" si="17"/>
        <v>169</v>
      </c>
      <c r="B170" s="314" t="s">
        <v>318</v>
      </c>
      <c r="C170" s="433">
        <v>28</v>
      </c>
      <c r="D170" s="10">
        <v>1.18</v>
      </c>
      <c r="E170" s="7">
        <v>2.5</v>
      </c>
      <c r="F170" s="141">
        <f t="shared" si="18"/>
        <v>0.52800000000000002</v>
      </c>
      <c r="G170" s="142">
        <f t="shared" si="19"/>
        <v>33.04</v>
      </c>
      <c r="H170" s="143">
        <f t="shared" si="20"/>
        <v>70</v>
      </c>
    </row>
    <row r="171" spans="1:9" x14ac:dyDescent="0.25">
      <c r="A171" s="315">
        <f t="shared" si="17"/>
        <v>170</v>
      </c>
      <c r="B171" s="314" t="s">
        <v>1292</v>
      </c>
      <c r="C171" s="415">
        <v>2</v>
      </c>
      <c r="D171" s="10">
        <v>28.25</v>
      </c>
      <c r="E171" s="7">
        <v>48</v>
      </c>
      <c r="F171" s="141">
        <f t="shared" si="18"/>
        <v>0.41145833333333331</v>
      </c>
      <c r="G171" s="142">
        <f t="shared" si="19"/>
        <v>56.5</v>
      </c>
      <c r="H171" s="143">
        <f t="shared" si="20"/>
        <v>96</v>
      </c>
    </row>
    <row r="172" spans="1:9" x14ac:dyDescent="0.25">
      <c r="A172" s="315">
        <f t="shared" si="17"/>
        <v>171</v>
      </c>
      <c r="B172" s="314" t="s">
        <v>715</v>
      </c>
      <c r="C172" s="415">
        <v>22</v>
      </c>
      <c r="D172" s="10">
        <v>0.36</v>
      </c>
      <c r="E172" s="7">
        <v>0.75</v>
      </c>
      <c r="F172" s="141">
        <f t="shared" si="18"/>
        <v>0.52</v>
      </c>
      <c r="G172" s="142">
        <f t="shared" si="19"/>
        <v>7.92</v>
      </c>
      <c r="H172" s="143">
        <f t="shared" si="20"/>
        <v>16.5</v>
      </c>
    </row>
    <row r="173" spans="1:9" x14ac:dyDescent="0.25">
      <c r="A173" s="315">
        <f t="shared" si="17"/>
        <v>172</v>
      </c>
      <c r="B173" s="314"/>
      <c r="C173" s="340"/>
      <c r="D173" s="15"/>
      <c r="E173" s="7"/>
      <c r="G173" s="30"/>
      <c r="H173" s="25"/>
    </row>
    <row r="174" spans="1:9" x14ac:dyDescent="0.25">
      <c r="A174" s="315">
        <f t="shared" si="17"/>
        <v>173</v>
      </c>
      <c r="B174" s="4"/>
      <c r="C174" s="58"/>
      <c r="D174" s="15"/>
      <c r="E174" s="7"/>
      <c r="G174" s="30">
        <f>SUM(G4:G171)</f>
        <v>6518.0820000000022</v>
      </c>
      <c r="H174" s="57">
        <f>SUM(H2:H171)</f>
        <v>11087.7</v>
      </c>
    </row>
    <row r="175" spans="1:9" x14ac:dyDescent="0.25">
      <c r="A175" s="315">
        <f t="shared" si="17"/>
        <v>174</v>
      </c>
      <c r="B175" s="4"/>
      <c r="C175" s="58"/>
      <c r="D175" s="15"/>
      <c r="E175" s="7"/>
      <c r="G175" s="30"/>
      <c r="H175" s="217">
        <f>H174-G174</f>
        <v>4569.6179999999986</v>
      </c>
    </row>
    <row r="176" spans="1:9" x14ac:dyDescent="0.25">
      <c r="A176" s="315">
        <f t="shared" si="17"/>
        <v>175</v>
      </c>
      <c r="B176" s="4"/>
      <c r="C176" s="58"/>
      <c r="D176" s="15"/>
      <c r="E176" s="7"/>
      <c r="G176" s="30"/>
      <c r="H176" s="29">
        <f>H175/H174</f>
        <v>0.41213398630915321</v>
      </c>
    </row>
    <row r="177" spans="1:8" x14ac:dyDescent="0.25">
      <c r="A177" s="315">
        <f t="shared" si="17"/>
        <v>176</v>
      </c>
      <c r="B177" s="4"/>
      <c r="C177" s="58"/>
      <c r="D177" s="15"/>
      <c r="E177" s="7"/>
      <c r="G177" s="30"/>
      <c r="H177" s="25"/>
    </row>
    <row r="178" spans="1:8" x14ac:dyDescent="0.25">
      <c r="A178" s="315">
        <f t="shared" si="17"/>
        <v>177</v>
      </c>
      <c r="B178" s="4"/>
      <c r="C178" s="58"/>
      <c r="D178" s="15"/>
      <c r="E178" s="7"/>
      <c r="G178" s="30"/>
      <c r="H178" s="25"/>
    </row>
    <row r="179" spans="1:8" x14ac:dyDescent="0.25">
      <c r="A179" s="315">
        <f t="shared" si="17"/>
        <v>178</v>
      </c>
      <c r="B179" s="4"/>
      <c r="C179" s="58"/>
      <c r="D179" s="15"/>
      <c r="E179" s="7"/>
      <c r="G179" s="30"/>
      <c r="H179" s="25"/>
    </row>
    <row r="180" spans="1:8" x14ac:dyDescent="0.25">
      <c r="A180" s="315">
        <f t="shared" si="17"/>
        <v>179</v>
      </c>
      <c r="B180" s="4"/>
      <c r="C180" s="58"/>
      <c r="D180" s="15"/>
      <c r="E180" s="7"/>
      <c r="G180" s="30"/>
      <c r="H180" s="25"/>
    </row>
    <row r="181" spans="1:8" x14ac:dyDescent="0.25">
      <c r="B181" s="4"/>
      <c r="C181" s="58"/>
      <c r="D181" s="15"/>
      <c r="E181" s="7"/>
      <c r="G181" s="30"/>
      <c r="H181" s="25"/>
    </row>
    <row r="182" spans="1:8" x14ac:dyDescent="0.25">
      <c r="B182" s="4"/>
      <c r="C182" s="58"/>
      <c r="D182" s="15"/>
      <c r="E182" s="7"/>
      <c r="G182" s="30"/>
      <c r="H182" s="25"/>
    </row>
    <row r="183" spans="1:8" x14ac:dyDescent="0.25">
      <c r="B183" s="3"/>
      <c r="C183" s="58"/>
      <c r="D183" s="15"/>
      <c r="E183" s="7"/>
      <c r="G183" s="30"/>
      <c r="H183" s="25"/>
    </row>
    <row r="184" spans="1:8" x14ac:dyDescent="0.25">
      <c r="B184" s="4"/>
      <c r="C184" s="58"/>
      <c r="D184" s="15"/>
      <c r="E184" s="7"/>
      <c r="G184" s="30"/>
      <c r="H184" s="25"/>
    </row>
    <row r="185" spans="1:8" x14ac:dyDescent="0.25">
      <c r="B185" s="4"/>
      <c r="C185" s="58"/>
      <c r="D185" s="15"/>
      <c r="E185" s="7"/>
      <c r="G185" s="30"/>
      <c r="H185" s="25"/>
    </row>
    <row r="186" spans="1:8" x14ac:dyDescent="0.25">
      <c r="B186" s="4"/>
      <c r="C186" s="58"/>
      <c r="D186" s="15"/>
      <c r="E186" s="7"/>
      <c r="G186" s="30"/>
      <c r="H186" s="25"/>
    </row>
    <row r="187" spans="1:8" x14ac:dyDescent="0.25">
      <c r="B187" s="4"/>
      <c r="C187" s="58"/>
      <c r="D187" s="15"/>
      <c r="E187" s="7"/>
      <c r="G187" s="30"/>
      <c r="H187" s="25"/>
    </row>
    <row r="188" spans="1:8" x14ac:dyDescent="0.25">
      <c r="B188" s="4"/>
      <c r="C188" s="58"/>
      <c r="D188" s="15"/>
      <c r="E188" s="7"/>
      <c r="G188" s="30"/>
      <c r="H188" s="25"/>
    </row>
    <row r="189" spans="1:8" x14ac:dyDescent="0.25">
      <c r="B189" s="4"/>
      <c r="C189" s="58"/>
      <c r="D189" s="15"/>
      <c r="E189" s="7"/>
      <c r="G189" s="30"/>
      <c r="H189" s="25"/>
    </row>
    <row r="190" spans="1:8" x14ac:dyDescent="0.25">
      <c r="B190" s="4"/>
      <c r="C190" s="58"/>
      <c r="D190" s="15"/>
      <c r="E190" s="7"/>
      <c r="G190" s="30"/>
      <c r="H190" s="25"/>
    </row>
    <row r="191" spans="1:8" x14ac:dyDescent="0.25">
      <c r="B191" s="4"/>
      <c r="C191" s="58"/>
      <c r="D191" s="15"/>
      <c r="E191" s="7"/>
      <c r="G191" s="30"/>
      <c r="H191" s="25"/>
    </row>
    <row r="192" spans="1:8" x14ac:dyDescent="0.25">
      <c r="B192" s="4"/>
      <c r="C192" s="58"/>
      <c r="D192" s="15"/>
      <c r="E192" s="7"/>
      <c r="G192" s="30"/>
      <c r="H192" s="25"/>
    </row>
    <row r="193" spans="2:8" ht="13.5" customHeight="1" x14ac:dyDescent="0.25">
      <c r="B193" s="4"/>
      <c r="C193" s="58"/>
      <c r="D193" s="15"/>
      <c r="E193" s="7"/>
      <c r="G193" s="30"/>
      <c r="H193" s="25"/>
    </row>
    <row r="194" spans="2:8" ht="13.5" customHeight="1" x14ac:dyDescent="0.25">
      <c r="B194" s="4"/>
      <c r="C194" s="58"/>
      <c r="D194" s="15"/>
      <c r="E194" s="7"/>
      <c r="G194" s="30"/>
      <c r="H194" s="25"/>
    </row>
    <row r="195" spans="2:8" ht="13.5" customHeight="1" x14ac:dyDescent="0.25">
      <c r="B195" s="4"/>
      <c r="C195" s="58"/>
      <c r="D195" s="15"/>
      <c r="E195" s="7"/>
      <c r="G195" s="30"/>
      <c r="H195" s="25"/>
    </row>
    <row r="196" spans="2:8" ht="13.5" customHeight="1" x14ac:dyDescent="0.25">
      <c r="B196" s="4"/>
      <c r="C196" s="58"/>
      <c r="D196" s="15"/>
      <c r="E196" s="7"/>
      <c r="G196" s="30"/>
      <c r="H196" s="25"/>
    </row>
    <row r="197" spans="2:8" ht="13.5" customHeight="1" x14ac:dyDescent="0.25">
      <c r="B197" s="4"/>
      <c r="C197" s="58"/>
      <c r="D197" s="15"/>
      <c r="E197" s="7"/>
      <c r="G197" s="30"/>
      <c r="H197" s="25"/>
    </row>
    <row r="198" spans="2:8" ht="13.5" customHeight="1" x14ac:dyDescent="0.25">
      <c r="B198" s="4"/>
      <c r="C198" s="58"/>
      <c r="D198" s="15"/>
      <c r="E198" s="7"/>
      <c r="G198" s="30"/>
      <c r="H198" s="25"/>
    </row>
    <row r="199" spans="2:8" ht="13.5" customHeight="1" x14ac:dyDescent="0.25">
      <c r="B199" s="4"/>
      <c r="C199" s="58"/>
      <c r="D199" s="15"/>
      <c r="E199" s="7"/>
      <c r="G199" s="30"/>
      <c r="H199" s="25"/>
    </row>
    <row r="200" spans="2:8" ht="13.5" customHeight="1" x14ac:dyDescent="0.25">
      <c r="B200" s="4"/>
      <c r="C200" s="58"/>
      <c r="D200" s="15"/>
      <c r="E200" s="7"/>
      <c r="G200" s="30"/>
      <c r="H200" s="25"/>
    </row>
    <row r="201" spans="2:8" ht="13.5" customHeight="1" x14ac:dyDescent="0.25">
      <c r="B201" s="4"/>
      <c r="C201" s="58"/>
      <c r="D201" s="15"/>
      <c r="E201" s="7"/>
      <c r="G201" s="30"/>
      <c r="H201" s="25"/>
    </row>
    <row r="202" spans="2:8" ht="13.5" customHeight="1" x14ac:dyDescent="0.25">
      <c r="B202" s="4"/>
      <c r="C202" s="58"/>
      <c r="D202" s="15"/>
      <c r="E202" s="7"/>
      <c r="G202" s="30"/>
      <c r="H202" s="25"/>
    </row>
    <row r="203" spans="2:8" ht="13.5" customHeight="1" x14ac:dyDescent="0.25">
      <c r="B203" s="4"/>
      <c r="C203" s="301"/>
      <c r="D203" s="15"/>
      <c r="E203" s="7"/>
      <c r="G203" s="30"/>
      <c r="H203" s="25"/>
    </row>
    <row r="204" spans="2:8" ht="13.5" customHeight="1" x14ac:dyDescent="0.25">
      <c r="B204" s="4"/>
      <c r="C204" s="58"/>
      <c r="D204" s="15"/>
      <c r="E204" s="7"/>
      <c r="G204" s="30"/>
      <c r="H204" s="25"/>
    </row>
    <row r="205" spans="2:8" ht="13.5" customHeight="1" x14ac:dyDescent="0.25">
      <c r="B205" s="4"/>
      <c r="C205" s="58"/>
      <c r="D205" s="15"/>
      <c r="E205" s="7"/>
      <c r="G205" s="30"/>
      <c r="H205" s="25"/>
    </row>
    <row r="206" spans="2:8" ht="13.5" customHeight="1" x14ac:dyDescent="0.25">
      <c r="B206" s="4"/>
      <c r="C206" s="58"/>
      <c r="D206" s="15"/>
      <c r="E206" s="7"/>
      <c r="G206" s="30"/>
      <c r="H206" s="25"/>
    </row>
    <row r="207" spans="2:8" ht="13.5" customHeight="1" x14ac:dyDescent="0.25">
      <c r="B207" s="4"/>
      <c r="C207" s="58"/>
      <c r="D207" s="15"/>
      <c r="E207" s="7"/>
      <c r="G207" s="30"/>
      <c r="H207" s="25"/>
    </row>
    <row r="208" spans="2:8" ht="13.5" customHeight="1" x14ac:dyDescent="0.25">
      <c r="B208" s="4"/>
      <c r="C208" s="58"/>
      <c r="D208" s="15"/>
      <c r="E208" s="7"/>
      <c r="G208" s="30"/>
      <c r="H208" s="25"/>
    </row>
    <row r="209" spans="2:8" ht="13.5" customHeight="1" x14ac:dyDescent="0.25">
      <c r="B209" s="4"/>
      <c r="C209" s="58"/>
      <c r="D209" s="15"/>
      <c r="E209" s="7"/>
      <c r="G209" s="30"/>
      <c r="H209" s="25"/>
    </row>
    <row r="210" spans="2:8" ht="13.5" customHeight="1" x14ac:dyDescent="0.25">
      <c r="B210" s="4"/>
      <c r="C210" s="58"/>
      <c r="D210" s="15"/>
      <c r="E210" s="7"/>
      <c r="G210" s="30"/>
      <c r="H210" s="25"/>
    </row>
    <row r="211" spans="2:8" ht="13.5" customHeight="1" x14ac:dyDescent="0.25">
      <c r="B211" s="4"/>
      <c r="C211" s="58"/>
      <c r="D211" s="15"/>
      <c r="E211" s="7"/>
      <c r="G211" s="30"/>
      <c r="H211" s="25"/>
    </row>
    <row r="212" spans="2:8" ht="13.5" customHeight="1" x14ac:dyDescent="0.25">
      <c r="B212" s="4"/>
      <c r="C212" s="58"/>
      <c r="D212" s="15"/>
      <c r="E212" s="7"/>
      <c r="G212" s="30"/>
      <c r="H212" s="25"/>
    </row>
    <row r="213" spans="2:8" ht="13.5" customHeight="1" x14ac:dyDescent="0.25">
      <c r="C213" s="58"/>
      <c r="D213" s="15"/>
      <c r="E213" s="7"/>
      <c r="G213" s="30"/>
      <c r="H213" s="25"/>
    </row>
    <row r="214" spans="2:8" ht="13.5" customHeight="1" x14ac:dyDescent="0.25">
      <c r="C214" s="58"/>
      <c r="D214" s="10"/>
      <c r="E214" s="7"/>
      <c r="G214" s="30"/>
      <c r="H214" s="25"/>
    </row>
    <row r="215" spans="2:8" ht="13.5" customHeight="1" x14ac:dyDescent="0.25">
      <c r="C215" s="58"/>
      <c r="D215" s="15"/>
      <c r="E215" s="7"/>
      <c r="G215" s="30"/>
      <c r="H215" s="25"/>
    </row>
    <row r="216" spans="2:8" x14ac:dyDescent="0.25">
      <c r="C216" s="58"/>
      <c r="D216" s="15"/>
      <c r="E216" s="7"/>
      <c r="G216" s="30"/>
      <c r="H216" s="25"/>
    </row>
    <row r="217" spans="2:8" x14ac:dyDescent="0.25">
      <c r="B217" s="4"/>
      <c r="C217" s="58"/>
      <c r="D217" s="10"/>
      <c r="E217" s="7"/>
      <c r="G217" s="30"/>
      <c r="H217" s="25"/>
    </row>
    <row r="218" spans="2:8" x14ac:dyDescent="0.25">
      <c r="B218" s="4"/>
      <c r="C218" s="58"/>
      <c r="D218" s="10"/>
      <c r="E218" s="7"/>
      <c r="G218" s="30"/>
      <c r="H218" s="25"/>
    </row>
    <row r="219" spans="2:8" x14ac:dyDescent="0.25">
      <c r="B219" s="4"/>
      <c r="C219" s="58"/>
      <c r="D219" s="15"/>
      <c r="E219" s="7"/>
      <c r="G219" s="30"/>
      <c r="H219" s="25"/>
    </row>
    <row r="220" spans="2:8" x14ac:dyDescent="0.25">
      <c r="B220" s="4"/>
      <c r="C220" s="58"/>
      <c r="G220" s="30"/>
      <c r="H220" s="25"/>
    </row>
    <row r="221" spans="2:8" x14ac:dyDescent="0.25">
      <c r="B221" s="4"/>
      <c r="C221" s="58"/>
      <c r="G221" s="30"/>
      <c r="H221" s="25"/>
    </row>
    <row r="222" spans="2:8" x14ac:dyDescent="0.25">
      <c r="B222" s="4"/>
      <c r="C222" s="53"/>
      <c r="G222" s="30"/>
      <c r="H222" s="25"/>
    </row>
    <row r="223" spans="2:8" x14ac:dyDescent="0.25">
      <c r="B223" s="4"/>
      <c r="C223" s="91"/>
      <c r="G223" s="30"/>
      <c r="H223" s="25"/>
    </row>
    <row r="224" spans="2:8" x14ac:dyDescent="0.25">
      <c r="B224" s="4"/>
      <c r="C224" s="53"/>
      <c r="D224" s="15"/>
      <c r="E224" s="7"/>
      <c r="G224" s="30"/>
      <c r="H224" s="25"/>
    </row>
    <row r="225" spans="2:8" x14ac:dyDescent="0.25">
      <c r="B225" s="4"/>
      <c r="C225" s="53"/>
      <c r="D225" s="10"/>
      <c r="E225" s="7"/>
      <c r="H225" s="25"/>
    </row>
    <row r="226" spans="2:8" x14ac:dyDescent="0.25">
      <c r="B226" s="4"/>
      <c r="C226" s="53"/>
      <c r="D226" s="10"/>
      <c r="E226" s="7"/>
      <c r="H226" s="25"/>
    </row>
    <row r="227" spans="2:8" x14ac:dyDescent="0.25">
      <c r="B227" s="4"/>
      <c r="C227" s="53"/>
      <c r="D227" s="10"/>
      <c r="E227" s="7"/>
      <c r="H227" s="25"/>
    </row>
    <row r="228" spans="2:8" x14ac:dyDescent="0.25">
      <c r="B228" s="4"/>
      <c r="C228" s="53"/>
      <c r="D228" s="15"/>
      <c r="E228" s="7"/>
      <c r="H228" s="25"/>
    </row>
    <row r="229" spans="2:8" x14ac:dyDescent="0.25">
      <c r="B229" s="4"/>
      <c r="C229" s="91"/>
      <c r="D229" s="10"/>
      <c r="E229" s="7"/>
      <c r="H229" s="25"/>
    </row>
    <row r="230" spans="2:8" x14ac:dyDescent="0.25">
      <c r="B230" s="4"/>
      <c r="C230" s="53"/>
      <c r="D230" s="10"/>
      <c r="E230" s="7"/>
      <c r="H230" s="25"/>
    </row>
    <row r="231" spans="2:8" x14ac:dyDescent="0.25">
      <c r="B231" s="4"/>
      <c r="C231" s="53"/>
      <c r="D231" s="10"/>
      <c r="E231" s="7"/>
      <c r="H231" s="25"/>
    </row>
    <row r="232" spans="2:8" x14ac:dyDescent="0.25">
      <c r="B232" s="4"/>
      <c r="C232" s="53"/>
      <c r="D232" s="15"/>
      <c r="E232" s="7"/>
      <c r="H232" s="25"/>
    </row>
    <row r="233" spans="2:8" x14ac:dyDescent="0.25">
      <c r="B233" s="4"/>
      <c r="C233" s="53"/>
      <c r="D233" s="15"/>
      <c r="E233" s="7"/>
      <c r="H233" s="25"/>
    </row>
    <row r="234" spans="2:8" x14ac:dyDescent="0.25">
      <c r="B234" s="4"/>
      <c r="C234" s="53"/>
      <c r="D234" s="10"/>
      <c r="E234" s="7"/>
      <c r="H234" s="25"/>
    </row>
    <row r="235" spans="2:8" x14ac:dyDescent="0.25">
      <c r="B235" s="4"/>
      <c r="C235" s="53"/>
      <c r="D235" s="10"/>
      <c r="E235" s="7"/>
      <c r="H235" s="25"/>
    </row>
    <row r="236" spans="2:8" x14ac:dyDescent="0.25">
      <c r="B236" s="4"/>
      <c r="C236" s="53"/>
      <c r="D236" s="15"/>
      <c r="E236" s="7"/>
      <c r="H236" s="25"/>
    </row>
    <row r="237" spans="2:8" x14ac:dyDescent="0.25">
      <c r="B237" s="4"/>
      <c r="C237" s="53"/>
      <c r="D237" s="10"/>
      <c r="E237" s="7"/>
      <c r="H237" s="25"/>
    </row>
    <row r="238" spans="2:8" x14ac:dyDescent="0.25">
      <c r="B238" s="4"/>
      <c r="C238" s="53"/>
      <c r="D238" s="15"/>
      <c r="E238" s="7"/>
      <c r="H238" s="25"/>
    </row>
    <row r="239" spans="2:8" x14ac:dyDescent="0.25">
      <c r="B239" s="4"/>
      <c r="C239" s="91"/>
      <c r="D239" s="10"/>
      <c r="E239" s="7"/>
      <c r="H239" s="25"/>
    </row>
    <row r="240" spans="2:8" x14ac:dyDescent="0.25">
      <c r="B240" s="4"/>
      <c r="C240" s="53"/>
      <c r="D240" s="15"/>
      <c r="E240" s="7"/>
      <c r="H240" s="25"/>
    </row>
    <row r="241" spans="2:8" x14ac:dyDescent="0.25">
      <c r="B241" s="4"/>
      <c r="C241" s="53"/>
      <c r="D241" s="15"/>
      <c r="E241" s="7"/>
      <c r="H241" s="25"/>
    </row>
    <row r="242" spans="2:8" x14ac:dyDescent="0.25">
      <c r="B242" s="4"/>
      <c r="C242" s="91"/>
      <c r="D242" s="10"/>
      <c r="E242" s="7"/>
      <c r="H242" s="25"/>
    </row>
    <row r="243" spans="2:8" x14ac:dyDescent="0.25">
      <c r="B243" s="4"/>
      <c r="C243" s="91"/>
      <c r="D243" s="15"/>
      <c r="E243" s="7"/>
      <c r="H243" s="25"/>
    </row>
    <row r="244" spans="2:8" x14ac:dyDescent="0.25">
      <c r="B244" s="4"/>
      <c r="C244" s="53"/>
      <c r="D244" s="15"/>
      <c r="E244" s="7"/>
      <c r="H244" s="25"/>
    </row>
    <row r="245" spans="2:8" x14ac:dyDescent="0.25">
      <c r="B245" s="4"/>
      <c r="C245" s="53"/>
      <c r="D245" s="10"/>
      <c r="E245" s="7"/>
      <c r="H245" s="25"/>
    </row>
    <row r="246" spans="2:8" x14ac:dyDescent="0.25">
      <c r="B246" s="4"/>
      <c r="C246" s="53"/>
      <c r="D246" s="15"/>
      <c r="E246" s="7"/>
      <c r="H246" s="25"/>
    </row>
    <row r="247" spans="2:8" x14ac:dyDescent="0.25">
      <c r="B247" s="4"/>
      <c r="C247" s="53"/>
      <c r="D247" s="10"/>
      <c r="E247" s="7"/>
      <c r="H247" s="25"/>
    </row>
    <row r="248" spans="2:8" x14ac:dyDescent="0.25">
      <c r="B248" s="4"/>
      <c r="C248" s="91"/>
      <c r="D248" s="10"/>
      <c r="E248" s="7"/>
      <c r="H248" s="25"/>
    </row>
    <row r="249" spans="2:8" x14ac:dyDescent="0.25">
      <c r="B249" s="4"/>
      <c r="C249" s="53"/>
      <c r="D249" s="15"/>
      <c r="E249" s="7"/>
      <c r="H249" s="25"/>
    </row>
    <row r="250" spans="2:8" x14ac:dyDescent="0.25">
      <c r="B250" s="4"/>
      <c r="C250" s="53"/>
      <c r="D250" s="10"/>
      <c r="E250" s="7"/>
      <c r="H250" s="25"/>
    </row>
    <row r="251" spans="2:8" x14ac:dyDescent="0.25">
      <c r="B251" s="4"/>
      <c r="C251" s="91"/>
      <c r="D251" s="10"/>
      <c r="E251" s="7"/>
      <c r="H251" s="25"/>
    </row>
    <row r="252" spans="2:8" x14ac:dyDescent="0.25">
      <c r="B252" s="4"/>
      <c r="C252" s="53"/>
      <c r="D252" s="10"/>
      <c r="E252" s="7"/>
      <c r="H252" s="25"/>
    </row>
    <row r="253" spans="2:8" x14ac:dyDescent="0.25">
      <c r="B253" s="4"/>
      <c r="C253" s="53"/>
      <c r="D253" s="10"/>
      <c r="E253" s="7"/>
      <c r="H253" s="25"/>
    </row>
    <row r="254" spans="2:8" x14ac:dyDescent="0.25">
      <c r="B254" s="4"/>
      <c r="C254" s="91"/>
      <c r="D254" s="10"/>
      <c r="E254" s="7"/>
      <c r="H254" s="25"/>
    </row>
    <row r="255" spans="2:8" x14ac:dyDescent="0.25">
      <c r="B255" s="4"/>
      <c r="C255" s="53"/>
      <c r="D255" s="15"/>
      <c r="E255" s="7"/>
      <c r="H255" s="25"/>
    </row>
    <row r="256" spans="2:8" x14ac:dyDescent="0.25">
      <c r="B256" s="4"/>
      <c r="C256" s="53"/>
      <c r="D256" s="15"/>
      <c r="E256" s="7"/>
      <c r="H256" s="25"/>
    </row>
    <row r="257" spans="2:8" x14ac:dyDescent="0.25">
      <c r="B257" s="4"/>
      <c r="C257" s="91"/>
      <c r="D257" s="10"/>
      <c r="E257" s="7"/>
      <c r="H257" s="25"/>
    </row>
    <row r="258" spans="2:8" x14ac:dyDescent="0.25">
      <c r="B258" s="4"/>
      <c r="C258" s="53"/>
      <c r="D258" s="10"/>
      <c r="E258" s="7"/>
      <c r="H258" s="25"/>
    </row>
    <row r="259" spans="2:8" x14ac:dyDescent="0.25">
      <c r="B259" s="4"/>
      <c r="C259" s="53"/>
      <c r="D259" s="10"/>
      <c r="E259" s="7"/>
      <c r="H259" s="25"/>
    </row>
    <row r="260" spans="2:8" x14ac:dyDescent="0.25">
      <c r="B260" s="4"/>
      <c r="C260" s="53"/>
      <c r="D260" s="15"/>
      <c r="E260" s="7"/>
      <c r="H260" s="25"/>
    </row>
    <row r="261" spans="2:8" x14ac:dyDescent="0.25">
      <c r="B261" s="4"/>
      <c r="C261" s="91"/>
      <c r="D261" s="15"/>
      <c r="E261" s="7"/>
      <c r="H261" s="25"/>
    </row>
    <row r="262" spans="2:8" x14ac:dyDescent="0.25">
      <c r="B262" s="4"/>
      <c r="C262" s="53"/>
      <c r="D262" s="15"/>
      <c r="E262" s="7"/>
      <c r="H262" s="25"/>
    </row>
    <row r="263" spans="2:8" x14ac:dyDescent="0.25">
      <c r="B263" s="4"/>
      <c r="C263" s="53"/>
      <c r="D263" s="10"/>
      <c r="E263" s="7"/>
      <c r="H263" s="25"/>
    </row>
    <row r="264" spans="2:8" x14ac:dyDescent="0.25">
      <c r="B264" s="4"/>
      <c r="C264" s="53"/>
      <c r="D264" s="10"/>
      <c r="E264" s="7"/>
      <c r="H264" s="25"/>
    </row>
    <row r="265" spans="2:8" x14ac:dyDescent="0.25">
      <c r="B265" s="4"/>
      <c r="C265" s="53"/>
      <c r="D265" s="10"/>
      <c r="E265" s="7"/>
      <c r="H265" s="25"/>
    </row>
    <row r="266" spans="2:8" x14ac:dyDescent="0.25">
      <c r="B266" s="4"/>
      <c r="C266" s="53"/>
      <c r="D266" s="10"/>
      <c r="E266" s="7"/>
      <c r="H266" s="25"/>
    </row>
    <row r="267" spans="2:8" x14ac:dyDescent="0.25">
      <c r="B267" s="4"/>
      <c r="C267" s="53"/>
      <c r="D267" s="10"/>
      <c r="E267" s="7"/>
      <c r="H267" s="25"/>
    </row>
    <row r="268" spans="2:8" x14ac:dyDescent="0.25">
      <c r="B268" s="4"/>
      <c r="C268" s="53"/>
      <c r="D268" s="10"/>
      <c r="E268" s="7"/>
      <c r="H268" s="25"/>
    </row>
    <row r="269" spans="2:8" x14ac:dyDescent="0.25">
      <c r="B269" s="4"/>
      <c r="C269" s="53"/>
      <c r="D269" s="15"/>
      <c r="E269" s="7"/>
      <c r="H269" s="25"/>
    </row>
    <row r="270" spans="2:8" x14ac:dyDescent="0.25">
      <c r="B270" s="4"/>
      <c r="C270" s="53"/>
      <c r="D270" s="10"/>
      <c r="E270" s="7"/>
      <c r="H270" s="25"/>
    </row>
    <row r="271" spans="2:8" x14ac:dyDescent="0.25">
      <c r="B271" s="4"/>
      <c r="C271" s="53"/>
      <c r="D271" s="10"/>
      <c r="E271" s="7"/>
      <c r="H271" s="25"/>
    </row>
    <row r="272" spans="2:8" x14ac:dyDescent="0.25">
      <c r="B272" s="4"/>
      <c r="C272" s="91"/>
      <c r="D272" s="15"/>
      <c r="E272" s="7"/>
      <c r="H272" s="25"/>
    </row>
    <row r="273" spans="2:8" x14ac:dyDescent="0.25">
      <c r="B273" s="4"/>
      <c r="C273" s="53"/>
      <c r="D273" s="10"/>
      <c r="E273" s="7"/>
      <c r="H273" s="25"/>
    </row>
    <row r="274" spans="2:8" x14ac:dyDescent="0.25">
      <c r="B274" s="4"/>
      <c r="C274" s="53"/>
      <c r="D274" s="10"/>
      <c r="E274" s="7"/>
      <c r="H274" s="25"/>
    </row>
    <row r="275" spans="2:8" x14ac:dyDescent="0.25">
      <c r="B275" s="4"/>
      <c r="C275" s="53"/>
      <c r="D275" s="10"/>
      <c r="E275" s="7"/>
      <c r="H275" s="25"/>
    </row>
    <row r="276" spans="2:8" x14ac:dyDescent="0.25">
      <c r="B276" s="4"/>
      <c r="C276" s="53"/>
      <c r="D276" s="10"/>
      <c r="E276" s="7"/>
      <c r="H276" s="25"/>
    </row>
    <row r="277" spans="2:8" x14ac:dyDescent="0.25">
      <c r="B277" s="4"/>
      <c r="C277" s="91"/>
      <c r="D277" s="10"/>
      <c r="E277" s="7"/>
      <c r="H277" s="25"/>
    </row>
    <row r="278" spans="2:8" x14ac:dyDescent="0.25">
      <c r="B278" s="4"/>
      <c r="C278" s="53"/>
      <c r="D278" s="10"/>
      <c r="E278" s="7"/>
      <c r="H278" s="25"/>
    </row>
    <row r="279" spans="2:8" x14ac:dyDescent="0.25">
      <c r="B279" s="4"/>
      <c r="C279" s="53"/>
      <c r="D279" s="10"/>
      <c r="E279" s="7"/>
      <c r="H279" s="25"/>
    </row>
    <row r="280" spans="2:8" x14ac:dyDescent="0.25">
      <c r="B280" s="4"/>
      <c r="C280" s="53"/>
      <c r="D280" s="10"/>
      <c r="E280" s="7"/>
      <c r="H280" s="25"/>
    </row>
    <row r="281" spans="2:8" x14ac:dyDescent="0.25">
      <c r="B281" s="4"/>
      <c r="C281" s="91"/>
      <c r="D281" s="10"/>
      <c r="E281" s="7"/>
      <c r="H281" s="25"/>
    </row>
    <row r="282" spans="2:8" x14ac:dyDescent="0.25">
      <c r="B282" s="4"/>
      <c r="C282" s="53"/>
      <c r="D282" s="10"/>
      <c r="E282" s="7"/>
      <c r="H282" s="25"/>
    </row>
    <row r="283" spans="2:8" x14ac:dyDescent="0.25">
      <c r="B283" s="4"/>
      <c r="C283" s="53"/>
      <c r="D283" s="15"/>
      <c r="E283" s="7"/>
      <c r="H283" s="25"/>
    </row>
    <row r="284" spans="2:8" x14ac:dyDescent="0.25">
      <c r="B284" s="4"/>
      <c r="C284" s="53"/>
      <c r="D284" s="15"/>
      <c r="E284" s="7"/>
      <c r="H284" s="25"/>
    </row>
    <row r="285" spans="2:8" x14ac:dyDescent="0.25">
      <c r="B285" s="4"/>
      <c r="C285" s="53"/>
      <c r="D285" s="10"/>
      <c r="E285" s="7"/>
      <c r="H285" s="25"/>
    </row>
    <row r="286" spans="2:8" x14ac:dyDescent="0.25">
      <c r="B286" s="4"/>
      <c r="C286" s="53"/>
      <c r="D286" s="10"/>
      <c r="E286" s="7"/>
      <c r="H286" s="25"/>
    </row>
    <row r="287" spans="2:8" x14ac:dyDescent="0.25">
      <c r="B287" s="4"/>
      <c r="C287" s="53"/>
      <c r="D287" s="10"/>
      <c r="E287" s="7"/>
      <c r="H287" s="25"/>
    </row>
    <row r="288" spans="2:8" x14ac:dyDescent="0.25">
      <c r="B288" s="4"/>
      <c r="C288" s="53"/>
      <c r="D288" s="10"/>
      <c r="E288" s="7"/>
      <c r="H288" s="25"/>
    </row>
    <row r="289" spans="2:8" x14ac:dyDescent="0.25">
      <c r="B289" s="4"/>
      <c r="C289" s="53"/>
      <c r="D289" s="10"/>
      <c r="E289" s="7"/>
      <c r="H289" s="25"/>
    </row>
    <row r="290" spans="2:8" x14ac:dyDescent="0.25">
      <c r="B290" s="4"/>
      <c r="C290" s="53"/>
      <c r="D290" s="15"/>
      <c r="E290" s="7"/>
      <c r="H290" s="25"/>
    </row>
    <row r="291" spans="2:8" x14ac:dyDescent="0.25">
      <c r="B291" s="4"/>
      <c r="C291" s="91"/>
      <c r="D291" s="15"/>
      <c r="E291" s="7"/>
      <c r="H291" s="25"/>
    </row>
    <row r="292" spans="2:8" x14ac:dyDescent="0.25">
      <c r="B292" s="4"/>
      <c r="C292" s="53"/>
      <c r="D292" s="10"/>
      <c r="E292" s="7"/>
      <c r="H292" s="25"/>
    </row>
    <row r="293" spans="2:8" x14ac:dyDescent="0.25">
      <c r="B293" s="4"/>
      <c r="C293" s="53"/>
      <c r="D293" s="15"/>
      <c r="E293" s="7"/>
      <c r="H293" s="25"/>
    </row>
    <row r="294" spans="2:8" x14ac:dyDescent="0.25">
      <c r="B294" s="4"/>
      <c r="C294" s="262"/>
      <c r="D294" s="10"/>
      <c r="E294" s="7"/>
      <c r="H294" s="25"/>
    </row>
    <row r="295" spans="2:8" x14ac:dyDescent="0.25">
      <c r="B295" s="4"/>
      <c r="C295" s="262"/>
      <c r="D295" s="15"/>
      <c r="E295" s="7"/>
      <c r="H295" s="25"/>
    </row>
    <row r="296" spans="2:8" x14ac:dyDescent="0.25">
      <c r="B296" s="4"/>
      <c r="C296" s="262"/>
      <c r="D296" s="10"/>
      <c r="E296" s="7"/>
      <c r="H296" s="25"/>
    </row>
    <row r="297" spans="2:8" x14ac:dyDescent="0.25">
      <c r="B297" s="4"/>
      <c r="C297" s="262"/>
      <c r="D297" s="15"/>
      <c r="E297" s="7"/>
      <c r="H297" s="25"/>
    </row>
    <row r="298" spans="2:8" x14ac:dyDescent="0.25">
      <c r="B298" s="4"/>
      <c r="C298" s="262"/>
      <c r="D298" s="10"/>
      <c r="E298" s="7"/>
      <c r="H298" s="25"/>
    </row>
    <row r="299" spans="2:8" x14ac:dyDescent="0.25">
      <c r="B299" s="4"/>
      <c r="C299" s="262"/>
      <c r="D299" s="10"/>
      <c r="E299" s="7"/>
      <c r="H299" s="25"/>
    </row>
    <row r="300" spans="2:8" x14ac:dyDescent="0.25">
      <c r="B300" s="4"/>
      <c r="C300" s="262"/>
      <c r="D300" s="15"/>
      <c r="E300" s="7"/>
      <c r="H300" s="25"/>
    </row>
    <row r="301" spans="2:8" x14ac:dyDescent="0.25">
      <c r="B301" s="4"/>
      <c r="D301" s="15"/>
      <c r="E301" s="7"/>
      <c r="H301" s="25"/>
    </row>
    <row r="302" spans="2:8" x14ac:dyDescent="0.25">
      <c r="B302" s="4"/>
      <c r="D302" s="15"/>
      <c r="E302" s="7"/>
      <c r="H302" s="25"/>
    </row>
    <row r="303" spans="2:8" x14ac:dyDescent="0.25">
      <c r="B303" s="4"/>
      <c r="D303" s="15"/>
      <c r="E303" s="7"/>
      <c r="H303" s="25"/>
    </row>
    <row r="304" spans="2:8" x14ac:dyDescent="0.25">
      <c r="B304" s="4"/>
      <c r="D304" s="10"/>
      <c r="E304" s="7"/>
      <c r="H304" s="25"/>
    </row>
    <row r="305" spans="2:8" x14ac:dyDescent="0.25">
      <c r="B305" s="4"/>
      <c r="D305" s="15"/>
      <c r="E305" s="7"/>
      <c r="H305" s="25"/>
    </row>
    <row r="306" spans="2:8" x14ac:dyDescent="0.25">
      <c r="B306" s="4"/>
      <c r="D306" s="15"/>
      <c r="E306" s="7"/>
      <c r="H306" s="25"/>
    </row>
    <row r="307" spans="2:8" x14ac:dyDescent="0.25">
      <c r="B307" s="4"/>
      <c r="D307" s="10"/>
      <c r="E307" s="7"/>
      <c r="H307" s="25"/>
    </row>
    <row r="308" spans="2:8" x14ac:dyDescent="0.25">
      <c r="B308" s="4"/>
      <c r="D308" s="15"/>
      <c r="E308" s="7"/>
      <c r="H308" s="25"/>
    </row>
    <row r="309" spans="2:8" x14ac:dyDescent="0.25">
      <c r="B309" s="4"/>
      <c r="D309" s="15"/>
      <c r="E309" s="7"/>
      <c r="H309" s="25"/>
    </row>
    <row r="310" spans="2:8" x14ac:dyDescent="0.25">
      <c r="B310" s="4"/>
      <c r="D310" s="10"/>
      <c r="E310" s="7"/>
      <c r="H310" s="25"/>
    </row>
    <row r="311" spans="2:8" x14ac:dyDescent="0.25">
      <c r="B311" s="4"/>
      <c r="D311" s="10"/>
      <c r="E311" s="7"/>
      <c r="H311" s="25"/>
    </row>
    <row r="312" spans="2:8" x14ac:dyDescent="0.25">
      <c r="B312" s="4"/>
      <c r="D312" s="10"/>
      <c r="E312" s="7"/>
      <c r="H312" s="25"/>
    </row>
    <row r="313" spans="2:8" x14ac:dyDescent="0.25">
      <c r="B313" s="4"/>
      <c r="D313" s="15"/>
      <c r="E313" s="7"/>
      <c r="H313" s="25"/>
    </row>
    <row r="314" spans="2:8" x14ac:dyDescent="0.25">
      <c r="B314" s="4"/>
      <c r="D314" s="10"/>
      <c r="E314" s="7"/>
      <c r="H314" s="25"/>
    </row>
    <row r="315" spans="2:8" x14ac:dyDescent="0.25">
      <c r="B315" s="4"/>
      <c r="D315" s="15"/>
      <c r="E315" s="7"/>
      <c r="H315" s="25"/>
    </row>
    <row r="316" spans="2:8" x14ac:dyDescent="0.25">
      <c r="B316" s="4"/>
      <c r="D316" s="10"/>
      <c r="E316" s="7"/>
      <c r="H316" s="25"/>
    </row>
    <row r="317" spans="2:8" x14ac:dyDescent="0.25">
      <c r="B317" s="4"/>
      <c r="D317" s="10"/>
      <c r="E317" s="7"/>
      <c r="H317" s="25"/>
    </row>
    <row r="318" spans="2:8" x14ac:dyDescent="0.25">
      <c r="B318" s="4"/>
      <c r="D318" s="10"/>
      <c r="E318" s="7"/>
      <c r="H318" s="25"/>
    </row>
    <row r="319" spans="2:8" x14ac:dyDescent="0.25">
      <c r="D319" s="15"/>
      <c r="E319" s="7"/>
      <c r="H319" s="25"/>
    </row>
    <row r="320" spans="2:8" x14ac:dyDescent="0.25">
      <c r="D320" s="10"/>
      <c r="E320" s="7"/>
      <c r="H320" s="25"/>
    </row>
    <row r="321" spans="4:8" x14ac:dyDescent="0.25">
      <c r="D321" s="10"/>
      <c r="E321" s="7"/>
      <c r="H321" s="25"/>
    </row>
    <row r="322" spans="4:8" x14ac:dyDescent="0.25">
      <c r="D322" s="10"/>
      <c r="E322" s="7"/>
      <c r="H322" s="25"/>
    </row>
    <row r="323" spans="4:8" x14ac:dyDescent="0.25">
      <c r="D323" s="10"/>
      <c r="E323" s="7"/>
      <c r="H323" s="25"/>
    </row>
    <row r="324" spans="4:8" x14ac:dyDescent="0.25">
      <c r="D324" s="15"/>
      <c r="E324" s="7"/>
      <c r="H324" s="25"/>
    </row>
    <row r="325" spans="4:8" x14ac:dyDescent="0.25">
      <c r="D325" s="10"/>
      <c r="E325" s="7"/>
      <c r="H325" s="25"/>
    </row>
    <row r="326" spans="4:8" x14ac:dyDescent="0.25">
      <c r="H326" s="25"/>
    </row>
    <row r="327" spans="4:8" x14ac:dyDescent="0.25">
      <c r="H327" s="25"/>
    </row>
    <row r="328" spans="4:8" x14ac:dyDescent="0.25">
      <c r="H328" s="25"/>
    </row>
    <row r="329" spans="4:8" x14ac:dyDescent="0.25">
      <c r="H329" s="29"/>
    </row>
  </sheetData>
  <autoFilter ref="A1:H182"/>
  <sortState ref="B3:H172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/>
  <dimension ref="A1:AK178"/>
  <sheetViews>
    <sheetView zoomScale="98" zoomScaleNormal="98" workbookViewId="0">
      <pane ySplit="1" topLeftCell="A80" activePane="bottomLeft" state="frozen"/>
      <selection activeCell="C74" sqref="C74"/>
      <selection pane="bottomLeft" activeCell="W1" sqref="W1:Z1"/>
    </sheetView>
  </sheetViews>
  <sheetFormatPr baseColWidth="10" defaultRowHeight="15" x14ac:dyDescent="0.25"/>
  <cols>
    <col min="1" max="1" width="4" bestFit="1" customWidth="1"/>
    <col min="2" max="2" width="46.5703125" customWidth="1"/>
    <col min="3" max="3" width="5" style="97" customWidth="1"/>
    <col min="4" max="4" width="3.140625" style="379" customWidth="1"/>
    <col min="5" max="5" width="3.5703125" style="504" customWidth="1"/>
    <col min="6" max="6" width="3.5703125" style="379" customWidth="1"/>
    <col min="7" max="7" width="3.7109375" style="504" customWidth="1"/>
    <col min="8" max="8" width="3.42578125" style="379" customWidth="1"/>
    <col min="9" max="9" width="3.7109375" style="504" customWidth="1"/>
    <col min="10" max="10" width="3.42578125" style="379" customWidth="1"/>
    <col min="11" max="11" width="3.7109375" style="504" customWidth="1"/>
    <col min="12" max="12" width="3.42578125" style="379" customWidth="1"/>
    <col min="13" max="13" width="3.5703125" style="504" customWidth="1"/>
    <col min="14" max="14" width="3.5703125" style="174" customWidth="1"/>
    <col min="15" max="15" width="4.5703125" customWidth="1"/>
    <col min="16" max="16" width="5.42578125" style="97" customWidth="1"/>
    <col min="17" max="17" width="8.42578125" customWidth="1"/>
    <col min="18" max="18" width="8.5703125" style="154" customWidth="1"/>
    <col min="19" max="19" width="9" customWidth="1"/>
    <col min="20" max="20" width="3.140625" style="97" customWidth="1"/>
    <col min="21" max="21" width="3.7109375" style="97" customWidth="1"/>
    <col min="22" max="22" width="8" customWidth="1"/>
    <col min="23" max="24" width="4" bestFit="1" customWidth="1"/>
    <col min="25" max="25" width="3.42578125" style="97" customWidth="1"/>
    <col min="26" max="26" width="5" style="97" customWidth="1"/>
    <col min="27" max="28" width="4.140625" customWidth="1"/>
    <col min="29" max="29" width="4" bestFit="1" customWidth="1"/>
    <col min="30" max="30" width="4.42578125" customWidth="1"/>
  </cols>
  <sheetData>
    <row r="1" spans="1:30" ht="68.25" customHeight="1" x14ac:dyDescent="0.25">
      <c r="A1" s="116" t="s">
        <v>0</v>
      </c>
      <c r="B1" s="1" t="s">
        <v>1</v>
      </c>
      <c r="C1" s="2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55" t="s">
        <v>4</v>
      </c>
      <c r="P1" s="226" t="s">
        <v>110</v>
      </c>
      <c r="Q1" s="183" t="s">
        <v>5</v>
      </c>
      <c r="R1" s="68" t="s">
        <v>111</v>
      </c>
      <c r="S1" s="553" t="s">
        <v>107</v>
      </c>
      <c r="T1" s="277" t="s">
        <v>539</v>
      </c>
      <c r="U1" s="278" t="s">
        <v>540</v>
      </c>
      <c r="V1" s="554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56" t="s">
        <v>119</v>
      </c>
      <c r="AB1" s="256" t="s">
        <v>1435</v>
      </c>
      <c r="AC1" s="256" t="s">
        <v>118</v>
      </c>
      <c r="AD1" s="256" t="s">
        <v>117</v>
      </c>
    </row>
    <row r="2" spans="1:30" ht="15" customHeight="1" x14ac:dyDescent="0.25">
      <c r="A2" s="13">
        <v>1</v>
      </c>
      <c r="B2" s="314" t="s">
        <v>1142</v>
      </c>
      <c r="C2" s="415">
        <v>2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0">
        <f t="shared" ref="O2:O33" si="0">SUM(C2-D2-E2-F2-G2-H2-I2-J2-K2-L2-M2-N2)</f>
        <v>2</v>
      </c>
      <c r="P2" s="438">
        <f t="shared" ref="P2:P33" si="1">AD2-O2</f>
        <v>8</v>
      </c>
      <c r="Q2" s="7">
        <v>37</v>
      </c>
      <c r="R2" s="68"/>
      <c r="S2" s="118">
        <v>46997</v>
      </c>
      <c r="T2" s="316">
        <v>1</v>
      </c>
      <c r="U2" s="17"/>
      <c r="V2" s="118">
        <v>45566</v>
      </c>
      <c r="W2" s="309">
        <v>1</v>
      </c>
      <c r="X2" s="122">
        <v>1</v>
      </c>
      <c r="Y2" s="309">
        <v>1</v>
      </c>
      <c r="Z2" s="309">
        <v>2</v>
      </c>
      <c r="AA2" s="185">
        <f t="shared" ref="AA2:AA22" si="2">W2+X2+Y2+Z2</f>
        <v>5</v>
      </c>
      <c r="AB2" s="185">
        <f t="shared" ref="AB2:AB22" si="3">AA2/4</f>
        <v>1.25</v>
      </c>
      <c r="AC2" s="185">
        <f t="shared" ref="AC2:AC22" si="4">AB2*4</f>
        <v>5</v>
      </c>
      <c r="AD2" s="185">
        <f t="shared" ref="AD2:AD22" si="5">AC2*2</f>
        <v>10</v>
      </c>
    </row>
    <row r="3" spans="1:30" ht="14.25" customHeight="1" x14ac:dyDescent="0.25">
      <c r="A3" s="13">
        <f t="shared" ref="A3:A66" si="6">A2+1</f>
        <v>2</v>
      </c>
      <c r="B3" s="314" t="s">
        <v>1414</v>
      </c>
      <c r="C3" s="415">
        <v>2</v>
      </c>
      <c r="D3" s="359"/>
      <c r="E3" s="478"/>
      <c r="F3" s="359"/>
      <c r="G3" s="478"/>
      <c r="H3" s="359"/>
      <c r="I3" s="478"/>
      <c r="J3" s="359"/>
      <c r="K3" s="478"/>
      <c r="L3" s="359"/>
      <c r="M3" s="478"/>
      <c r="N3" s="561"/>
      <c r="O3" s="340">
        <f t="shared" si="0"/>
        <v>2</v>
      </c>
      <c r="P3" s="438">
        <f t="shared" si="1"/>
        <v>10</v>
      </c>
      <c r="Q3" s="7">
        <v>8</v>
      </c>
      <c r="R3" s="28"/>
      <c r="S3" s="118">
        <v>46539</v>
      </c>
      <c r="T3" s="316">
        <v>1</v>
      </c>
      <c r="U3" s="17"/>
      <c r="V3" s="118">
        <v>45658</v>
      </c>
      <c r="W3" s="309">
        <v>2</v>
      </c>
      <c r="X3" s="122">
        <v>1</v>
      </c>
      <c r="Y3" s="309">
        <v>2</v>
      </c>
      <c r="Z3" s="429">
        <v>1</v>
      </c>
      <c r="AA3" s="185">
        <f t="shared" si="2"/>
        <v>6</v>
      </c>
      <c r="AB3" s="185">
        <f t="shared" si="3"/>
        <v>1.5</v>
      </c>
      <c r="AC3" s="185">
        <f t="shared" si="4"/>
        <v>6</v>
      </c>
      <c r="AD3" s="185">
        <f t="shared" si="5"/>
        <v>12</v>
      </c>
    </row>
    <row r="4" spans="1:30" ht="15" customHeight="1" x14ac:dyDescent="0.25">
      <c r="A4" s="315">
        <f t="shared" si="6"/>
        <v>3</v>
      </c>
      <c r="B4" s="314" t="s">
        <v>1143</v>
      </c>
      <c r="C4" s="415">
        <v>17</v>
      </c>
      <c r="D4" s="359">
        <v>2</v>
      </c>
      <c r="E4" s="478"/>
      <c r="F4" s="359">
        <v>1</v>
      </c>
      <c r="G4" s="478">
        <v>1</v>
      </c>
      <c r="H4" s="359">
        <v>1</v>
      </c>
      <c r="I4" s="478">
        <v>2</v>
      </c>
      <c r="J4" s="359"/>
      <c r="K4" s="478"/>
      <c r="L4" s="359"/>
      <c r="M4" s="478">
        <v>1</v>
      </c>
      <c r="N4" s="561"/>
      <c r="O4" s="340">
        <f t="shared" si="0"/>
        <v>9</v>
      </c>
      <c r="P4" s="438">
        <f t="shared" si="1"/>
        <v>63</v>
      </c>
      <c r="Q4" s="7">
        <v>8</v>
      </c>
      <c r="R4" s="125"/>
      <c r="S4" s="118">
        <v>46722</v>
      </c>
      <c r="T4" s="316">
        <v>11</v>
      </c>
      <c r="U4" s="17"/>
      <c r="V4" s="344">
        <v>45566</v>
      </c>
      <c r="W4" s="195">
        <v>10</v>
      </c>
      <c r="X4" s="309">
        <v>10</v>
      </c>
      <c r="Y4" s="309">
        <v>8</v>
      </c>
      <c r="Z4" s="429">
        <v>8</v>
      </c>
      <c r="AA4" s="185">
        <f t="shared" si="2"/>
        <v>36</v>
      </c>
      <c r="AB4" s="185">
        <f t="shared" si="3"/>
        <v>9</v>
      </c>
      <c r="AC4" s="185">
        <f t="shared" si="4"/>
        <v>36</v>
      </c>
      <c r="AD4" s="185">
        <f t="shared" si="5"/>
        <v>72</v>
      </c>
    </row>
    <row r="5" spans="1:30" ht="15" customHeight="1" x14ac:dyDescent="0.25">
      <c r="A5" s="315">
        <f t="shared" si="6"/>
        <v>4</v>
      </c>
      <c r="B5" s="3" t="s">
        <v>952</v>
      </c>
      <c r="C5" s="415">
        <v>107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107</v>
      </c>
      <c r="P5" s="340">
        <f t="shared" si="1"/>
        <v>-73</v>
      </c>
      <c r="Q5" s="7">
        <v>0.5</v>
      </c>
      <c r="R5" s="63"/>
      <c r="S5" s="118">
        <v>47209</v>
      </c>
      <c r="T5" s="316">
        <v>0</v>
      </c>
      <c r="U5" s="316"/>
      <c r="V5" s="344">
        <v>45658</v>
      </c>
      <c r="W5" s="309">
        <v>1</v>
      </c>
      <c r="X5" s="107">
        <v>5</v>
      </c>
      <c r="Y5" s="309">
        <v>2</v>
      </c>
      <c r="Z5" s="429">
        <v>9</v>
      </c>
      <c r="AA5" s="185">
        <f t="shared" si="2"/>
        <v>17</v>
      </c>
      <c r="AB5" s="185">
        <f t="shared" si="3"/>
        <v>4.25</v>
      </c>
      <c r="AC5" s="185">
        <f t="shared" si="4"/>
        <v>17</v>
      </c>
      <c r="AD5" s="185">
        <f t="shared" si="5"/>
        <v>34</v>
      </c>
    </row>
    <row r="6" spans="1:30" ht="15" customHeight="1" x14ac:dyDescent="0.25">
      <c r="A6" s="315">
        <f t="shared" si="6"/>
        <v>5</v>
      </c>
      <c r="B6" s="3" t="s">
        <v>510</v>
      </c>
      <c r="C6" s="415">
        <v>0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0">
        <f t="shared" si="0"/>
        <v>0</v>
      </c>
      <c r="P6" s="438">
        <f t="shared" si="1"/>
        <v>16</v>
      </c>
      <c r="Q6" s="7">
        <v>0.5</v>
      </c>
      <c r="R6" s="63"/>
      <c r="S6" s="83"/>
      <c r="T6" s="321">
        <v>0</v>
      </c>
      <c r="U6" s="261"/>
      <c r="V6" s="333">
        <v>44287</v>
      </c>
      <c r="W6" s="28">
        <v>1</v>
      </c>
      <c r="X6" s="14">
        <v>4</v>
      </c>
      <c r="Y6" s="28">
        <v>2</v>
      </c>
      <c r="Z6" s="429">
        <v>1</v>
      </c>
      <c r="AA6" s="185">
        <f t="shared" si="2"/>
        <v>8</v>
      </c>
      <c r="AB6" s="185">
        <f t="shared" si="3"/>
        <v>2</v>
      </c>
      <c r="AC6" s="185">
        <f t="shared" si="4"/>
        <v>8</v>
      </c>
      <c r="AD6" s="185">
        <f t="shared" si="5"/>
        <v>16</v>
      </c>
    </row>
    <row r="7" spans="1:30" ht="15" customHeight="1" x14ac:dyDescent="0.25">
      <c r="A7" s="315">
        <f t="shared" si="6"/>
        <v>6</v>
      </c>
      <c r="B7" s="3" t="s">
        <v>511</v>
      </c>
      <c r="C7" s="415">
        <v>109</v>
      </c>
      <c r="D7" s="359"/>
      <c r="E7" s="478"/>
      <c r="F7" s="359"/>
      <c r="G7" s="478"/>
      <c r="H7" s="359"/>
      <c r="I7" s="478"/>
      <c r="J7" s="359"/>
      <c r="K7" s="478"/>
      <c r="L7" s="359"/>
      <c r="M7" s="478"/>
      <c r="N7" s="561"/>
      <c r="O7" s="340">
        <f t="shared" si="0"/>
        <v>109</v>
      </c>
      <c r="P7" s="340">
        <f t="shared" si="1"/>
        <v>-89</v>
      </c>
      <c r="Q7" s="7">
        <v>0.5</v>
      </c>
      <c r="R7" s="63"/>
      <c r="S7" s="83"/>
      <c r="T7" s="321">
        <v>0</v>
      </c>
      <c r="U7" s="321"/>
      <c r="V7" s="333">
        <v>44287</v>
      </c>
      <c r="W7" s="28">
        <v>3</v>
      </c>
      <c r="X7" s="14">
        <v>1</v>
      </c>
      <c r="Y7" s="28">
        <v>2</v>
      </c>
      <c r="Z7" s="429">
        <v>4</v>
      </c>
      <c r="AA7" s="185">
        <f t="shared" si="2"/>
        <v>10</v>
      </c>
      <c r="AB7" s="185">
        <f t="shared" si="3"/>
        <v>2.5</v>
      </c>
      <c r="AC7" s="185">
        <f t="shared" si="4"/>
        <v>10</v>
      </c>
      <c r="AD7" s="185">
        <f t="shared" si="5"/>
        <v>20</v>
      </c>
    </row>
    <row r="8" spans="1:30" ht="15" customHeight="1" x14ac:dyDescent="0.25">
      <c r="A8" s="315">
        <f t="shared" si="6"/>
        <v>7</v>
      </c>
      <c r="B8" s="3" t="s">
        <v>953</v>
      </c>
      <c r="C8" s="415">
        <v>78</v>
      </c>
      <c r="D8" s="359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40">
        <f t="shared" si="0"/>
        <v>78</v>
      </c>
      <c r="P8" s="340">
        <f t="shared" si="1"/>
        <v>-40</v>
      </c>
      <c r="Q8" s="7">
        <v>0.5</v>
      </c>
      <c r="R8" s="63"/>
      <c r="S8" s="118">
        <v>46722</v>
      </c>
      <c r="T8" s="316">
        <v>0</v>
      </c>
      <c r="U8" s="17"/>
      <c r="V8" s="83">
        <v>45505</v>
      </c>
      <c r="W8" s="309">
        <v>2</v>
      </c>
      <c r="X8" s="107">
        <v>2</v>
      </c>
      <c r="Y8" s="309">
        <v>10</v>
      </c>
      <c r="Z8" s="309">
        <v>5</v>
      </c>
      <c r="AA8" s="185">
        <f t="shared" si="2"/>
        <v>19</v>
      </c>
      <c r="AB8" s="185">
        <f t="shared" si="3"/>
        <v>4.75</v>
      </c>
      <c r="AC8" s="185">
        <f t="shared" si="4"/>
        <v>19</v>
      </c>
      <c r="AD8" s="185">
        <f t="shared" si="5"/>
        <v>38</v>
      </c>
    </row>
    <row r="9" spans="1:30" ht="15" customHeight="1" x14ac:dyDescent="0.25">
      <c r="A9" s="315">
        <f t="shared" si="6"/>
        <v>8</v>
      </c>
      <c r="B9" s="3" t="s">
        <v>514</v>
      </c>
      <c r="C9" s="415">
        <v>40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40</v>
      </c>
      <c r="P9" s="438">
        <f t="shared" si="1"/>
        <v>16</v>
      </c>
      <c r="Q9" s="7">
        <v>0.5</v>
      </c>
      <c r="R9" s="125" t="s">
        <v>455</v>
      </c>
      <c r="S9" s="118">
        <v>46813</v>
      </c>
      <c r="T9" s="316">
        <v>0</v>
      </c>
      <c r="U9" s="17"/>
      <c r="V9" s="199">
        <v>45597</v>
      </c>
      <c r="W9" s="309">
        <v>2</v>
      </c>
      <c r="X9" s="107">
        <v>3</v>
      </c>
      <c r="Y9" s="309">
        <v>9</v>
      </c>
      <c r="Z9" s="429">
        <v>14</v>
      </c>
      <c r="AA9" s="185">
        <f t="shared" si="2"/>
        <v>28</v>
      </c>
      <c r="AB9" s="185">
        <f t="shared" si="3"/>
        <v>7</v>
      </c>
      <c r="AC9" s="185">
        <f t="shared" si="4"/>
        <v>28</v>
      </c>
      <c r="AD9" s="185">
        <f t="shared" si="5"/>
        <v>56</v>
      </c>
    </row>
    <row r="10" spans="1:30" ht="15" customHeight="1" x14ac:dyDescent="0.25">
      <c r="A10" s="315">
        <f t="shared" si="6"/>
        <v>9</v>
      </c>
      <c r="B10" s="3" t="s">
        <v>89</v>
      </c>
      <c r="C10" s="415">
        <v>10</v>
      </c>
      <c r="D10" s="359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0">
        <f t="shared" si="0"/>
        <v>10</v>
      </c>
      <c r="P10" s="438">
        <f t="shared" si="1"/>
        <v>68</v>
      </c>
      <c r="Q10" s="7">
        <v>0.5</v>
      </c>
      <c r="R10" s="63"/>
      <c r="S10" s="118">
        <v>46054</v>
      </c>
      <c r="T10" s="316">
        <v>0</v>
      </c>
      <c r="U10" s="17"/>
      <c r="V10" s="330">
        <v>44501</v>
      </c>
      <c r="W10" s="309">
        <v>20</v>
      </c>
      <c r="X10" s="107">
        <v>12</v>
      </c>
      <c r="Y10" s="309">
        <v>1</v>
      </c>
      <c r="Z10" s="429">
        <v>6</v>
      </c>
      <c r="AA10" s="185">
        <f t="shared" si="2"/>
        <v>39</v>
      </c>
      <c r="AB10" s="185">
        <f t="shared" si="3"/>
        <v>9.75</v>
      </c>
      <c r="AC10" s="185">
        <f t="shared" si="4"/>
        <v>39</v>
      </c>
      <c r="AD10" s="185">
        <f t="shared" si="5"/>
        <v>78</v>
      </c>
    </row>
    <row r="11" spans="1:30" ht="15" customHeight="1" x14ac:dyDescent="0.25">
      <c r="A11" s="315">
        <f t="shared" si="6"/>
        <v>10</v>
      </c>
      <c r="B11" s="651" t="s">
        <v>82</v>
      </c>
      <c r="C11" s="658">
        <v>6</v>
      </c>
      <c r="D11" s="361"/>
      <c r="E11" s="482"/>
      <c r="F11" s="361"/>
      <c r="G11" s="482"/>
      <c r="H11" s="361"/>
      <c r="I11" s="482"/>
      <c r="J11" s="361"/>
      <c r="K11" s="482"/>
      <c r="L11" s="361"/>
      <c r="M11" s="482"/>
      <c r="N11" s="561"/>
      <c r="O11" s="340">
        <f t="shared" si="0"/>
        <v>6</v>
      </c>
      <c r="P11" s="438">
        <f t="shared" si="1"/>
        <v>14</v>
      </c>
      <c r="Q11" s="7">
        <v>0.5</v>
      </c>
      <c r="R11" s="63"/>
      <c r="S11" s="659">
        <v>45839</v>
      </c>
      <c r="T11" s="316">
        <v>1</v>
      </c>
      <c r="U11" s="17"/>
      <c r="V11" s="344">
        <v>45627</v>
      </c>
      <c r="W11" s="309">
        <v>4</v>
      </c>
      <c r="X11" s="107">
        <v>1</v>
      </c>
      <c r="Y11" s="309">
        <v>4</v>
      </c>
      <c r="Z11" s="429">
        <v>1</v>
      </c>
      <c r="AA11" s="185">
        <f t="shared" si="2"/>
        <v>10</v>
      </c>
      <c r="AB11" s="185">
        <f t="shared" si="3"/>
        <v>2.5</v>
      </c>
      <c r="AC11" s="185">
        <f t="shared" si="4"/>
        <v>10</v>
      </c>
      <c r="AD11" s="185">
        <f t="shared" si="5"/>
        <v>20</v>
      </c>
    </row>
    <row r="12" spans="1:30" ht="15" customHeight="1" x14ac:dyDescent="0.25">
      <c r="A12" s="315">
        <f t="shared" si="6"/>
        <v>11</v>
      </c>
      <c r="B12" s="3" t="s">
        <v>1307</v>
      </c>
      <c r="C12" s="415">
        <v>153</v>
      </c>
      <c r="D12" s="360"/>
      <c r="E12" s="480"/>
      <c r="F12" s="360"/>
      <c r="G12" s="480"/>
      <c r="H12" s="360"/>
      <c r="I12" s="480"/>
      <c r="J12" s="360"/>
      <c r="K12" s="480"/>
      <c r="L12" s="360"/>
      <c r="M12" s="480"/>
      <c r="N12" s="562"/>
      <c r="O12" s="340">
        <f t="shared" si="0"/>
        <v>153</v>
      </c>
      <c r="P12" s="340">
        <f t="shared" si="1"/>
        <v>-125</v>
      </c>
      <c r="Q12" s="7">
        <v>0.5</v>
      </c>
      <c r="R12" s="63"/>
      <c r="S12" s="118"/>
      <c r="T12" s="316">
        <v>0</v>
      </c>
      <c r="U12" s="17"/>
      <c r="V12" s="330">
        <v>43831</v>
      </c>
      <c r="W12" s="318">
        <v>1</v>
      </c>
      <c r="X12" s="127">
        <v>2</v>
      </c>
      <c r="Y12" s="318">
        <v>9</v>
      </c>
      <c r="Z12" s="429">
        <v>2</v>
      </c>
      <c r="AA12" s="185">
        <f t="shared" si="2"/>
        <v>14</v>
      </c>
      <c r="AB12" s="185">
        <f t="shared" si="3"/>
        <v>3.5</v>
      </c>
      <c r="AC12" s="185">
        <f t="shared" si="4"/>
        <v>14</v>
      </c>
      <c r="AD12" s="185">
        <f t="shared" si="5"/>
        <v>28</v>
      </c>
    </row>
    <row r="13" spans="1:30" ht="15" customHeight="1" x14ac:dyDescent="0.25">
      <c r="A13" s="315">
        <f t="shared" si="6"/>
        <v>12</v>
      </c>
      <c r="B13" s="3" t="s">
        <v>259</v>
      </c>
      <c r="C13" s="415">
        <v>75</v>
      </c>
      <c r="D13" s="359"/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340">
        <f t="shared" si="0"/>
        <v>75</v>
      </c>
      <c r="P13" s="340">
        <f t="shared" si="1"/>
        <v>-67</v>
      </c>
      <c r="Q13" s="7">
        <v>0.5</v>
      </c>
      <c r="R13" s="63"/>
      <c r="S13" s="118"/>
      <c r="T13" s="316">
        <v>0</v>
      </c>
      <c r="U13" s="17"/>
      <c r="V13" s="330">
        <v>43313</v>
      </c>
      <c r="W13" s="309">
        <v>1</v>
      </c>
      <c r="X13" s="107">
        <v>1</v>
      </c>
      <c r="Y13" s="309">
        <v>1</v>
      </c>
      <c r="Z13" s="429">
        <v>1</v>
      </c>
      <c r="AA13" s="185">
        <f t="shared" si="2"/>
        <v>4</v>
      </c>
      <c r="AB13" s="185">
        <f t="shared" si="3"/>
        <v>1</v>
      </c>
      <c r="AC13" s="185">
        <f t="shared" si="4"/>
        <v>4</v>
      </c>
      <c r="AD13" s="185">
        <f t="shared" si="5"/>
        <v>8</v>
      </c>
    </row>
    <row r="14" spans="1:30" ht="15" customHeight="1" x14ac:dyDescent="0.25">
      <c r="A14" s="315">
        <f t="shared" si="6"/>
        <v>13</v>
      </c>
      <c r="B14" s="3" t="s">
        <v>258</v>
      </c>
      <c r="C14" s="415">
        <v>85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0">
        <f t="shared" si="0"/>
        <v>85</v>
      </c>
      <c r="P14" s="340">
        <f t="shared" si="1"/>
        <v>-79</v>
      </c>
      <c r="Q14" s="7">
        <v>0.5</v>
      </c>
      <c r="R14" s="8"/>
      <c r="S14" s="118"/>
      <c r="T14" s="316">
        <v>0</v>
      </c>
      <c r="U14" s="17"/>
      <c r="V14" s="330">
        <v>43647</v>
      </c>
      <c r="W14" s="309"/>
      <c r="X14" s="107">
        <v>2</v>
      </c>
      <c r="Y14" s="309">
        <v>1</v>
      </c>
      <c r="Z14" s="429"/>
      <c r="AA14" s="185">
        <f t="shared" si="2"/>
        <v>3</v>
      </c>
      <c r="AB14" s="185">
        <f t="shared" si="3"/>
        <v>0.75</v>
      </c>
      <c r="AC14" s="185">
        <f t="shared" si="4"/>
        <v>3</v>
      </c>
      <c r="AD14" s="185">
        <f t="shared" si="5"/>
        <v>6</v>
      </c>
    </row>
    <row r="15" spans="1:30" ht="15" customHeight="1" x14ac:dyDescent="0.25">
      <c r="A15" s="315">
        <f t="shared" si="6"/>
        <v>14</v>
      </c>
      <c r="B15" s="3" t="s">
        <v>346</v>
      </c>
      <c r="C15" s="415">
        <v>23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40">
        <f t="shared" si="0"/>
        <v>23</v>
      </c>
      <c r="P15" s="438">
        <f t="shared" si="1"/>
        <v>11</v>
      </c>
      <c r="Q15" s="7">
        <v>0.5</v>
      </c>
      <c r="R15" s="63"/>
      <c r="S15" s="28"/>
      <c r="T15" s="316">
        <v>0</v>
      </c>
      <c r="U15" s="17"/>
      <c r="V15" s="330">
        <v>43678</v>
      </c>
      <c r="W15" s="309">
        <v>10</v>
      </c>
      <c r="X15" s="107">
        <v>6</v>
      </c>
      <c r="Y15" s="309">
        <v>1</v>
      </c>
      <c r="Z15" s="429"/>
      <c r="AA15" s="185">
        <f t="shared" si="2"/>
        <v>17</v>
      </c>
      <c r="AB15" s="185">
        <f t="shared" si="3"/>
        <v>4.25</v>
      </c>
      <c r="AC15" s="185">
        <f t="shared" si="4"/>
        <v>17</v>
      </c>
      <c r="AD15" s="185">
        <f t="shared" si="5"/>
        <v>34</v>
      </c>
    </row>
    <row r="16" spans="1:30" ht="15" customHeight="1" x14ac:dyDescent="0.25">
      <c r="A16" s="315">
        <f t="shared" si="6"/>
        <v>15</v>
      </c>
      <c r="B16" s="3" t="s">
        <v>345</v>
      </c>
      <c r="C16" s="415">
        <v>33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0">
        <f t="shared" si="0"/>
        <v>33</v>
      </c>
      <c r="P16" s="340">
        <f t="shared" si="1"/>
        <v>-11</v>
      </c>
      <c r="Q16" s="7">
        <v>1</v>
      </c>
      <c r="R16" s="63"/>
      <c r="S16" s="118"/>
      <c r="T16" s="316">
        <v>0</v>
      </c>
      <c r="U16" s="17"/>
      <c r="V16" s="330">
        <v>43770</v>
      </c>
      <c r="W16" s="309">
        <v>2</v>
      </c>
      <c r="X16" s="107">
        <v>6</v>
      </c>
      <c r="Y16" s="309">
        <v>1</v>
      </c>
      <c r="Z16" s="429">
        <v>2</v>
      </c>
      <c r="AA16" s="185">
        <f t="shared" si="2"/>
        <v>11</v>
      </c>
      <c r="AB16" s="185">
        <f t="shared" si="3"/>
        <v>2.75</v>
      </c>
      <c r="AC16" s="185">
        <f t="shared" si="4"/>
        <v>11</v>
      </c>
      <c r="AD16" s="185">
        <f t="shared" si="5"/>
        <v>22</v>
      </c>
    </row>
    <row r="17" spans="1:30" ht="15" customHeight="1" x14ac:dyDescent="0.25">
      <c r="A17" s="315">
        <f t="shared" si="6"/>
        <v>16</v>
      </c>
      <c r="B17" s="314" t="s">
        <v>940</v>
      </c>
      <c r="C17" s="415">
        <v>2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0">
        <f t="shared" si="0"/>
        <v>2</v>
      </c>
      <c r="P17" s="438">
        <f t="shared" si="1"/>
        <v>4</v>
      </c>
      <c r="Q17" s="7">
        <v>28</v>
      </c>
      <c r="R17" s="8"/>
      <c r="S17" s="118">
        <v>47362</v>
      </c>
      <c r="T17" s="316">
        <v>1</v>
      </c>
      <c r="U17" s="316"/>
      <c r="V17" s="344">
        <v>45658</v>
      </c>
      <c r="W17" s="309">
        <v>1</v>
      </c>
      <c r="X17" s="309">
        <v>1</v>
      </c>
      <c r="Y17" s="309"/>
      <c r="Z17" s="309">
        <v>1</v>
      </c>
      <c r="AA17" s="185">
        <f t="shared" si="2"/>
        <v>3</v>
      </c>
      <c r="AB17" s="185">
        <f t="shared" si="3"/>
        <v>0.75</v>
      </c>
      <c r="AC17" s="185">
        <f t="shared" si="4"/>
        <v>3</v>
      </c>
      <c r="AD17" s="185">
        <f t="shared" si="5"/>
        <v>6</v>
      </c>
    </row>
    <row r="18" spans="1:30" ht="15" customHeight="1" x14ac:dyDescent="0.25">
      <c r="A18" s="315">
        <f t="shared" si="6"/>
        <v>17</v>
      </c>
      <c r="B18" s="314" t="s">
        <v>444</v>
      </c>
      <c r="C18" s="415">
        <v>2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2</v>
      </c>
      <c r="P18" s="438">
        <f t="shared" si="1"/>
        <v>6</v>
      </c>
      <c r="Q18" s="7">
        <v>15</v>
      </c>
      <c r="R18" s="63"/>
      <c r="S18" s="118">
        <v>46388</v>
      </c>
      <c r="T18" s="316">
        <v>1</v>
      </c>
      <c r="U18" s="17"/>
      <c r="V18" s="199">
        <v>45689</v>
      </c>
      <c r="W18" s="309">
        <v>1</v>
      </c>
      <c r="X18" s="107">
        <v>1</v>
      </c>
      <c r="Y18" s="309">
        <v>1</v>
      </c>
      <c r="Z18" s="429">
        <v>1</v>
      </c>
      <c r="AA18" s="185">
        <f t="shared" si="2"/>
        <v>4</v>
      </c>
      <c r="AB18" s="185">
        <f t="shared" si="3"/>
        <v>1</v>
      </c>
      <c r="AC18" s="185">
        <f t="shared" si="4"/>
        <v>4</v>
      </c>
      <c r="AD18" s="185">
        <f t="shared" si="5"/>
        <v>8</v>
      </c>
    </row>
    <row r="19" spans="1:30" ht="15" customHeight="1" x14ac:dyDescent="0.25">
      <c r="A19" s="315">
        <f t="shared" si="6"/>
        <v>18</v>
      </c>
      <c r="B19" s="588" t="s">
        <v>141</v>
      </c>
      <c r="C19" s="594">
        <v>27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0">
        <f t="shared" si="0"/>
        <v>27</v>
      </c>
      <c r="P19" s="340">
        <f t="shared" si="1"/>
        <v>-1</v>
      </c>
      <c r="Q19" s="7">
        <v>2.5</v>
      </c>
      <c r="R19" s="28" t="s">
        <v>743</v>
      </c>
      <c r="S19" s="598">
        <v>45778</v>
      </c>
      <c r="T19" s="316">
        <v>0</v>
      </c>
      <c r="U19" s="17"/>
      <c r="V19" s="344">
        <v>45474</v>
      </c>
      <c r="W19" s="309">
        <v>2</v>
      </c>
      <c r="X19" s="309">
        <v>8</v>
      </c>
      <c r="Y19" s="309">
        <v>2</v>
      </c>
      <c r="Z19" s="429">
        <v>1</v>
      </c>
      <c r="AA19" s="185">
        <f t="shared" si="2"/>
        <v>13</v>
      </c>
      <c r="AB19" s="185">
        <f t="shared" si="3"/>
        <v>3.25</v>
      </c>
      <c r="AC19" s="185">
        <f t="shared" si="4"/>
        <v>13</v>
      </c>
      <c r="AD19" s="185">
        <f t="shared" si="5"/>
        <v>26</v>
      </c>
    </row>
    <row r="20" spans="1:30" ht="15" customHeight="1" x14ac:dyDescent="0.25">
      <c r="A20" s="315">
        <f t="shared" si="6"/>
        <v>19</v>
      </c>
      <c r="B20" s="3" t="s">
        <v>34</v>
      </c>
      <c r="C20" s="415">
        <v>30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0">
        <f t="shared" si="0"/>
        <v>30</v>
      </c>
      <c r="P20" s="340">
        <f t="shared" si="1"/>
        <v>-2</v>
      </c>
      <c r="Q20" s="7">
        <v>3.75</v>
      </c>
      <c r="R20" s="252" t="s">
        <v>743</v>
      </c>
      <c r="S20" s="118">
        <v>46023</v>
      </c>
      <c r="T20" s="316">
        <v>1</v>
      </c>
      <c r="U20" s="17">
        <v>1</v>
      </c>
      <c r="V20" s="118">
        <v>45717</v>
      </c>
      <c r="W20" s="309">
        <v>2</v>
      </c>
      <c r="X20" s="309">
        <v>3</v>
      </c>
      <c r="Y20" s="309">
        <v>1</v>
      </c>
      <c r="Z20" s="429">
        <v>8</v>
      </c>
      <c r="AA20" s="185">
        <f t="shared" si="2"/>
        <v>14</v>
      </c>
      <c r="AB20" s="185">
        <f t="shared" si="3"/>
        <v>3.5</v>
      </c>
      <c r="AC20" s="185">
        <f t="shared" si="4"/>
        <v>14</v>
      </c>
      <c r="AD20" s="185">
        <f t="shared" si="5"/>
        <v>28</v>
      </c>
    </row>
    <row r="21" spans="1:30" ht="15" customHeight="1" x14ac:dyDescent="0.25">
      <c r="A21" s="315">
        <f t="shared" si="6"/>
        <v>20</v>
      </c>
      <c r="B21" s="3" t="s">
        <v>635</v>
      </c>
      <c r="C21" s="415">
        <v>24</v>
      </c>
      <c r="D21" s="359"/>
      <c r="E21" s="478"/>
      <c r="F21" s="361"/>
      <c r="G21" s="482"/>
      <c r="H21" s="359"/>
      <c r="I21" s="478"/>
      <c r="J21" s="359"/>
      <c r="K21" s="478"/>
      <c r="L21" s="359"/>
      <c r="M21" s="478"/>
      <c r="N21" s="561"/>
      <c r="O21" s="340">
        <f t="shared" si="0"/>
        <v>24</v>
      </c>
      <c r="P21" s="340">
        <f t="shared" si="1"/>
        <v>-10</v>
      </c>
      <c r="Q21" s="7">
        <v>3.5</v>
      </c>
      <c r="R21" s="63" t="s">
        <v>743</v>
      </c>
      <c r="S21" s="118">
        <v>46327</v>
      </c>
      <c r="T21" s="316">
        <v>0</v>
      </c>
      <c r="U21" s="17"/>
      <c r="V21" s="344">
        <v>45597</v>
      </c>
      <c r="W21" s="309">
        <v>1</v>
      </c>
      <c r="X21" s="122">
        <v>3</v>
      </c>
      <c r="Y21" s="309">
        <v>2</v>
      </c>
      <c r="Z21" s="429">
        <v>1</v>
      </c>
      <c r="AA21" s="185">
        <f t="shared" si="2"/>
        <v>7</v>
      </c>
      <c r="AB21" s="185">
        <f t="shared" si="3"/>
        <v>1.75</v>
      </c>
      <c r="AC21" s="185">
        <f t="shared" si="4"/>
        <v>7</v>
      </c>
      <c r="AD21" s="185">
        <f t="shared" si="5"/>
        <v>14</v>
      </c>
    </row>
    <row r="22" spans="1:30" ht="13.5" customHeight="1" x14ac:dyDescent="0.25">
      <c r="A22" s="315">
        <f t="shared" si="6"/>
        <v>21</v>
      </c>
      <c r="B22" s="3" t="s">
        <v>468</v>
      </c>
      <c r="C22" s="415">
        <v>7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0">
        <f t="shared" si="0"/>
        <v>7</v>
      </c>
      <c r="P22" s="438">
        <f t="shared" si="1"/>
        <v>29</v>
      </c>
      <c r="Q22" s="7">
        <v>0.5</v>
      </c>
      <c r="R22" s="8"/>
      <c r="S22" s="28"/>
      <c r="T22" s="316">
        <v>2</v>
      </c>
      <c r="U22" s="316"/>
      <c r="V22" s="199">
        <v>45658</v>
      </c>
      <c r="W22" s="309">
        <v>6</v>
      </c>
      <c r="X22" s="122">
        <v>2</v>
      </c>
      <c r="Y22" s="309">
        <v>2</v>
      </c>
      <c r="Z22" s="429">
        <v>8</v>
      </c>
      <c r="AA22" s="185">
        <f t="shared" si="2"/>
        <v>18</v>
      </c>
      <c r="AB22" s="185">
        <f t="shared" si="3"/>
        <v>4.5</v>
      </c>
      <c r="AC22" s="185">
        <f t="shared" si="4"/>
        <v>18</v>
      </c>
      <c r="AD22" s="185">
        <f t="shared" si="5"/>
        <v>36</v>
      </c>
    </row>
    <row r="23" spans="1:30" ht="15" customHeight="1" x14ac:dyDescent="0.25">
      <c r="A23" s="315">
        <f t="shared" si="6"/>
        <v>22</v>
      </c>
      <c r="B23" s="3" t="s">
        <v>209</v>
      </c>
      <c r="C23" s="415">
        <v>0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0">
        <f t="shared" si="0"/>
        <v>0</v>
      </c>
      <c r="P23" s="689">
        <f t="shared" si="1"/>
        <v>0</v>
      </c>
      <c r="Q23" s="7"/>
      <c r="R23" s="8"/>
      <c r="S23" s="118"/>
      <c r="T23" s="316">
        <v>0</v>
      </c>
      <c r="U23" s="316"/>
      <c r="V23" s="199"/>
      <c r="W23" s="309"/>
      <c r="X23" s="107"/>
      <c r="Y23" s="309"/>
      <c r="Z23" s="429"/>
      <c r="AA23" s="185"/>
      <c r="AB23" s="185"/>
      <c r="AC23" s="185"/>
      <c r="AD23" s="185"/>
    </row>
    <row r="24" spans="1:30" ht="15.75" customHeight="1" x14ac:dyDescent="0.25">
      <c r="A24" s="315">
        <f t="shared" si="6"/>
        <v>23</v>
      </c>
      <c r="B24" s="164" t="s">
        <v>121</v>
      </c>
      <c r="C24" s="340">
        <v>39</v>
      </c>
      <c r="D24" s="359"/>
      <c r="E24" s="478">
        <v>6</v>
      </c>
      <c r="F24" s="359"/>
      <c r="G24" s="478"/>
      <c r="H24" s="359"/>
      <c r="I24" s="478"/>
      <c r="J24" s="359"/>
      <c r="K24" s="478"/>
      <c r="L24" s="359"/>
      <c r="M24" s="478"/>
      <c r="N24" s="561"/>
      <c r="O24" s="340">
        <f t="shared" si="0"/>
        <v>33</v>
      </c>
      <c r="P24" s="340">
        <f t="shared" si="1"/>
        <v>-5</v>
      </c>
      <c r="Q24" s="7">
        <v>3</v>
      </c>
      <c r="R24" s="125" t="s">
        <v>743</v>
      </c>
      <c r="S24" s="118">
        <v>47088</v>
      </c>
      <c r="T24" s="316">
        <v>0</v>
      </c>
      <c r="U24" s="316"/>
      <c r="V24" s="118">
        <v>45627</v>
      </c>
      <c r="W24" s="309">
        <v>2</v>
      </c>
      <c r="X24" s="309">
        <v>3</v>
      </c>
      <c r="Y24" s="309">
        <v>4</v>
      </c>
      <c r="Z24" s="309">
        <v>5</v>
      </c>
      <c r="AA24" s="185">
        <f t="shared" ref="AA24:AA55" si="7">W24+X24+Y24+Z24</f>
        <v>14</v>
      </c>
      <c r="AB24" s="185">
        <f t="shared" ref="AB24:AB55" si="8">AA24/4</f>
        <v>3.5</v>
      </c>
      <c r="AC24" s="185">
        <f t="shared" ref="AC24:AC55" si="9">AB24*4</f>
        <v>14</v>
      </c>
      <c r="AD24" s="185">
        <f t="shared" ref="AD24:AD55" si="10">AC24*2</f>
        <v>28</v>
      </c>
    </row>
    <row r="25" spans="1:30" ht="15" customHeight="1" x14ac:dyDescent="0.25">
      <c r="A25" s="315">
        <f t="shared" si="6"/>
        <v>24</v>
      </c>
      <c r="B25" s="314" t="s">
        <v>58</v>
      </c>
      <c r="C25" s="415">
        <v>108</v>
      </c>
      <c r="D25" s="359">
        <v>3</v>
      </c>
      <c r="E25" s="478"/>
      <c r="F25" s="359"/>
      <c r="G25" s="478">
        <v>2</v>
      </c>
      <c r="H25" s="359"/>
      <c r="I25" s="478"/>
      <c r="J25" s="359"/>
      <c r="K25" s="478"/>
      <c r="L25" s="359"/>
      <c r="M25" s="478"/>
      <c r="N25" s="561"/>
      <c r="O25" s="340">
        <f t="shared" si="0"/>
        <v>103</v>
      </c>
      <c r="P25" s="438">
        <f t="shared" si="1"/>
        <v>15</v>
      </c>
      <c r="Q25" s="7">
        <v>1.5</v>
      </c>
      <c r="R25" s="125" t="s">
        <v>743</v>
      </c>
      <c r="S25" s="335">
        <v>46143</v>
      </c>
      <c r="T25" s="326">
        <v>1</v>
      </c>
      <c r="U25" s="326"/>
      <c r="V25" s="335">
        <v>45689</v>
      </c>
      <c r="W25" s="326">
        <v>3</v>
      </c>
      <c r="X25" s="326">
        <v>11</v>
      </c>
      <c r="Y25" s="429">
        <v>22</v>
      </c>
      <c r="Z25" s="429">
        <v>23</v>
      </c>
      <c r="AA25" s="185">
        <f t="shared" si="7"/>
        <v>59</v>
      </c>
      <c r="AB25" s="185">
        <f t="shared" si="8"/>
        <v>14.75</v>
      </c>
      <c r="AC25" s="185">
        <f t="shared" si="9"/>
        <v>59</v>
      </c>
      <c r="AD25" s="185">
        <f t="shared" si="10"/>
        <v>118</v>
      </c>
    </row>
    <row r="26" spans="1:30" ht="15" customHeight="1" x14ac:dyDescent="0.25">
      <c r="A26" s="315">
        <f t="shared" si="6"/>
        <v>25</v>
      </c>
      <c r="B26" s="314" t="s">
        <v>158</v>
      </c>
      <c r="C26" s="415">
        <v>1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40">
        <f t="shared" si="0"/>
        <v>1</v>
      </c>
      <c r="P26" s="438">
        <f t="shared" si="1"/>
        <v>7</v>
      </c>
      <c r="Q26" s="7">
        <v>32</v>
      </c>
      <c r="R26" s="252"/>
      <c r="S26" s="118">
        <v>46905</v>
      </c>
      <c r="T26" s="316">
        <v>0</v>
      </c>
      <c r="U26" s="316"/>
      <c r="V26" s="344">
        <v>45566</v>
      </c>
      <c r="W26" s="309">
        <v>1</v>
      </c>
      <c r="X26" s="309">
        <v>1</v>
      </c>
      <c r="Y26" s="309">
        <v>1</v>
      </c>
      <c r="Z26" s="429">
        <v>1</v>
      </c>
      <c r="AA26" s="185">
        <f t="shared" si="7"/>
        <v>4</v>
      </c>
      <c r="AB26" s="185">
        <f t="shared" si="8"/>
        <v>1</v>
      </c>
      <c r="AC26" s="185">
        <f t="shared" si="9"/>
        <v>4</v>
      </c>
      <c r="AD26" s="185">
        <f t="shared" si="10"/>
        <v>8</v>
      </c>
    </row>
    <row r="27" spans="1:30" ht="15" customHeight="1" x14ac:dyDescent="0.25">
      <c r="A27" s="315">
        <f t="shared" si="6"/>
        <v>26</v>
      </c>
      <c r="B27" s="314" t="s">
        <v>344</v>
      </c>
      <c r="C27" s="415">
        <v>2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0">
        <f t="shared" si="0"/>
        <v>2</v>
      </c>
      <c r="P27" s="438">
        <f t="shared" si="1"/>
        <v>6</v>
      </c>
      <c r="Q27" s="7">
        <v>10</v>
      </c>
      <c r="R27" s="63"/>
      <c r="S27" s="118">
        <v>46419</v>
      </c>
      <c r="T27" s="316">
        <v>0</v>
      </c>
      <c r="U27" s="316"/>
      <c r="V27" s="199">
        <v>45413</v>
      </c>
      <c r="W27" s="309">
        <v>1</v>
      </c>
      <c r="X27" s="107">
        <v>1</v>
      </c>
      <c r="Y27" s="309">
        <v>1</v>
      </c>
      <c r="Z27" s="429">
        <v>1</v>
      </c>
      <c r="AA27" s="185">
        <f t="shared" si="7"/>
        <v>4</v>
      </c>
      <c r="AB27" s="185">
        <f t="shared" si="8"/>
        <v>1</v>
      </c>
      <c r="AC27" s="185">
        <f t="shared" si="9"/>
        <v>4</v>
      </c>
      <c r="AD27" s="185">
        <f t="shared" si="10"/>
        <v>8</v>
      </c>
    </row>
    <row r="28" spans="1:30" ht="15" customHeight="1" x14ac:dyDescent="0.25">
      <c r="A28" s="315">
        <f t="shared" si="6"/>
        <v>27</v>
      </c>
      <c r="B28" s="588" t="s">
        <v>343</v>
      </c>
      <c r="C28" s="594">
        <v>7</v>
      </c>
      <c r="D28" s="360"/>
      <c r="E28" s="480"/>
      <c r="F28" s="360"/>
      <c r="G28" s="480"/>
      <c r="H28" s="360"/>
      <c r="I28" s="480"/>
      <c r="J28" s="360"/>
      <c r="K28" s="480"/>
      <c r="L28" s="360"/>
      <c r="M28" s="480"/>
      <c r="N28" s="562"/>
      <c r="O28" s="340">
        <f t="shared" si="0"/>
        <v>7</v>
      </c>
      <c r="P28" s="340">
        <f t="shared" si="1"/>
        <v>-1</v>
      </c>
      <c r="Q28" s="7">
        <v>10</v>
      </c>
      <c r="R28" s="63"/>
      <c r="S28" s="118">
        <v>46204</v>
      </c>
      <c r="T28" s="316">
        <v>0</v>
      </c>
      <c r="U28" s="316"/>
      <c r="V28" s="331">
        <v>44743</v>
      </c>
      <c r="W28" s="309"/>
      <c r="X28" s="107">
        <v>1</v>
      </c>
      <c r="Y28" s="309">
        <v>1</v>
      </c>
      <c r="Z28" s="429">
        <v>1</v>
      </c>
      <c r="AA28" s="185">
        <f t="shared" si="7"/>
        <v>3</v>
      </c>
      <c r="AB28" s="185">
        <f t="shared" si="8"/>
        <v>0.75</v>
      </c>
      <c r="AC28" s="185">
        <f t="shared" si="9"/>
        <v>3</v>
      </c>
      <c r="AD28" s="185">
        <f t="shared" si="10"/>
        <v>6</v>
      </c>
    </row>
    <row r="29" spans="1:30" ht="15" customHeight="1" x14ac:dyDescent="0.25">
      <c r="A29" s="315">
        <f t="shared" si="6"/>
        <v>28</v>
      </c>
      <c r="B29" s="314" t="s">
        <v>142</v>
      </c>
      <c r="C29" s="433">
        <v>4</v>
      </c>
      <c r="D29" s="671"/>
      <c r="E29" s="672"/>
      <c r="F29" s="360"/>
      <c r="G29" s="480"/>
      <c r="H29" s="360"/>
      <c r="I29" s="480"/>
      <c r="J29" s="360"/>
      <c r="K29" s="480"/>
      <c r="L29" s="360"/>
      <c r="M29" s="480"/>
      <c r="N29" s="562"/>
      <c r="O29" s="340">
        <f t="shared" si="0"/>
        <v>4</v>
      </c>
      <c r="P29" s="438">
        <f t="shared" si="1"/>
        <v>20</v>
      </c>
      <c r="Q29" s="7">
        <v>10</v>
      </c>
      <c r="R29" s="63"/>
      <c r="S29" s="118">
        <v>46419</v>
      </c>
      <c r="T29" s="316">
        <v>0</v>
      </c>
      <c r="U29" s="316"/>
      <c r="V29" s="199">
        <v>45413</v>
      </c>
      <c r="W29" s="309">
        <v>1</v>
      </c>
      <c r="X29" s="107">
        <v>8</v>
      </c>
      <c r="Y29" s="309">
        <v>2</v>
      </c>
      <c r="Z29" s="429">
        <v>1</v>
      </c>
      <c r="AA29" s="185">
        <f t="shared" si="7"/>
        <v>12</v>
      </c>
      <c r="AB29" s="185">
        <f t="shared" si="8"/>
        <v>3</v>
      </c>
      <c r="AC29" s="185">
        <f t="shared" si="9"/>
        <v>12</v>
      </c>
      <c r="AD29" s="185">
        <f t="shared" si="10"/>
        <v>24</v>
      </c>
    </row>
    <row r="30" spans="1:30" ht="15" customHeight="1" x14ac:dyDescent="0.25">
      <c r="A30" s="315">
        <f t="shared" si="6"/>
        <v>29</v>
      </c>
      <c r="B30" s="314" t="s">
        <v>309</v>
      </c>
      <c r="C30" s="415">
        <v>5</v>
      </c>
      <c r="D30" s="374"/>
      <c r="E30" s="498"/>
      <c r="F30" s="360"/>
      <c r="G30" s="480"/>
      <c r="H30" s="360"/>
      <c r="I30" s="480"/>
      <c r="J30" s="360"/>
      <c r="K30" s="480"/>
      <c r="L30" s="360"/>
      <c r="M30" s="480"/>
      <c r="N30" s="562"/>
      <c r="O30" s="340">
        <f t="shared" si="0"/>
        <v>5</v>
      </c>
      <c r="P30" s="438">
        <f t="shared" si="1"/>
        <v>13</v>
      </c>
      <c r="Q30" s="7">
        <v>10</v>
      </c>
      <c r="R30" s="63"/>
      <c r="S30" s="118">
        <v>47300</v>
      </c>
      <c r="T30" s="316">
        <v>0</v>
      </c>
      <c r="U30" s="17">
        <v>6</v>
      </c>
      <c r="V30" s="199">
        <v>45717</v>
      </c>
      <c r="W30" s="318">
        <v>2</v>
      </c>
      <c r="X30" s="127">
        <v>2</v>
      </c>
      <c r="Y30" s="318">
        <v>3</v>
      </c>
      <c r="Z30" s="429">
        <v>2</v>
      </c>
      <c r="AA30" s="185">
        <f t="shared" si="7"/>
        <v>9</v>
      </c>
      <c r="AB30" s="185">
        <f t="shared" si="8"/>
        <v>2.25</v>
      </c>
      <c r="AC30" s="185">
        <f t="shared" si="9"/>
        <v>9</v>
      </c>
      <c r="AD30" s="185">
        <f t="shared" si="10"/>
        <v>18</v>
      </c>
    </row>
    <row r="31" spans="1:30" ht="15" customHeight="1" x14ac:dyDescent="0.25">
      <c r="A31" s="315">
        <f t="shared" si="6"/>
        <v>30</v>
      </c>
      <c r="B31" s="3" t="s">
        <v>143</v>
      </c>
      <c r="C31" s="415">
        <v>4</v>
      </c>
      <c r="D31" s="360"/>
      <c r="E31" s="480"/>
      <c r="F31" s="360"/>
      <c r="G31" s="480"/>
      <c r="H31" s="360"/>
      <c r="I31" s="480"/>
      <c r="J31" s="360"/>
      <c r="K31" s="480"/>
      <c r="L31" s="360"/>
      <c r="M31" s="480"/>
      <c r="N31" s="562"/>
      <c r="O31" s="340">
        <f t="shared" si="0"/>
        <v>4</v>
      </c>
      <c r="P31" s="438">
        <f t="shared" si="1"/>
        <v>14</v>
      </c>
      <c r="Q31" s="7">
        <v>10</v>
      </c>
      <c r="R31" s="8"/>
      <c r="S31" s="118">
        <v>47058</v>
      </c>
      <c r="T31" s="316">
        <v>6</v>
      </c>
      <c r="U31" s="316"/>
      <c r="V31" s="199">
        <v>45597</v>
      </c>
      <c r="W31" s="318">
        <v>4</v>
      </c>
      <c r="X31" s="127">
        <v>2</v>
      </c>
      <c r="Y31" s="318">
        <v>1</v>
      </c>
      <c r="Z31" s="429">
        <v>2</v>
      </c>
      <c r="AA31" s="185">
        <f t="shared" si="7"/>
        <v>9</v>
      </c>
      <c r="AB31" s="185">
        <f t="shared" si="8"/>
        <v>2.25</v>
      </c>
      <c r="AC31" s="185">
        <f t="shared" si="9"/>
        <v>9</v>
      </c>
      <c r="AD31" s="185">
        <f t="shared" si="10"/>
        <v>18</v>
      </c>
    </row>
    <row r="32" spans="1:30" ht="15" customHeight="1" x14ac:dyDescent="0.25">
      <c r="A32" s="315">
        <f t="shared" si="6"/>
        <v>31</v>
      </c>
      <c r="B32" s="3" t="s">
        <v>1310</v>
      </c>
      <c r="C32" s="415">
        <v>1</v>
      </c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340">
        <f t="shared" si="0"/>
        <v>1</v>
      </c>
      <c r="P32" s="438">
        <f t="shared" si="1"/>
        <v>15</v>
      </c>
      <c r="Q32" s="7">
        <v>7</v>
      </c>
      <c r="R32" s="63"/>
      <c r="S32" s="118">
        <v>46296</v>
      </c>
      <c r="T32" s="316">
        <v>1</v>
      </c>
      <c r="U32" s="17"/>
      <c r="V32" s="344">
        <v>45627</v>
      </c>
      <c r="W32" s="309">
        <v>1</v>
      </c>
      <c r="X32" s="309">
        <v>3</v>
      </c>
      <c r="Y32" s="309">
        <v>3</v>
      </c>
      <c r="Z32" s="429">
        <v>1</v>
      </c>
      <c r="AA32" s="185">
        <f t="shared" si="7"/>
        <v>8</v>
      </c>
      <c r="AB32" s="185">
        <f t="shared" si="8"/>
        <v>2</v>
      </c>
      <c r="AC32" s="185">
        <f t="shared" si="9"/>
        <v>8</v>
      </c>
      <c r="AD32" s="185">
        <f t="shared" si="10"/>
        <v>16</v>
      </c>
    </row>
    <row r="33" spans="1:30" ht="15" customHeight="1" x14ac:dyDescent="0.25">
      <c r="A33" s="315">
        <f t="shared" si="6"/>
        <v>32</v>
      </c>
      <c r="B33" s="3" t="s">
        <v>1369</v>
      </c>
      <c r="C33" s="415">
        <v>1</v>
      </c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340">
        <f t="shared" si="0"/>
        <v>1</v>
      </c>
      <c r="P33" s="340">
        <f t="shared" si="1"/>
        <v>-1</v>
      </c>
      <c r="Q33" s="7">
        <v>8</v>
      </c>
      <c r="R33" s="8"/>
      <c r="S33" s="94">
        <v>46478</v>
      </c>
      <c r="T33" s="338">
        <v>0</v>
      </c>
      <c r="U33" s="338"/>
      <c r="V33" s="344">
        <v>45658</v>
      </c>
      <c r="W33" s="309"/>
      <c r="X33" s="309"/>
      <c r="Y33" s="309"/>
      <c r="Z33" s="429"/>
      <c r="AA33" s="185">
        <f t="shared" si="7"/>
        <v>0</v>
      </c>
      <c r="AB33" s="185">
        <f t="shared" si="8"/>
        <v>0</v>
      </c>
      <c r="AC33" s="185">
        <f t="shared" si="9"/>
        <v>0</v>
      </c>
      <c r="AD33" s="185">
        <f t="shared" si="10"/>
        <v>0</v>
      </c>
    </row>
    <row r="34" spans="1:30" ht="15" customHeight="1" x14ac:dyDescent="0.25">
      <c r="A34" s="315">
        <f t="shared" si="6"/>
        <v>33</v>
      </c>
      <c r="B34" s="314" t="s">
        <v>19</v>
      </c>
      <c r="C34" s="415">
        <v>2</v>
      </c>
      <c r="D34" s="361"/>
      <c r="E34" s="482"/>
      <c r="F34" s="361"/>
      <c r="G34" s="482"/>
      <c r="H34" s="361"/>
      <c r="I34" s="482"/>
      <c r="J34" s="361"/>
      <c r="K34" s="482"/>
      <c r="L34" s="361">
        <v>1</v>
      </c>
      <c r="M34" s="482"/>
      <c r="N34" s="563"/>
      <c r="O34" s="340">
        <f t="shared" ref="O34:O65" si="11">SUM(C34-D34-E34-F34-G34-H34-I34-J34-K34-L34-M34-N34)</f>
        <v>1</v>
      </c>
      <c r="P34" s="438">
        <f t="shared" ref="P34:P65" si="12">AD34-O34</f>
        <v>9</v>
      </c>
      <c r="Q34" s="7">
        <v>19</v>
      </c>
      <c r="R34" s="307"/>
      <c r="S34" s="344">
        <v>46784</v>
      </c>
      <c r="T34" s="318">
        <v>0</v>
      </c>
      <c r="U34" s="318"/>
      <c r="V34" s="344">
        <v>45413</v>
      </c>
      <c r="W34" s="309">
        <v>1</v>
      </c>
      <c r="X34" s="309">
        <v>2</v>
      </c>
      <c r="Y34" s="309">
        <v>1</v>
      </c>
      <c r="Z34" s="309">
        <v>1</v>
      </c>
      <c r="AA34" s="185">
        <f t="shared" si="7"/>
        <v>5</v>
      </c>
      <c r="AB34" s="185">
        <f t="shared" si="8"/>
        <v>1.25</v>
      </c>
      <c r="AC34" s="185">
        <f t="shared" si="9"/>
        <v>5</v>
      </c>
      <c r="AD34" s="185">
        <f t="shared" si="10"/>
        <v>10</v>
      </c>
    </row>
    <row r="35" spans="1:30" ht="15" customHeight="1" x14ac:dyDescent="0.25">
      <c r="A35" s="315">
        <f t="shared" si="6"/>
        <v>34</v>
      </c>
      <c r="B35" s="3" t="s">
        <v>314</v>
      </c>
      <c r="C35" s="415">
        <v>1</v>
      </c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340">
        <f t="shared" si="11"/>
        <v>1</v>
      </c>
      <c r="P35" s="438">
        <f t="shared" si="12"/>
        <v>7</v>
      </c>
      <c r="Q35" s="7">
        <v>30</v>
      </c>
      <c r="R35" s="125"/>
      <c r="S35" s="118"/>
      <c r="T35" s="316">
        <v>0</v>
      </c>
      <c r="U35" s="316"/>
      <c r="V35" s="344">
        <v>45566</v>
      </c>
      <c r="W35" s="309">
        <v>1</v>
      </c>
      <c r="X35" s="309">
        <v>1</v>
      </c>
      <c r="Y35" s="309">
        <v>1</v>
      </c>
      <c r="Z35" s="429">
        <v>1</v>
      </c>
      <c r="AA35" s="185">
        <f t="shared" si="7"/>
        <v>4</v>
      </c>
      <c r="AB35" s="185">
        <f t="shared" si="8"/>
        <v>1</v>
      </c>
      <c r="AC35" s="185">
        <f t="shared" si="9"/>
        <v>4</v>
      </c>
      <c r="AD35" s="185">
        <f t="shared" si="10"/>
        <v>8</v>
      </c>
    </row>
    <row r="36" spans="1:30" ht="15" customHeight="1" x14ac:dyDescent="0.25">
      <c r="A36" s="315">
        <f t="shared" si="6"/>
        <v>35</v>
      </c>
      <c r="B36" s="3" t="s">
        <v>1144</v>
      </c>
      <c r="C36" s="415">
        <v>72</v>
      </c>
      <c r="D36" s="359"/>
      <c r="E36" s="478">
        <v>10</v>
      </c>
      <c r="F36" s="359"/>
      <c r="G36" s="478"/>
      <c r="H36" s="359"/>
      <c r="I36" s="478"/>
      <c r="J36" s="359"/>
      <c r="K36" s="478"/>
      <c r="L36" s="359"/>
      <c r="M36" s="478"/>
      <c r="N36" s="561"/>
      <c r="O36" s="340">
        <f t="shared" si="11"/>
        <v>62</v>
      </c>
      <c r="P36" s="340">
        <f t="shared" si="12"/>
        <v>-18</v>
      </c>
      <c r="Q36" s="7">
        <v>1</v>
      </c>
      <c r="R36" s="8" t="s">
        <v>743</v>
      </c>
      <c r="S36" s="118">
        <v>46235</v>
      </c>
      <c r="T36" s="316">
        <v>0</v>
      </c>
      <c r="U36" s="316">
        <v>2</v>
      </c>
      <c r="V36" s="344">
        <v>45717</v>
      </c>
      <c r="W36" s="309">
        <v>4</v>
      </c>
      <c r="X36" s="309">
        <v>12</v>
      </c>
      <c r="Y36" s="309">
        <v>4</v>
      </c>
      <c r="Z36" s="429">
        <v>2</v>
      </c>
      <c r="AA36" s="185">
        <f t="shared" si="7"/>
        <v>22</v>
      </c>
      <c r="AB36" s="185">
        <f t="shared" si="8"/>
        <v>5.5</v>
      </c>
      <c r="AC36" s="185">
        <f t="shared" si="9"/>
        <v>22</v>
      </c>
      <c r="AD36" s="185">
        <f t="shared" si="10"/>
        <v>44</v>
      </c>
    </row>
    <row r="37" spans="1:30" ht="15" customHeight="1" x14ac:dyDescent="0.25">
      <c r="A37" s="315">
        <f t="shared" si="6"/>
        <v>36</v>
      </c>
      <c r="B37" s="3" t="s">
        <v>1172</v>
      </c>
      <c r="C37" s="340">
        <v>0</v>
      </c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340">
        <f t="shared" si="11"/>
        <v>0</v>
      </c>
      <c r="P37" s="689">
        <f t="shared" si="12"/>
        <v>0</v>
      </c>
      <c r="Q37" s="7">
        <v>1</v>
      </c>
      <c r="R37" s="125" t="s">
        <v>1323</v>
      </c>
      <c r="S37" s="118"/>
      <c r="T37" s="316"/>
      <c r="U37" s="316"/>
      <c r="V37" s="344"/>
      <c r="W37" s="309"/>
      <c r="X37" s="309"/>
      <c r="Y37" s="309"/>
      <c r="Z37" s="309"/>
      <c r="AA37" s="185">
        <f t="shared" si="7"/>
        <v>0</v>
      </c>
      <c r="AB37" s="185">
        <f t="shared" si="8"/>
        <v>0</v>
      </c>
      <c r="AC37" s="185">
        <f t="shared" si="9"/>
        <v>0</v>
      </c>
      <c r="AD37" s="185">
        <f t="shared" si="10"/>
        <v>0</v>
      </c>
    </row>
    <row r="38" spans="1:30" ht="15" customHeight="1" x14ac:dyDescent="0.25">
      <c r="A38" s="315">
        <f t="shared" si="6"/>
        <v>37</v>
      </c>
      <c r="B38" s="3" t="s">
        <v>1145</v>
      </c>
      <c r="C38" s="414">
        <v>130</v>
      </c>
      <c r="D38" s="359"/>
      <c r="E38" s="478"/>
      <c r="F38" s="359">
        <v>5</v>
      </c>
      <c r="G38" s="478"/>
      <c r="H38" s="359"/>
      <c r="I38" s="478"/>
      <c r="J38" s="359"/>
      <c r="K38" s="478"/>
      <c r="L38" s="359"/>
      <c r="M38" s="478"/>
      <c r="N38" s="561"/>
      <c r="O38" s="340">
        <f t="shared" si="11"/>
        <v>125</v>
      </c>
      <c r="P38" s="438">
        <f t="shared" si="12"/>
        <v>201</v>
      </c>
      <c r="Q38" s="7">
        <v>1</v>
      </c>
      <c r="R38" s="94" t="s">
        <v>743</v>
      </c>
      <c r="S38" s="118">
        <v>46143</v>
      </c>
      <c r="T38" s="316">
        <v>4</v>
      </c>
      <c r="U38" s="316"/>
      <c r="V38" s="199">
        <v>45658</v>
      </c>
      <c r="W38" s="309">
        <v>33</v>
      </c>
      <c r="X38" s="107">
        <v>50</v>
      </c>
      <c r="Y38" s="309">
        <v>50</v>
      </c>
      <c r="Z38" s="429">
        <v>30</v>
      </c>
      <c r="AA38" s="185">
        <f t="shared" si="7"/>
        <v>163</v>
      </c>
      <c r="AB38" s="185">
        <f t="shared" si="8"/>
        <v>40.75</v>
      </c>
      <c r="AC38" s="185">
        <f t="shared" si="9"/>
        <v>163</v>
      </c>
      <c r="AD38" s="185">
        <f t="shared" si="10"/>
        <v>326</v>
      </c>
    </row>
    <row r="39" spans="1:30" ht="15" customHeight="1" x14ac:dyDescent="0.25">
      <c r="A39" s="315">
        <f t="shared" si="6"/>
        <v>38</v>
      </c>
      <c r="B39" s="314" t="s">
        <v>334</v>
      </c>
      <c r="C39" s="415">
        <v>3</v>
      </c>
      <c r="D39" s="408"/>
      <c r="E39" s="494"/>
      <c r="F39" s="408"/>
      <c r="G39" s="494"/>
      <c r="H39" s="408"/>
      <c r="I39" s="494"/>
      <c r="J39" s="408"/>
      <c r="K39" s="494"/>
      <c r="L39" s="408"/>
      <c r="M39" s="494"/>
      <c r="N39" s="586"/>
      <c r="O39" s="340">
        <f t="shared" si="11"/>
        <v>3</v>
      </c>
      <c r="P39" s="438">
        <f t="shared" si="12"/>
        <v>5</v>
      </c>
      <c r="Q39" s="7">
        <v>51</v>
      </c>
      <c r="R39" s="673"/>
      <c r="S39" s="409">
        <v>46508</v>
      </c>
      <c r="T39" s="410">
        <v>0</v>
      </c>
      <c r="U39" s="410"/>
      <c r="V39" s="674">
        <v>45505</v>
      </c>
      <c r="W39" s="216">
        <v>1</v>
      </c>
      <c r="X39" s="216">
        <v>1</v>
      </c>
      <c r="Y39" s="216">
        <v>1</v>
      </c>
      <c r="Z39" s="530">
        <v>1</v>
      </c>
      <c r="AA39" s="185">
        <f t="shared" si="7"/>
        <v>4</v>
      </c>
      <c r="AB39" s="185">
        <f t="shared" si="8"/>
        <v>1</v>
      </c>
      <c r="AC39" s="185">
        <f t="shared" si="9"/>
        <v>4</v>
      </c>
      <c r="AD39" s="185">
        <f t="shared" si="10"/>
        <v>8</v>
      </c>
    </row>
    <row r="40" spans="1:30" ht="15" customHeight="1" x14ac:dyDescent="0.25">
      <c r="A40" s="315">
        <f t="shared" si="6"/>
        <v>39</v>
      </c>
      <c r="B40" s="314" t="s">
        <v>207</v>
      </c>
      <c r="C40" s="415">
        <v>3</v>
      </c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340">
        <f t="shared" si="11"/>
        <v>3</v>
      </c>
      <c r="P40" s="438">
        <f t="shared" si="12"/>
        <v>7</v>
      </c>
      <c r="Q40" s="7">
        <v>10</v>
      </c>
      <c r="R40" s="63"/>
      <c r="S40" s="118">
        <v>46539</v>
      </c>
      <c r="T40" s="316">
        <v>4</v>
      </c>
      <c r="U40" s="316">
        <v>4</v>
      </c>
      <c r="V40" s="199">
        <v>45717</v>
      </c>
      <c r="W40" s="309">
        <v>1</v>
      </c>
      <c r="X40" s="107">
        <v>1</v>
      </c>
      <c r="Y40" s="309">
        <v>1</v>
      </c>
      <c r="Z40" s="429">
        <v>2</v>
      </c>
      <c r="AA40" s="185">
        <f t="shared" si="7"/>
        <v>5</v>
      </c>
      <c r="AB40" s="185">
        <f t="shared" si="8"/>
        <v>1.25</v>
      </c>
      <c r="AC40" s="185">
        <f t="shared" si="9"/>
        <v>5</v>
      </c>
      <c r="AD40" s="185">
        <f t="shared" si="10"/>
        <v>10</v>
      </c>
    </row>
    <row r="41" spans="1:30" ht="15" customHeight="1" x14ac:dyDescent="0.25">
      <c r="A41" s="315">
        <f t="shared" si="6"/>
        <v>40</v>
      </c>
      <c r="B41" s="314" t="s">
        <v>1146</v>
      </c>
      <c r="C41" s="415">
        <v>36</v>
      </c>
      <c r="D41" s="359"/>
      <c r="E41" s="478">
        <v>6</v>
      </c>
      <c r="F41" s="359"/>
      <c r="G41" s="478"/>
      <c r="H41" s="359"/>
      <c r="I41" s="478"/>
      <c r="J41" s="359"/>
      <c r="K41" s="478"/>
      <c r="L41" s="359"/>
      <c r="M41" s="478"/>
      <c r="N41" s="561"/>
      <c r="O41" s="340">
        <f t="shared" si="11"/>
        <v>30</v>
      </c>
      <c r="P41" s="438">
        <f t="shared" si="12"/>
        <v>34</v>
      </c>
      <c r="Q41" s="7">
        <v>1.75</v>
      </c>
      <c r="R41" s="8" t="s">
        <v>743</v>
      </c>
      <c r="S41" s="118">
        <v>46204</v>
      </c>
      <c r="T41" s="316">
        <v>0</v>
      </c>
      <c r="U41" s="316">
        <v>1</v>
      </c>
      <c r="V41" s="344">
        <v>45658</v>
      </c>
      <c r="W41" s="309">
        <v>16</v>
      </c>
      <c r="X41" s="309">
        <v>3</v>
      </c>
      <c r="Y41" s="309">
        <v>12</v>
      </c>
      <c r="Z41" s="429">
        <v>1</v>
      </c>
      <c r="AA41" s="185">
        <f t="shared" si="7"/>
        <v>32</v>
      </c>
      <c r="AB41" s="185">
        <f t="shared" si="8"/>
        <v>8</v>
      </c>
      <c r="AC41" s="185">
        <f t="shared" si="9"/>
        <v>32</v>
      </c>
      <c r="AD41" s="185">
        <f t="shared" si="10"/>
        <v>64</v>
      </c>
    </row>
    <row r="42" spans="1:30" ht="15" customHeight="1" x14ac:dyDescent="0.25">
      <c r="A42" s="315">
        <f t="shared" si="6"/>
        <v>41</v>
      </c>
      <c r="B42" s="314" t="s">
        <v>1147</v>
      </c>
      <c r="C42" s="415">
        <v>92</v>
      </c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340">
        <f t="shared" si="11"/>
        <v>92</v>
      </c>
      <c r="P42" s="340">
        <f t="shared" si="12"/>
        <v>-4</v>
      </c>
      <c r="Q42" s="7">
        <v>0.9</v>
      </c>
      <c r="R42" s="63"/>
      <c r="S42" s="118">
        <v>46113</v>
      </c>
      <c r="T42" s="316">
        <v>0</v>
      </c>
      <c r="U42" s="316"/>
      <c r="V42" s="344">
        <v>45597</v>
      </c>
      <c r="W42" s="309">
        <v>2</v>
      </c>
      <c r="X42" s="107">
        <v>12</v>
      </c>
      <c r="Y42" s="309">
        <v>20</v>
      </c>
      <c r="Z42" s="429">
        <v>10</v>
      </c>
      <c r="AA42" s="185">
        <f t="shared" si="7"/>
        <v>44</v>
      </c>
      <c r="AB42" s="185">
        <f t="shared" si="8"/>
        <v>11</v>
      </c>
      <c r="AC42" s="185">
        <f t="shared" si="9"/>
        <v>44</v>
      </c>
      <c r="AD42" s="185">
        <f t="shared" si="10"/>
        <v>88</v>
      </c>
    </row>
    <row r="43" spans="1:30" ht="15" customHeight="1" x14ac:dyDescent="0.25">
      <c r="A43" s="315">
        <f t="shared" si="6"/>
        <v>42</v>
      </c>
      <c r="B43" s="314" t="s">
        <v>845</v>
      </c>
      <c r="C43" s="415">
        <v>2</v>
      </c>
      <c r="D43" s="372"/>
      <c r="E43" s="497"/>
      <c r="F43" s="372"/>
      <c r="G43" s="497"/>
      <c r="H43" s="372"/>
      <c r="I43" s="497"/>
      <c r="J43" s="372">
        <v>1</v>
      </c>
      <c r="K43" s="497"/>
      <c r="L43" s="372"/>
      <c r="M43" s="497"/>
      <c r="N43" s="584"/>
      <c r="O43" s="340">
        <f t="shared" si="11"/>
        <v>1</v>
      </c>
      <c r="P43" s="438">
        <f t="shared" si="12"/>
        <v>7</v>
      </c>
      <c r="Q43" s="7">
        <v>81</v>
      </c>
      <c r="R43" s="109" t="s">
        <v>743</v>
      </c>
      <c r="S43" s="118">
        <v>46388</v>
      </c>
      <c r="T43" s="316">
        <v>0</v>
      </c>
      <c r="U43" s="316">
        <v>1</v>
      </c>
      <c r="V43" s="83">
        <v>45717</v>
      </c>
      <c r="W43" s="314">
        <v>1</v>
      </c>
      <c r="X43" s="314">
        <v>1</v>
      </c>
      <c r="Y43" s="314">
        <v>1</v>
      </c>
      <c r="Z43" s="436">
        <v>1</v>
      </c>
      <c r="AA43" s="185">
        <f t="shared" si="7"/>
        <v>4</v>
      </c>
      <c r="AB43" s="185">
        <f t="shared" si="8"/>
        <v>1</v>
      </c>
      <c r="AC43" s="185">
        <f t="shared" si="9"/>
        <v>4</v>
      </c>
      <c r="AD43" s="185">
        <f t="shared" si="10"/>
        <v>8</v>
      </c>
    </row>
    <row r="44" spans="1:30" ht="15" customHeight="1" x14ac:dyDescent="0.25">
      <c r="A44" s="315">
        <f t="shared" si="6"/>
        <v>43</v>
      </c>
      <c r="B44" s="314" t="s">
        <v>844</v>
      </c>
      <c r="C44" s="415">
        <v>2</v>
      </c>
      <c r="D44" s="372"/>
      <c r="E44" s="497"/>
      <c r="F44" s="372"/>
      <c r="G44" s="497"/>
      <c r="H44" s="372"/>
      <c r="I44" s="497"/>
      <c r="J44" s="372"/>
      <c r="K44" s="497"/>
      <c r="L44" s="372"/>
      <c r="M44" s="497"/>
      <c r="N44" s="584"/>
      <c r="O44" s="340">
        <f t="shared" si="11"/>
        <v>2</v>
      </c>
      <c r="P44" s="438">
        <f t="shared" si="12"/>
        <v>4</v>
      </c>
      <c r="Q44" s="7">
        <v>78</v>
      </c>
      <c r="R44" s="109" t="s">
        <v>743</v>
      </c>
      <c r="S44" s="118">
        <v>45931</v>
      </c>
      <c r="T44" s="316">
        <v>1</v>
      </c>
      <c r="U44" s="316"/>
      <c r="V44" s="83">
        <v>45536</v>
      </c>
      <c r="W44" s="314">
        <v>1</v>
      </c>
      <c r="X44" s="314">
        <v>1</v>
      </c>
      <c r="Y44" s="314">
        <v>1</v>
      </c>
      <c r="Z44" s="436"/>
      <c r="AA44" s="185">
        <f t="shared" si="7"/>
        <v>3</v>
      </c>
      <c r="AB44" s="185">
        <f t="shared" si="8"/>
        <v>0.75</v>
      </c>
      <c r="AC44" s="185">
        <f t="shared" si="9"/>
        <v>3</v>
      </c>
      <c r="AD44" s="185">
        <f t="shared" si="10"/>
        <v>6</v>
      </c>
    </row>
    <row r="45" spans="1:30" ht="15" customHeight="1" x14ac:dyDescent="0.25">
      <c r="A45" s="315">
        <f t="shared" si="6"/>
        <v>44</v>
      </c>
      <c r="B45" s="314" t="s">
        <v>235</v>
      </c>
      <c r="C45" s="415">
        <v>30</v>
      </c>
      <c r="D45" s="359"/>
      <c r="E45" s="478"/>
      <c r="F45" s="359"/>
      <c r="G45" s="478"/>
      <c r="H45" s="359"/>
      <c r="I45" s="478"/>
      <c r="J45" s="359"/>
      <c r="K45" s="478"/>
      <c r="L45" s="359"/>
      <c r="M45" s="478">
        <v>4</v>
      </c>
      <c r="N45" s="561"/>
      <c r="O45" s="340">
        <f t="shared" si="11"/>
        <v>26</v>
      </c>
      <c r="P45" s="438">
        <f t="shared" si="12"/>
        <v>68</v>
      </c>
      <c r="Q45" s="7">
        <v>0.5</v>
      </c>
      <c r="R45" s="63"/>
      <c r="S45" s="118">
        <v>46784</v>
      </c>
      <c r="T45" s="316">
        <v>4</v>
      </c>
      <c r="U45" s="316"/>
      <c r="V45" s="199">
        <v>45689</v>
      </c>
      <c r="W45" s="309">
        <v>20</v>
      </c>
      <c r="X45" s="107">
        <v>16</v>
      </c>
      <c r="Y45" s="309">
        <v>3</v>
      </c>
      <c r="Z45" s="429">
        <v>8</v>
      </c>
      <c r="AA45" s="185">
        <f t="shared" si="7"/>
        <v>47</v>
      </c>
      <c r="AB45" s="185">
        <f t="shared" si="8"/>
        <v>11.75</v>
      </c>
      <c r="AC45" s="185">
        <f t="shared" si="9"/>
        <v>47</v>
      </c>
      <c r="AD45" s="185">
        <f t="shared" si="10"/>
        <v>94</v>
      </c>
    </row>
    <row r="46" spans="1:30" ht="15" customHeight="1" x14ac:dyDescent="0.25">
      <c r="A46" s="315">
        <f t="shared" si="6"/>
        <v>45</v>
      </c>
      <c r="B46" s="314" t="s">
        <v>1451</v>
      </c>
      <c r="C46" s="415">
        <v>9</v>
      </c>
      <c r="D46" s="359"/>
      <c r="E46" s="478"/>
      <c r="F46" s="359">
        <v>1</v>
      </c>
      <c r="G46" s="478"/>
      <c r="H46" s="359">
        <v>1</v>
      </c>
      <c r="I46" s="495"/>
      <c r="J46" s="359"/>
      <c r="K46" s="478">
        <v>1</v>
      </c>
      <c r="L46" s="359"/>
      <c r="M46" s="478"/>
      <c r="N46" s="561"/>
      <c r="O46" s="340">
        <f t="shared" si="11"/>
        <v>6</v>
      </c>
      <c r="P46" s="438">
        <f t="shared" si="12"/>
        <v>6</v>
      </c>
      <c r="Q46" s="7">
        <v>16</v>
      </c>
      <c r="R46" s="63"/>
      <c r="S46" s="344">
        <v>46204</v>
      </c>
      <c r="T46" s="318">
        <v>10</v>
      </c>
      <c r="U46" s="318">
        <v>24</v>
      </c>
      <c r="V46" s="344">
        <v>45717</v>
      </c>
      <c r="W46" s="309"/>
      <c r="X46" s="309">
        <v>1</v>
      </c>
      <c r="Y46" s="309">
        <v>5</v>
      </c>
      <c r="Z46" s="309"/>
      <c r="AA46" s="185">
        <f t="shared" si="7"/>
        <v>6</v>
      </c>
      <c r="AB46" s="185">
        <f t="shared" si="8"/>
        <v>1.5</v>
      </c>
      <c r="AC46" s="185">
        <f t="shared" si="9"/>
        <v>6</v>
      </c>
      <c r="AD46" s="185">
        <f t="shared" si="10"/>
        <v>12</v>
      </c>
    </row>
    <row r="47" spans="1:30" ht="15" customHeight="1" x14ac:dyDescent="0.25">
      <c r="A47" s="315">
        <f t="shared" si="6"/>
        <v>46</v>
      </c>
      <c r="B47" s="314" t="s">
        <v>863</v>
      </c>
      <c r="C47" s="415">
        <v>45</v>
      </c>
      <c r="D47" s="359"/>
      <c r="E47" s="478"/>
      <c r="F47" s="359">
        <v>2</v>
      </c>
      <c r="G47" s="478"/>
      <c r="H47" s="359">
        <v>4</v>
      </c>
      <c r="I47" s="478">
        <v>2</v>
      </c>
      <c r="J47" s="359">
        <v>10</v>
      </c>
      <c r="K47" s="478"/>
      <c r="L47" s="359"/>
      <c r="M47" s="478"/>
      <c r="N47" s="561"/>
      <c r="O47" s="340">
        <f t="shared" si="11"/>
        <v>27</v>
      </c>
      <c r="P47" s="438">
        <f t="shared" si="12"/>
        <v>29</v>
      </c>
      <c r="Q47" s="7">
        <v>1</v>
      </c>
      <c r="R47" s="63"/>
      <c r="S47" s="118">
        <v>46266</v>
      </c>
      <c r="T47" s="316">
        <v>0</v>
      </c>
      <c r="U47" s="316">
        <v>1</v>
      </c>
      <c r="V47" s="199">
        <v>45717</v>
      </c>
      <c r="W47" s="309">
        <v>1</v>
      </c>
      <c r="X47" s="107">
        <v>14</v>
      </c>
      <c r="Y47" s="309">
        <v>6</v>
      </c>
      <c r="Z47" s="309">
        <v>7</v>
      </c>
      <c r="AA47" s="185">
        <f t="shared" si="7"/>
        <v>28</v>
      </c>
      <c r="AB47" s="185">
        <f t="shared" si="8"/>
        <v>7</v>
      </c>
      <c r="AC47" s="185">
        <f t="shared" si="9"/>
        <v>28</v>
      </c>
      <c r="AD47" s="185">
        <f t="shared" si="10"/>
        <v>56</v>
      </c>
    </row>
    <row r="48" spans="1:30" ht="15" customHeight="1" x14ac:dyDescent="0.25">
      <c r="A48" s="315">
        <f t="shared" si="6"/>
        <v>47</v>
      </c>
      <c r="B48" s="314" t="s">
        <v>692</v>
      </c>
      <c r="C48" s="415">
        <v>1</v>
      </c>
      <c r="D48" s="378"/>
      <c r="E48" s="488"/>
      <c r="F48" s="378"/>
      <c r="G48" s="488"/>
      <c r="H48" s="378"/>
      <c r="I48" s="488"/>
      <c r="J48" s="378"/>
      <c r="K48" s="488"/>
      <c r="L48" s="378"/>
      <c r="M48" s="488"/>
      <c r="N48" s="564"/>
      <c r="O48" s="340">
        <f t="shared" si="11"/>
        <v>1</v>
      </c>
      <c r="P48" s="438">
        <f t="shared" si="12"/>
        <v>7</v>
      </c>
      <c r="Q48" s="7">
        <v>16</v>
      </c>
      <c r="R48" s="329"/>
      <c r="S48" s="77">
        <v>46905</v>
      </c>
      <c r="T48" s="315">
        <v>2</v>
      </c>
      <c r="U48" s="315"/>
      <c r="V48" s="199">
        <v>45261</v>
      </c>
      <c r="W48" s="309">
        <v>1</v>
      </c>
      <c r="X48" s="107">
        <v>1</v>
      </c>
      <c r="Y48" s="309">
        <v>1</v>
      </c>
      <c r="Z48" s="309">
        <v>1</v>
      </c>
      <c r="AA48" s="185">
        <f t="shared" si="7"/>
        <v>4</v>
      </c>
      <c r="AB48" s="185">
        <f t="shared" si="8"/>
        <v>1</v>
      </c>
      <c r="AC48" s="185">
        <f t="shared" si="9"/>
        <v>4</v>
      </c>
      <c r="AD48" s="185">
        <f t="shared" si="10"/>
        <v>8</v>
      </c>
    </row>
    <row r="49" spans="1:37" ht="15" customHeight="1" x14ac:dyDescent="0.25">
      <c r="A49" s="315">
        <f t="shared" si="6"/>
        <v>48</v>
      </c>
      <c r="B49" s="3" t="s">
        <v>616</v>
      </c>
      <c r="C49" s="340">
        <v>2</v>
      </c>
      <c r="D49" s="359"/>
      <c r="E49" s="478"/>
      <c r="F49" s="359"/>
      <c r="G49" s="480"/>
      <c r="H49" s="360"/>
      <c r="I49" s="480"/>
      <c r="J49" s="360"/>
      <c r="K49" s="480"/>
      <c r="L49" s="360"/>
      <c r="M49" s="480"/>
      <c r="N49" s="562"/>
      <c r="O49" s="340">
        <f t="shared" si="11"/>
        <v>2</v>
      </c>
      <c r="P49" s="438">
        <f t="shared" si="12"/>
        <v>8</v>
      </c>
      <c r="Q49" s="7">
        <v>20</v>
      </c>
      <c r="R49" s="63"/>
      <c r="S49" s="83">
        <v>46113</v>
      </c>
      <c r="T49" s="313">
        <v>0</v>
      </c>
      <c r="U49" s="313"/>
      <c r="V49" s="81">
        <v>45505</v>
      </c>
      <c r="W49" s="14">
        <v>4</v>
      </c>
      <c r="X49" s="28">
        <v>1</v>
      </c>
      <c r="Y49" s="28"/>
      <c r="Z49" s="429"/>
      <c r="AA49" s="185">
        <f t="shared" si="7"/>
        <v>5</v>
      </c>
      <c r="AB49" s="185">
        <f t="shared" si="8"/>
        <v>1.25</v>
      </c>
      <c r="AC49" s="185">
        <f t="shared" si="9"/>
        <v>5</v>
      </c>
      <c r="AD49" s="185">
        <f t="shared" si="10"/>
        <v>10</v>
      </c>
    </row>
    <row r="50" spans="1:37" ht="15" customHeight="1" x14ac:dyDescent="0.25">
      <c r="A50" s="315">
        <f t="shared" si="6"/>
        <v>49</v>
      </c>
      <c r="B50" s="314" t="s">
        <v>166</v>
      </c>
      <c r="C50" s="415">
        <v>1</v>
      </c>
      <c r="D50" s="359"/>
      <c r="E50" s="478"/>
      <c r="F50" s="360"/>
      <c r="G50" s="480"/>
      <c r="H50" s="360"/>
      <c r="I50" s="480"/>
      <c r="J50" s="360"/>
      <c r="K50" s="480"/>
      <c r="L50" s="360"/>
      <c r="M50" s="480"/>
      <c r="N50" s="562"/>
      <c r="O50" s="340">
        <f t="shared" si="11"/>
        <v>1</v>
      </c>
      <c r="P50" s="438">
        <f t="shared" si="12"/>
        <v>7</v>
      </c>
      <c r="Q50" s="7">
        <v>7</v>
      </c>
      <c r="R50" s="63"/>
      <c r="S50" s="129">
        <v>46113</v>
      </c>
      <c r="T50" s="323">
        <v>0</v>
      </c>
      <c r="U50" s="323"/>
      <c r="V50" s="344">
        <v>45474</v>
      </c>
      <c r="W50" s="309">
        <v>1</v>
      </c>
      <c r="X50" s="309">
        <v>1</v>
      </c>
      <c r="Y50" s="309">
        <v>1</v>
      </c>
      <c r="Z50" s="429">
        <v>1</v>
      </c>
      <c r="AA50" s="185">
        <f t="shared" si="7"/>
        <v>4</v>
      </c>
      <c r="AB50" s="185">
        <f t="shared" si="8"/>
        <v>1</v>
      </c>
      <c r="AC50" s="185">
        <f t="shared" si="9"/>
        <v>4</v>
      </c>
      <c r="AD50" s="185">
        <f t="shared" si="10"/>
        <v>8</v>
      </c>
    </row>
    <row r="51" spans="1:37" ht="15" customHeight="1" x14ac:dyDescent="0.25">
      <c r="A51" s="315">
        <f t="shared" si="6"/>
        <v>50</v>
      </c>
      <c r="B51" s="3" t="s">
        <v>1149</v>
      </c>
      <c r="C51" s="415">
        <v>40</v>
      </c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340">
        <f t="shared" si="11"/>
        <v>40</v>
      </c>
      <c r="P51" s="438">
        <f t="shared" si="12"/>
        <v>32</v>
      </c>
      <c r="Q51" s="7">
        <v>0.25</v>
      </c>
      <c r="R51" s="63"/>
      <c r="S51" s="118">
        <v>46023</v>
      </c>
      <c r="T51" s="316">
        <v>0</v>
      </c>
      <c r="U51" s="316"/>
      <c r="V51" s="199">
        <v>45627</v>
      </c>
      <c r="W51" s="309">
        <v>4</v>
      </c>
      <c r="X51" s="107">
        <v>4</v>
      </c>
      <c r="Y51" s="309">
        <v>24</v>
      </c>
      <c r="Z51" s="429">
        <v>4</v>
      </c>
      <c r="AA51" s="185">
        <f t="shared" si="7"/>
        <v>36</v>
      </c>
      <c r="AB51" s="185">
        <f t="shared" si="8"/>
        <v>9</v>
      </c>
      <c r="AC51" s="185">
        <f t="shared" si="9"/>
        <v>36</v>
      </c>
      <c r="AD51" s="185">
        <f t="shared" si="10"/>
        <v>72</v>
      </c>
    </row>
    <row r="52" spans="1:37" ht="15" customHeight="1" x14ac:dyDescent="0.25">
      <c r="A52" s="315">
        <f t="shared" si="6"/>
        <v>51</v>
      </c>
      <c r="B52" s="314" t="s">
        <v>65</v>
      </c>
      <c r="C52" s="415">
        <v>7</v>
      </c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340">
        <f t="shared" si="11"/>
        <v>7</v>
      </c>
      <c r="P52" s="438">
        <f t="shared" si="12"/>
        <v>13</v>
      </c>
      <c r="Q52" s="7">
        <v>20</v>
      </c>
      <c r="R52" s="125" t="s">
        <v>743</v>
      </c>
      <c r="S52" s="118">
        <v>46296</v>
      </c>
      <c r="T52" s="316">
        <v>1</v>
      </c>
      <c r="U52" s="118"/>
      <c r="V52" s="344">
        <v>45536</v>
      </c>
      <c r="W52" s="309">
        <v>3</v>
      </c>
      <c r="X52" s="309">
        <v>4</v>
      </c>
      <c r="Y52" s="309">
        <v>2</v>
      </c>
      <c r="Z52" s="429">
        <v>1</v>
      </c>
      <c r="AA52" s="185">
        <f t="shared" si="7"/>
        <v>10</v>
      </c>
      <c r="AB52" s="185">
        <f t="shared" si="8"/>
        <v>2.5</v>
      </c>
      <c r="AC52" s="185">
        <f t="shared" si="9"/>
        <v>10</v>
      </c>
      <c r="AD52" s="185">
        <f t="shared" si="10"/>
        <v>20</v>
      </c>
    </row>
    <row r="53" spans="1:37" ht="16.5" customHeight="1" x14ac:dyDescent="0.25">
      <c r="A53" s="315">
        <f t="shared" si="6"/>
        <v>52</v>
      </c>
      <c r="B53" s="314" t="s">
        <v>66</v>
      </c>
      <c r="C53" s="280">
        <v>0</v>
      </c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340">
        <f t="shared" si="11"/>
        <v>0</v>
      </c>
      <c r="P53" s="689">
        <f t="shared" si="12"/>
        <v>0</v>
      </c>
      <c r="Q53" s="7">
        <v>114</v>
      </c>
      <c r="R53" s="125"/>
      <c r="S53" s="118"/>
      <c r="T53" s="316">
        <v>0</v>
      </c>
      <c r="U53" s="316"/>
      <c r="V53" s="118"/>
      <c r="W53" s="309"/>
      <c r="X53" s="309"/>
      <c r="Y53" s="309"/>
      <c r="Z53" s="429"/>
      <c r="AA53" s="185">
        <f t="shared" si="7"/>
        <v>0</v>
      </c>
      <c r="AB53" s="185">
        <f t="shared" si="8"/>
        <v>0</v>
      </c>
      <c r="AC53" s="185">
        <f t="shared" si="9"/>
        <v>0</v>
      </c>
      <c r="AD53" s="185">
        <f t="shared" si="10"/>
        <v>0</v>
      </c>
    </row>
    <row r="54" spans="1:37" ht="15" customHeight="1" x14ac:dyDescent="0.25">
      <c r="A54" s="315">
        <f t="shared" si="6"/>
        <v>53</v>
      </c>
      <c r="B54" s="314" t="s">
        <v>518</v>
      </c>
      <c r="C54" s="415">
        <v>1</v>
      </c>
      <c r="D54" s="361"/>
      <c r="E54" s="482"/>
      <c r="F54" s="359"/>
      <c r="G54" s="478"/>
      <c r="H54" s="359"/>
      <c r="I54" s="478"/>
      <c r="J54" s="359"/>
      <c r="K54" s="478"/>
      <c r="L54" s="359"/>
      <c r="M54" s="478"/>
      <c r="N54" s="561"/>
      <c r="O54" s="340">
        <f t="shared" si="11"/>
        <v>1</v>
      </c>
      <c r="P54" s="438">
        <f t="shared" si="12"/>
        <v>7</v>
      </c>
      <c r="Q54" s="7">
        <v>77</v>
      </c>
      <c r="R54" s="63" t="s">
        <v>743</v>
      </c>
      <c r="S54" s="344">
        <v>46508</v>
      </c>
      <c r="T54" s="318">
        <v>2</v>
      </c>
      <c r="U54" s="318"/>
      <c r="V54" s="344">
        <v>45689</v>
      </c>
      <c r="W54" s="309"/>
      <c r="X54" s="309">
        <v>1</v>
      </c>
      <c r="Y54" s="309">
        <v>1</v>
      </c>
      <c r="Z54" s="309">
        <v>2</v>
      </c>
      <c r="AA54" s="185">
        <f t="shared" si="7"/>
        <v>4</v>
      </c>
      <c r="AB54" s="185">
        <f t="shared" si="8"/>
        <v>1</v>
      </c>
      <c r="AC54" s="185">
        <f t="shared" si="9"/>
        <v>4</v>
      </c>
      <c r="AD54" s="185">
        <f t="shared" si="10"/>
        <v>8</v>
      </c>
    </row>
    <row r="55" spans="1:37" ht="15" customHeight="1" x14ac:dyDescent="0.25">
      <c r="A55" s="315">
        <f t="shared" si="6"/>
        <v>54</v>
      </c>
      <c r="B55" s="314" t="s">
        <v>1362</v>
      </c>
      <c r="C55" s="414">
        <v>64</v>
      </c>
      <c r="D55" s="359"/>
      <c r="E55" s="478"/>
      <c r="F55" s="361"/>
      <c r="G55" s="478">
        <v>4</v>
      </c>
      <c r="H55" s="359"/>
      <c r="I55" s="478">
        <v>2</v>
      </c>
      <c r="J55" s="359"/>
      <c r="K55" s="478"/>
      <c r="L55" s="359"/>
      <c r="M55" s="478">
        <v>3</v>
      </c>
      <c r="N55" s="561"/>
      <c r="O55" s="340">
        <f t="shared" si="11"/>
        <v>55</v>
      </c>
      <c r="P55" s="438">
        <f t="shared" si="12"/>
        <v>53</v>
      </c>
      <c r="Q55" s="7">
        <v>3</v>
      </c>
      <c r="R55" s="63" t="s">
        <v>743</v>
      </c>
      <c r="S55" s="77">
        <v>46023</v>
      </c>
      <c r="T55" s="16">
        <v>3</v>
      </c>
      <c r="U55" s="16">
        <v>2</v>
      </c>
      <c r="V55" s="77">
        <v>45717</v>
      </c>
      <c r="W55" s="14">
        <v>7</v>
      </c>
      <c r="X55" s="14">
        <v>8</v>
      </c>
      <c r="Y55" s="315">
        <v>13</v>
      </c>
      <c r="Z55" s="315">
        <v>26</v>
      </c>
      <c r="AA55" s="185">
        <f t="shared" si="7"/>
        <v>54</v>
      </c>
      <c r="AB55" s="185">
        <f t="shared" si="8"/>
        <v>13.5</v>
      </c>
      <c r="AC55" s="185">
        <f t="shared" si="9"/>
        <v>54</v>
      </c>
      <c r="AD55" s="185">
        <f t="shared" si="10"/>
        <v>108</v>
      </c>
    </row>
    <row r="56" spans="1:37" ht="15" customHeight="1" x14ac:dyDescent="0.25">
      <c r="A56" s="315">
        <f t="shared" si="6"/>
        <v>55</v>
      </c>
      <c r="B56" s="3" t="s">
        <v>439</v>
      </c>
      <c r="C56" s="415">
        <v>20</v>
      </c>
      <c r="D56" s="368"/>
      <c r="E56" s="496"/>
      <c r="F56" s="368">
        <v>4</v>
      </c>
      <c r="G56" s="497"/>
      <c r="H56" s="372"/>
      <c r="I56" s="497"/>
      <c r="J56" s="372"/>
      <c r="K56" s="497"/>
      <c r="L56" s="372"/>
      <c r="M56" s="497"/>
      <c r="N56" s="584"/>
      <c r="O56" s="340">
        <f t="shared" si="11"/>
        <v>16</v>
      </c>
      <c r="P56" s="438">
        <f t="shared" si="12"/>
        <v>92</v>
      </c>
      <c r="Q56" s="7">
        <v>8.5</v>
      </c>
      <c r="R56" s="63"/>
      <c r="S56" s="83">
        <v>46419</v>
      </c>
      <c r="T56" s="313">
        <v>2</v>
      </c>
      <c r="U56" s="313">
        <v>3</v>
      </c>
      <c r="V56" s="81">
        <v>45717</v>
      </c>
      <c r="W56" s="28">
        <v>10</v>
      </c>
      <c r="X56" s="28">
        <v>10</v>
      </c>
      <c r="Y56" s="28">
        <v>10</v>
      </c>
      <c r="Z56" s="429">
        <v>24</v>
      </c>
      <c r="AA56" s="185">
        <f t="shared" ref="AA56:AA87" si="13">W56+X56+Y56+Z56</f>
        <v>54</v>
      </c>
      <c r="AB56" s="185">
        <f t="shared" ref="AB56:AB87" si="14">AA56/4</f>
        <v>13.5</v>
      </c>
      <c r="AC56" s="185">
        <f t="shared" ref="AC56:AC87" si="15">AB56*4</f>
        <v>54</v>
      </c>
      <c r="AD56" s="185">
        <f t="shared" ref="AD56:AD87" si="16">AC56*2</f>
        <v>108</v>
      </c>
    </row>
    <row r="57" spans="1:37" ht="15" customHeight="1" x14ac:dyDescent="0.25">
      <c r="A57" s="315">
        <f t="shared" si="6"/>
        <v>56</v>
      </c>
      <c r="B57" s="3" t="s">
        <v>1150</v>
      </c>
      <c r="C57" s="415">
        <v>104</v>
      </c>
      <c r="D57" s="359"/>
      <c r="E57" s="478"/>
      <c r="F57" s="359">
        <v>10</v>
      </c>
      <c r="G57" s="478">
        <v>5</v>
      </c>
      <c r="H57" s="359"/>
      <c r="I57" s="478"/>
      <c r="J57" s="359"/>
      <c r="K57" s="478"/>
      <c r="L57" s="359"/>
      <c r="M57" s="478"/>
      <c r="N57" s="561"/>
      <c r="O57" s="340">
        <f t="shared" si="11"/>
        <v>89</v>
      </c>
      <c r="P57" s="689">
        <f t="shared" si="12"/>
        <v>5</v>
      </c>
      <c r="Q57" s="7">
        <v>1</v>
      </c>
      <c r="R57" s="125"/>
      <c r="S57" s="118">
        <v>46447</v>
      </c>
      <c r="T57" s="316">
        <v>3</v>
      </c>
      <c r="U57" s="316"/>
      <c r="V57" s="199">
        <v>45627</v>
      </c>
      <c r="W57" s="309">
        <v>2</v>
      </c>
      <c r="X57" s="107">
        <v>20</v>
      </c>
      <c r="Y57" s="309">
        <v>5</v>
      </c>
      <c r="Z57" s="429">
        <v>20</v>
      </c>
      <c r="AA57" s="185">
        <f t="shared" si="13"/>
        <v>47</v>
      </c>
      <c r="AB57" s="185">
        <f t="shared" si="14"/>
        <v>11.75</v>
      </c>
      <c r="AC57" s="185">
        <f t="shared" si="15"/>
        <v>47</v>
      </c>
      <c r="AD57" s="185">
        <f t="shared" si="16"/>
        <v>94</v>
      </c>
    </row>
    <row r="58" spans="1:37" s="97" customFormat="1" ht="15" customHeight="1" x14ac:dyDescent="0.25">
      <c r="A58" s="315">
        <f t="shared" si="6"/>
        <v>57</v>
      </c>
      <c r="B58" s="3" t="s">
        <v>1151</v>
      </c>
      <c r="C58" s="415">
        <v>41</v>
      </c>
      <c r="D58" s="359"/>
      <c r="E58" s="478"/>
      <c r="F58" s="359"/>
      <c r="G58" s="478">
        <v>3</v>
      </c>
      <c r="H58" s="359"/>
      <c r="I58" s="478"/>
      <c r="J58" s="359"/>
      <c r="K58" s="478"/>
      <c r="L58" s="359"/>
      <c r="M58" s="478"/>
      <c r="N58" s="561"/>
      <c r="O58" s="340">
        <f t="shared" si="11"/>
        <v>38</v>
      </c>
      <c r="P58" s="438">
        <f t="shared" si="12"/>
        <v>4</v>
      </c>
      <c r="Q58" s="7">
        <v>2.8</v>
      </c>
      <c r="R58" s="28"/>
      <c r="S58" s="118">
        <v>46447</v>
      </c>
      <c r="T58" s="316">
        <v>0</v>
      </c>
      <c r="U58" s="316"/>
      <c r="V58" s="199">
        <v>45597</v>
      </c>
      <c r="W58" s="309">
        <v>7</v>
      </c>
      <c r="X58" s="107">
        <v>6</v>
      </c>
      <c r="Y58" s="309">
        <v>6</v>
      </c>
      <c r="Z58" s="429">
        <v>2</v>
      </c>
      <c r="AA58" s="185">
        <f t="shared" si="13"/>
        <v>21</v>
      </c>
      <c r="AB58" s="185">
        <f t="shared" si="14"/>
        <v>5.25</v>
      </c>
      <c r="AC58" s="185">
        <f t="shared" si="15"/>
        <v>21</v>
      </c>
      <c r="AD58" s="185">
        <f t="shared" si="16"/>
        <v>42</v>
      </c>
      <c r="AK58" s="185"/>
    </row>
    <row r="59" spans="1:37" ht="15" customHeight="1" x14ac:dyDescent="0.25">
      <c r="A59" s="315">
        <v>58</v>
      </c>
      <c r="B59" s="3" t="s">
        <v>1152</v>
      </c>
      <c r="C59" s="415">
        <v>14</v>
      </c>
      <c r="D59" s="359"/>
      <c r="E59" s="478"/>
      <c r="F59" s="359"/>
      <c r="G59" s="478">
        <v>1</v>
      </c>
      <c r="H59" s="359"/>
      <c r="I59" s="478"/>
      <c r="J59" s="359"/>
      <c r="K59" s="478">
        <v>1</v>
      </c>
      <c r="L59" s="359"/>
      <c r="M59" s="478"/>
      <c r="N59" s="561"/>
      <c r="O59" s="340">
        <f t="shared" si="11"/>
        <v>12</v>
      </c>
      <c r="P59" s="438">
        <f t="shared" si="12"/>
        <v>30</v>
      </c>
      <c r="Q59" s="7">
        <v>2.5</v>
      </c>
      <c r="R59" s="28"/>
      <c r="S59" s="118">
        <v>46113</v>
      </c>
      <c r="T59" s="316">
        <v>1</v>
      </c>
      <c r="U59" s="17">
        <v>16</v>
      </c>
      <c r="V59" s="344">
        <v>45717</v>
      </c>
      <c r="W59" s="309">
        <v>1</v>
      </c>
      <c r="X59" s="309">
        <v>15</v>
      </c>
      <c r="Y59" s="309">
        <v>4</v>
      </c>
      <c r="Z59" s="429">
        <v>1</v>
      </c>
      <c r="AA59" s="185">
        <f t="shared" si="13"/>
        <v>21</v>
      </c>
      <c r="AB59" s="185">
        <f t="shared" si="14"/>
        <v>5.25</v>
      </c>
      <c r="AC59" s="185">
        <f t="shared" si="15"/>
        <v>21</v>
      </c>
      <c r="AD59" s="185">
        <f t="shared" si="16"/>
        <v>42</v>
      </c>
    </row>
    <row r="60" spans="1:37" ht="15" customHeight="1" x14ac:dyDescent="0.25">
      <c r="A60" s="315">
        <f t="shared" si="6"/>
        <v>59</v>
      </c>
      <c r="B60" s="3" t="s">
        <v>159</v>
      </c>
      <c r="C60" s="415">
        <v>2</v>
      </c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340">
        <f t="shared" si="11"/>
        <v>2</v>
      </c>
      <c r="P60" s="438">
        <f t="shared" si="12"/>
        <v>8</v>
      </c>
      <c r="Q60" s="7">
        <v>55</v>
      </c>
      <c r="R60" s="28"/>
      <c r="S60" s="118">
        <v>46753</v>
      </c>
      <c r="T60" s="316">
        <v>0</v>
      </c>
      <c r="U60" s="316"/>
      <c r="V60" s="344">
        <v>45689</v>
      </c>
      <c r="W60" s="309">
        <v>1</v>
      </c>
      <c r="X60" s="309">
        <v>1</v>
      </c>
      <c r="Y60" s="309">
        <v>2</v>
      </c>
      <c r="Z60" s="429">
        <v>1</v>
      </c>
      <c r="AA60" s="185">
        <f t="shared" si="13"/>
        <v>5</v>
      </c>
      <c r="AB60" s="185">
        <f t="shared" si="14"/>
        <v>1.25</v>
      </c>
      <c r="AC60" s="185">
        <f t="shared" si="15"/>
        <v>5</v>
      </c>
      <c r="AD60" s="185">
        <f t="shared" si="16"/>
        <v>10</v>
      </c>
    </row>
    <row r="61" spans="1:37" ht="15" customHeight="1" x14ac:dyDescent="0.25">
      <c r="A61" s="315">
        <f t="shared" si="6"/>
        <v>60</v>
      </c>
      <c r="B61" s="3" t="s">
        <v>1153</v>
      </c>
      <c r="C61" s="415">
        <v>30</v>
      </c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340">
        <f t="shared" si="11"/>
        <v>30</v>
      </c>
      <c r="P61" s="438">
        <f t="shared" si="12"/>
        <v>6</v>
      </c>
      <c r="Q61" s="7">
        <v>3</v>
      </c>
      <c r="R61" s="207"/>
      <c r="S61" s="94">
        <v>46023</v>
      </c>
      <c r="T61" s="318">
        <v>0</v>
      </c>
      <c r="U61" s="318"/>
      <c r="V61" s="344">
        <v>45444</v>
      </c>
      <c r="W61" s="309">
        <v>1</v>
      </c>
      <c r="X61" s="309">
        <v>5</v>
      </c>
      <c r="Y61" s="309">
        <v>1</v>
      </c>
      <c r="Z61" s="309">
        <v>11</v>
      </c>
      <c r="AA61" s="185">
        <f t="shared" si="13"/>
        <v>18</v>
      </c>
      <c r="AB61" s="185">
        <f t="shared" si="14"/>
        <v>4.5</v>
      </c>
      <c r="AC61" s="185">
        <f t="shared" si="15"/>
        <v>18</v>
      </c>
      <c r="AD61" s="185">
        <f t="shared" si="16"/>
        <v>36</v>
      </c>
    </row>
    <row r="62" spans="1:37" ht="15" customHeight="1" x14ac:dyDescent="0.25">
      <c r="A62" s="315">
        <f t="shared" si="6"/>
        <v>61</v>
      </c>
      <c r="B62" s="3" t="s">
        <v>977</v>
      </c>
      <c r="C62" s="415">
        <v>1</v>
      </c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340">
        <f t="shared" si="11"/>
        <v>1</v>
      </c>
      <c r="P62" s="689">
        <f t="shared" si="12"/>
        <v>1</v>
      </c>
      <c r="Q62" s="7">
        <v>77</v>
      </c>
      <c r="R62" s="63"/>
      <c r="S62" s="118">
        <v>45931</v>
      </c>
      <c r="T62" s="316">
        <v>0</v>
      </c>
      <c r="U62" s="316"/>
      <c r="V62" s="344">
        <v>45536</v>
      </c>
      <c r="W62" s="309"/>
      <c r="X62" s="107">
        <v>1</v>
      </c>
      <c r="Y62" s="309"/>
      <c r="Z62" s="309"/>
      <c r="AA62" s="185">
        <f t="shared" si="13"/>
        <v>1</v>
      </c>
      <c r="AB62" s="185">
        <f t="shared" si="14"/>
        <v>0.25</v>
      </c>
      <c r="AC62" s="185">
        <f t="shared" si="15"/>
        <v>1</v>
      </c>
      <c r="AD62" s="185">
        <f t="shared" si="16"/>
        <v>2</v>
      </c>
    </row>
    <row r="63" spans="1:37" ht="15" customHeight="1" x14ac:dyDescent="0.25">
      <c r="A63" s="315">
        <f t="shared" si="6"/>
        <v>62</v>
      </c>
      <c r="B63" s="314" t="s">
        <v>878</v>
      </c>
      <c r="C63" s="415">
        <v>3</v>
      </c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340">
        <f t="shared" si="11"/>
        <v>3</v>
      </c>
      <c r="P63" s="438">
        <f t="shared" si="12"/>
        <v>3</v>
      </c>
      <c r="Q63" s="7">
        <v>19</v>
      </c>
      <c r="R63" s="63"/>
      <c r="S63" s="118">
        <v>46478</v>
      </c>
      <c r="T63" s="316">
        <v>0</v>
      </c>
      <c r="U63" s="316"/>
      <c r="V63" s="199">
        <v>45658</v>
      </c>
      <c r="W63" s="309"/>
      <c r="X63" s="107">
        <v>2</v>
      </c>
      <c r="Y63" s="309"/>
      <c r="Z63" s="309">
        <v>1</v>
      </c>
      <c r="AA63" s="185">
        <f t="shared" si="13"/>
        <v>3</v>
      </c>
      <c r="AB63" s="185">
        <f t="shared" si="14"/>
        <v>0.75</v>
      </c>
      <c r="AC63" s="185">
        <f t="shared" si="15"/>
        <v>3</v>
      </c>
      <c r="AD63" s="185">
        <f t="shared" si="16"/>
        <v>6</v>
      </c>
    </row>
    <row r="64" spans="1:37" ht="15" customHeight="1" x14ac:dyDescent="0.25">
      <c r="A64" s="315">
        <f t="shared" si="6"/>
        <v>63</v>
      </c>
      <c r="B64" s="314" t="s">
        <v>590</v>
      </c>
      <c r="C64" s="415">
        <v>1</v>
      </c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340">
        <f t="shared" si="11"/>
        <v>1</v>
      </c>
      <c r="P64" s="438">
        <f t="shared" si="12"/>
        <v>5</v>
      </c>
      <c r="Q64" s="7">
        <v>41</v>
      </c>
      <c r="R64" s="63"/>
      <c r="S64" s="118">
        <v>46539</v>
      </c>
      <c r="T64" s="316">
        <v>0</v>
      </c>
      <c r="U64" s="316"/>
      <c r="V64" s="344">
        <v>45658</v>
      </c>
      <c r="W64" s="309">
        <v>1</v>
      </c>
      <c r="X64" s="309"/>
      <c r="Y64" s="309">
        <v>1</v>
      </c>
      <c r="Z64" s="309">
        <v>1</v>
      </c>
      <c r="AA64" s="185">
        <f t="shared" si="13"/>
        <v>3</v>
      </c>
      <c r="AB64" s="185">
        <f t="shared" si="14"/>
        <v>0.75</v>
      </c>
      <c r="AC64" s="185">
        <f t="shared" si="15"/>
        <v>3</v>
      </c>
      <c r="AD64" s="185">
        <f t="shared" si="16"/>
        <v>6</v>
      </c>
    </row>
    <row r="65" spans="1:30" ht="15" customHeight="1" x14ac:dyDescent="0.25">
      <c r="A65" s="315">
        <f t="shared" si="6"/>
        <v>64</v>
      </c>
      <c r="B65" s="3" t="s">
        <v>324</v>
      </c>
      <c r="C65" s="415">
        <v>74</v>
      </c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340">
        <f t="shared" si="11"/>
        <v>74</v>
      </c>
      <c r="P65" s="340">
        <f t="shared" si="12"/>
        <v>-34</v>
      </c>
      <c r="Q65" s="7">
        <v>1.8</v>
      </c>
      <c r="R65" s="8" t="s">
        <v>455</v>
      </c>
      <c r="S65" s="440">
        <v>46082</v>
      </c>
      <c r="T65" s="316">
        <v>0</v>
      </c>
      <c r="U65" s="316"/>
      <c r="V65" s="344">
        <v>45566</v>
      </c>
      <c r="W65" s="309">
        <v>10</v>
      </c>
      <c r="X65" s="309">
        <v>2</v>
      </c>
      <c r="Y65" s="309">
        <v>2</v>
      </c>
      <c r="Z65" s="309">
        <v>6</v>
      </c>
      <c r="AA65" s="185">
        <f t="shared" si="13"/>
        <v>20</v>
      </c>
      <c r="AB65" s="185">
        <f t="shared" si="14"/>
        <v>5</v>
      </c>
      <c r="AC65" s="185">
        <f t="shared" si="15"/>
        <v>20</v>
      </c>
      <c r="AD65" s="185">
        <f t="shared" si="16"/>
        <v>40</v>
      </c>
    </row>
    <row r="66" spans="1:30" ht="15" customHeight="1" x14ac:dyDescent="0.25">
      <c r="A66" s="315">
        <f t="shared" si="6"/>
        <v>65</v>
      </c>
      <c r="B66" s="3" t="s">
        <v>68</v>
      </c>
      <c r="C66" s="415">
        <v>2</v>
      </c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340">
        <f t="shared" ref="O66:O97" si="17">SUM(C66-D66-E66-F66-G66-H66-I66-J66-K66-L66-M66-N66)</f>
        <v>2</v>
      </c>
      <c r="P66" s="438">
        <f t="shared" ref="P66:P97" si="18">AD66-O66</f>
        <v>18</v>
      </c>
      <c r="Q66" s="7">
        <v>18</v>
      </c>
      <c r="R66" s="125"/>
      <c r="S66" s="118">
        <v>46844</v>
      </c>
      <c r="T66" s="316">
        <v>6</v>
      </c>
      <c r="U66" s="17">
        <v>6</v>
      </c>
      <c r="V66" s="199">
        <v>45717</v>
      </c>
      <c r="W66" s="309">
        <v>2</v>
      </c>
      <c r="X66" s="107">
        <v>3</v>
      </c>
      <c r="Y66" s="309">
        <v>1</v>
      </c>
      <c r="Z66" s="309">
        <v>4</v>
      </c>
      <c r="AA66" s="185">
        <f t="shared" si="13"/>
        <v>10</v>
      </c>
      <c r="AB66" s="185">
        <f t="shared" si="14"/>
        <v>2.5</v>
      </c>
      <c r="AC66" s="185">
        <f t="shared" si="15"/>
        <v>10</v>
      </c>
      <c r="AD66" s="185">
        <f t="shared" si="16"/>
        <v>20</v>
      </c>
    </row>
    <row r="67" spans="1:30" ht="15" customHeight="1" x14ac:dyDescent="0.25">
      <c r="A67" s="315">
        <f t="shared" ref="A67:A130" si="19">A66+1</f>
        <v>66</v>
      </c>
      <c r="B67" s="314" t="s">
        <v>97</v>
      </c>
      <c r="C67" s="415">
        <v>34</v>
      </c>
      <c r="D67" s="361"/>
      <c r="E67" s="482"/>
      <c r="F67" s="361"/>
      <c r="G67" s="482"/>
      <c r="H67" s="361"/>
      <c r="I67" s="482"/>
      <c r="J67" s="361"/>
      <c r="K67" s="482"/>
      <c r="L67" s="359"/>
      <c r="M67" s="482"/>
      <c r="N67" s="563"/>
      <c r="O67" s="340">
        <f t="shared" si="17"/>
        <v>34</v>
      </c>
      <c r="P67" s="438">
        <f t="shared" si="18"/>
        <v>14</v>
      </c>
      <c r="Q67" s="44">
        <v>0.25</v>
      </c>
      <c r="R67" s="68"/>
      <c r="S67" s="118">
        <v>46266</v>
      </c>
      <c r="T67" s="316">
        <v>0</v>
      </c>
      <c r="U67" s="316"/>
      <c r="V67" s="344">
        <v>45292</v>
      </c>
      <c r="W67" s="309">
        <v>10</v>
      </c>
      <c r="X67" s="309">
        <v>6</v>
      </c>
      <c r="Y67" s="309">
        <v>4</v>
      </c>
      <c r="Z67" s="309">
        <v>4</v>
      </c>
      <c r="AA67" s="185">
        <f t="shared" si="13"/>
        <v>24</v>
      </c>
      <c r="AB67" s="185">
        <f t="shared" si="14"/>
        <v>6</v>
      </c>
      <c r="AC67" s="185">
        <f t="shared" si="15"/>
        <v>24</v>
      </c>
      <c r="AD67" s="185">
        <f t="shared" si="16"/>
        <v>48</v>
      </c>
    </row>
    <row r="68" spans="1:30" ht="15" customHeight="1" x14ac:dyDescent="0.25">
      <c r="A68" s="315">
        <f t="shared" si="19"/>
        <v>67</v>
      </c>
      <c r="B68" s="314" t="s">
        <v>954</v>
      </c>
      <c r="C68" s="415">
        <v>127</v>
      </c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340">
        <f t="shared" si="17"/>
        <v>127</v>
      </c>
      <c r="P68" s="340">
        <f t="shared" si="18"/>
        <v>-39</v>
      </c>
      <c r="Q68" s="7">
        <v>0.25</v>
      </c>
      <c r="R68" s="125"/>
      <c r="S68" s="118">
        <v>46569</v>
      </c>
      <c r="T68" s="316">
        <v>0</v>
      </c>
      <c r="U68" s="316"/>
      <c r="V68" s="344">
        <v>45292</v>
      </c>
      <c r="W68" s="309">
        <v>20</v>
      </c>
      <c r="X68" s="309">
        <v>4</v>
      </c>
      <c r="Y68" s="309">
        <v>12</v>
      </c>
      <c r="Z68" s="309">
        <v>8</v>
      </c>
      <c r="AA68" s="185">
        <f t="shared" si="13"/>
        <v>44</v>
      </c>
      <c r="AB68" s="185">
        <f t="shared" si="14"/>
        <v>11</v>
      </c>
      <c r="AC68" s="185">
        <f t="shared" si="15"/>
        <v>44</v>
      </c>
      <c r="AD68" s="185">
        <f t="shared" si="16"/>
        <v>88</v>
      </c>
    </row>
    <row r="69" spans="1:30" ht="15" customHeight="1" x14ac:dyDescent="0.25">
      <c r="A69" s="315">
        <f t="shared" si="19"/>
        <v>68</v>
      </c>
      <c r="B69" s="314" t="s">
        <v>1154</v>
      </c>
      <c r="C69" s="415">
        <v>33</v>
      </c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340">
        <f t="shared" si="17"/>
        <v>33</v>
      </c>
      <c r="P69" s="438">
        <f t="shared" si="18"/>
        <v>41</v>
      </c>
      <c r="Q69" s="7">
        <v>3</v>
      </c>
      <c r="R69" s="28"/>
      <c r="S69" s="118">
        <v>46692</v>
      </c>
      <c r="T69" s="316">
        <v>1</v>
      </c>
      <c r="U69" s="316"/>
      <c r="V69" s="344">
        <v>45689</v>
      </c>
      <c r="W69" s="309">
        <v>10</v>
      </c>
      <c r="X69" s="309">
        <v>7</v>
      </c>
      <c r="Y69" s="309">
        <v>10</v>
      </c>
      <c r="Z69" s="309">
        <v>10</v>
      </c>
      <c r="AA69" s="185">
        <f t="shared" si="13"/>
        <v>37</v>
      </c>
      <c r="AB69" s="185">
        <f t="shared" si="14"/>
        <v>9.25</v>
      </c>
      <c r="AC69" s="185">
        <f t="shared" si="15"/>
        <v>37</v>
      </c>
      <c r="AD69" s="185">
        <f t="shared" si="16"/>
        <v>74</v>
      </c>
    </row>
    <row r="70" spans="1:30" ht="15" customHeight="1" x14ac:dyDescent="0.25">
      <c r="A70" s="315">
        <f t="shared" si="19"/>
        <v>69</v>
      </c>
      <c r="B70" s="314" t="s">
        <v>60</v>
      </c>
      <c r="C70" s="415">
        <v>1</v>
      </c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340">
        <f t="shared" si="17"/>
        <v>1</v>
      </c>
      <c r="P70" s="438">
        <f t="shared" si="18"/>
        <v>7</v>
      </c>
      <c r="Q70" s="7">
        <v>69</v>
      </c>
      <c r="R70" s="315"/>
      <c r="S70" s="118">
        <v>45931</v>
      </c>
      <c r="T70" s="316">
        <v>0</v>
      </c>
      <c r="U70" s="316"/>
      <c r="V70" s="331">
        <v>44896</v>
      </c>
      <c r="W70" s="309">
        <v>1</v>
      </c>
      <c r="X70" s="309">
        <v>2</v>
      </c>
      <c r="Y70" s="309"/>
      <c r="Z70" s="309">
        <v>1</v>
      </c>
      <c r="AA70" s="185">
        <f t="shared" si="13"/>
        <v>4</v>
      </c>
      <c r="AB70" s="185">
        <f t="shared" si="14"/>
        <v>1</v>
      </c>
      <c r="AC70" s="185">
        <f t="shared" si="15"/>
        <v>4</v>
      </c>
      <c r="AD70" s="185">
        <f t="shared" si="16"/>
        <v>8</v>
      </c>
    </row>
    <row r="71" spans="1:30" ht="15" customHeight="1" x14ac:dyDescent="0.25">
      <c r="A71" s="315">
        <f t="shared" si="19"/>
        <v>70</v>
      </c>
      <c r="B71" s="651" t="s">
        <v>73</v>
      </c>
      <c r="C71" s="658">
        <v>1</v>
      </c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340">
        <f t="shared" si="17"/>
        <v>1</v>
      </c>
      <c r="P71" s="438">
        <f t="shared" si="18"/>
        <v>7</v>
      </c>
      <c r="Q71" s="7">
        <v>40</v>
      </c>
      <c r="R71" s="63"/>
      <c r="S71" s="659">
        <v>45870</v>
      </c>
      <c r="T71" s="316">
        <v>1</v>
      </c>
      <c r="U71" s="316"/>
      <c r="V71" s="118">
        <v>45200</v>
      </c>
      <c r="W71" s="309">
        <v>1</v>
      </c>
      <c r="X71" s="309">
        <v>1</v>
      </c>
      <c r="Y71" s="309">
        <v>1</v>
      </c>
      <c r="Z71" s="309">
        <v>1</v>
      </c>
      <c r="AA71" s="185">
        <f t="shared" si="13"/>
        <v>4</v>
      </c>
      <c r="AB71" s="185">
        <f t="shared" si="14"/>
        <v>1</v>
      </c>
      <c r="AC71" s="185">
        <f t="shared" si="15"/>
        <v>4</v>
      </c>
      <c r="AD71" s="185">
        <f t="shared" si="16"/>
        <v>8</v>
      </c>
    </row>
    <row r="72" spans="1:30" ht="14.25" customHeight="1" x14ac:dyDescent="0.25">
      <c r="A72" s="315">
        <f t="shared" si="19"/>
        <v>71</v>
      </c>
      <c r="B72" s="314" t="s">
        <v>633</v>
      </c>
      <c r="C72" s="415">
        <v>1</v>
      </c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340">
        <f t="shared" si="17"/>
        <v>1</v>
      </c>
      <c r="P72" s="438">
        <f t="shared" si="18"/>
        <v>5</v>
      </c>
      <c r="Q72" s="7">
        <v>61</v>
      </c>
      <c r="R72" s="63"/>
      <c r="S72" s="118">
        <v>46204</v>
      </c>
      <c r="T72" s="316">
        <v>0</v>
      </c>
      <c r="U72" s="316"/>
      <c r="V72" s="344">
        <v>45597</v>
      </c>
      <c r="W72" s="309">
        <v>1</v>
      </c>
      <c r="X72" s="309">
        <v>1</v>
      </c>
      <c r="Y72" s="309"/>
      <c r="Z72" s="309">
        <v>1</v>
      </c>
      <c r="AA72" s="185">
        <f t="shared" si="13"/>
        <v>3</v>
      </c>
      <c r="AB72" s="185">
        <f t="shared" si="14"/>
        <v>0.75</v>
      </c>
      <c r="AC72" s="185">
        <f t="shared" si="15"/>
        <v>3</v>
      </c>
      <c r="AD72" s="185">
        <f t="shared" si="16"/>
        <v>6</v>
      </c>
    </row>
    <row r="73" spans="1:30" ht="15" customHeight="1" x14ac:dyDescent="0.25">
      <c r="A73" s="315">
        <f t="shared" si="19"/>
        <v>72</v>
      </c>
      <c r="B73" s="314" t="s">
        <v>408</v>
      </c>
      <c r="C73" s="280">
        <v>1</v>
      </c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340">
        <f t="shared" si="17"/>
        <v>1</v>
      </c>
      <c r="P73" s="438">
        <f t="shared" si="18"/>
        <v>7</v>
      </c>
      <c r="Q73" s="7">
        <v>38</v>
      </c>
      <c r="R73" s="125"/>
      <c r="S73" s="118">
        <v>46357</v>
      </c>
      <c r="T73" s="316">
        <v>0</v>
      </c>
      <c r="U73" s="316"/>
      <c r="V73" s="118">
        <v>45658</v>
      </c>
      <c r="W73" s="309">
        <v>1</v>
      </c>
      <c r="X73" s="309">
        <v>1</v>
      </c>
      <c r="Y73" s="309">
        <v>1</v>
      </c>
      <c r="Z73" s="309">
        <v>1</v>
      </c>
      <c r="AA73" s="185">
        <f t="shared" si="13"/>
        <v>4</v>
      </c>
      <c r="AB73" s="185">
        <f t="shared" si="14"/>
        <v>1</v>
      </c>
      <c r="AC73" s="185">
        <f t="shared" si="15"/>
        <v>4</v>
      </c>
      <c r="AD73" s="185">
        <f t="shared" si="16"/>
        <v>8</v>
      </c>
    </row>
    <row r="74" spans="1:30" ht="15" customHeight="1" x14ac:dyDescent="0.25">
      <c r="A74" s="315">
        <f t="shared" si="19"/>
        <v>73</v>
      </c>
      <c r="B74" s="314" t="s">
        <v>75</v>
      </c>
      <c r="C74" s="340">
        <v>33</v>
      </c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340">
        <f t="shared" si="17"/>
        <v>33</v>
      </c>
      <c r="P74" s="438">
        <f t="shared" si="18"/>
        <v>37</v>
      </c>
      <c r="Q74" s="7">
        <v>1.8</v>
      </c>
      <c r="R74" s="63"/>
      <c r="S74" s="118">
        <v>46784</v>
      </c>
      <c r="T74" s="316">
        <v>1</v>
      </c>
      <c r="U74" s="316"/>
      <c r="V74" s="118">
        <v>45536</v>
      </c>
      <c r="W74" s="309">
        <v>1</v>
      </c>
      <c r="X74" s="309">
        <v>20</v>
      </c>
      <c r="Y74" s="309">
        <v>4</v>
      </c>
      <c r="Z74" s="309">
        <v>10</v>
      </c>
      <c r="AA74" s="185">
        <f t="shared" si="13"/>
        <v>35</v>
      </c>
      <c r="AB74" s="185">
        <f t="shared" si="14"/>
        <v>8.75</v>
      </c>
      <c r="AC74" s="185">
        <f t="shared" si="15"/>
        <v>35</v>
      </c>
      <c r="AD74" s="185">
        <f t="shared" si="16"/>
        <v>70</v>
      </c>
    </row>
    <row r="75" spans="1:30" ht="15" customHeight="1" x14ac:dyDescent="0.25">
      <c r="A75" s="315">
        <f t="shared" si="19"/>
        <v>74</v>
      </c>
      <c r="B75" s="314" t="s">
        <v>1415</v>
      </c>
      <c r="C75" s="415">
        <v>0</v>
      </c>
      <c r="D75" s="367"/>
      <c r="E75" s="479"/>
      <c r="F75" s="364"/>
      <c r="G75" s="486"/>
      <c r="H75" s="364"/>
      <c r="I75" s="486"/>
      <c r="J75" s="364"/>
      <c r="K75" s="486"/>
      <c r="L75" s="364"/>
      <c r="M75" s="486"/>
      <c r="N75" s="568"/>
      <c r="O75" s="340">
        <f t="shared" si="17"/>
        <v>0</v>
      </c>
      <c r="P75" s="438">
        <f t="shared" si="18"/>
        <v>0</v>
      </c>
      <c r="Q75" s="7">
        <v>1</v>
      </c>
      <c r="R75" s="91"/>
      <c r="S75" s="112"/>
      <c r="T75" s="322"/>
      <c r="U75" s="322"/>
      <c r="V75" s="201"/>
      <c r="W75" s="203"/>
      <c r="X75" s="202"/>
      <c r="Y75" s="189"/>
      <c r="Z75" s="203"/>
      <c r="AA75" s="185">
        <f t="shared" si="13"/>
        <v>0</v>
      </c>
      <c r="AB75" s="185">
        <f t="shared" si="14"/>
        <v>0</v>
      </c>
      <c r="AC75" s="185">
        <f t="shared" si="15"/>
        <v>0</v>
      </c>
      <c r="AD75" s="185">
        <f t="shared" si="16"/>
        <v>0</v>
      </c>
    </row>
    <row r="76" spans="1:30" ht="15" customHeight="1" x14ac:dyDescent="0.25">
      <c r="A76" s="315">
        <f t="shared" si="19"/>
        <v>75</v>
      </c>
      <c r="B76" s="4" t="s">
        <v>278</v>
      </c>
      <c r="C76" s="415">
        <v>4</v>
      </c>
      <c r="D76" s="374"/>
      <c r="E76" s="498"/>
      <c r="F76" s="359"/>
      <c r="G76" s="478"/>
      <c r="H76" s="359"/>
      <c r="I76" s="478"/>
      <c r="J76" s="359"/>
      <c r="K76" s="478"/>
      <c r="L76" s="359"/>
      <c r="M76" s="478"/>
      <c r="N76" s="561"/>
      <c r="O76" s="340">
        <f t="shared" si="17"/>
        <v>4</v>
      </c>
      <c r="P76" s="438">
        <f t="shared" si="18"/>
        <v>8</v>
      </c>
      <c r="Q76" s="7">
        <v>19</v>
      </c>
      <c r="R76" s="63"/>
      <c r="S76" s="344">
        <v>46296</v>
      </c>
      <c r="T76" s="318">
        <v>9</v>
      </c>
      <c r="U76" s="318"/>
      <c r="V76" s="344">
        <v>45689</v>
      </c>
      <c r="W76" s="309">
        <v>2</v>
      </c>
      <c r="X76" s="309">
        <v>2</v>
      </c>
      <c r="Y76" s="309">
        <v>1</v>
      </c>
      <c r="Z76" s="309">
        <v>1</v>
      </c>
      <c r="AA76" s="185">
        <f t="shared" si="13"/>
        <v>6</v>
      </c>
      <c r="AB76" s="185">
        <f t="shared" si="14"/>
        <v>1.5</v>
      </c>
      <c r="AC76" s="185">
        <f t="shared" si="15"/>
        <v>6</v>
      </c>
      <c r="AD76" s="185">
        <f t="shared" si="16"/>
        <v>12</v>
      </c>
    </row>
    <row r="77" spans="1:30" ht="15" customHeight="1" x14ac:dyDescent="0.25">
      <c r="A77" s="315">
        <f t="shared" si="19"/>
        <v>76</v>
      </c>
      <c r="B77" s="314" t="s">
        <v>1156</v>
      </c>
      <c r="C77" s="415">
        <v>26</v>
      </c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340">
        <f t="shared" si="17"/>
        <v>26</v>
      </c>
      <c r="P77" s="438">
        <f t="shared" si="18"/>
        <v>26</v>
      </c>
      <c r="Q77" s="7">
        <v>4</v>
      </c>
      <c r="R77" s="125" t="s">
        <v>743</v>
      </c>
      <c r="S77" s="118">
        <v>46113</v>
      </c>
      <c r="T77" s="316">
        <v>0</v>
      </c>
      <c r="U77" s="316"/>
      <c r="V77" s="344">
        <v>45658</v>
      </c>
      <c r="W77" s="309">
        <v>1</v>
      </c>
      <c r="X77" s="309">
        <v>6</v>
      </c>
      <c r="Y77" s="309">
        <v>10</v>
      </c>
      <c r="Z77" s="309">
        <v>9</v>
      </c>
      <c r="AA77" s="185">
        <f t="shared" si="13"/>
        <v>26</v>
      </c>
      <c r="AB77" s="185">
        <f t="shared" si="14"/>
        <v>6.5</v>
      </c>
      <c r="AC77" s="185">
        <f t="shared" si="15"/>
        <v>26</v>
      </c>
      <c r="AD77" s="185">
        <f t="shared" si="16"/>
        <v>52</v>
      </c>
    </row>
    <row r="78" spans="1:30" ht="15" customHeight="1" x14ac:dyDescent="0.25">
      <c r="A78" s="315">
        <f t="shared" si="19"/>
        <v>77</v>
      </c>
      <c r="B78" s="314" t="s">
        <v>1157</v>
      </c>
      <c r="C78" s="415">
        <v>200</v>
      </c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340">
        <f t="shared" si="17"/>
        <v>200</v>
      </c>
      <c r="P78" s="340">
        <f t="shared" si="18"/>
        <v>-152</v>
      </c>
      <c r="Q78" s="7">
        <v>1</v>
      </c>
      <c r="R78" s="8"/>
      <c r="S78" s="129">
        <v>46753</v>
      </c>
      <c r="T78" s="316">
        <v>0</v>
      </c>
      <c r="U78" s="316"/>
      <c r="V78" s="199">
        <v>45689</v>
      </c>
      <c r="W78" s="309">
        <v>4</v>
      </c>
      <c r="X78" s="107">
        <v>4</v>
      </c>
      <c r="Y78" s="309">
        <v>4</v>
      </c>
      <c r="Z78" s="309">
        <v>12</v>
      </c>
      <c r="AA78" s="185">
        <f t="shared" si="13"/>
        <v>24</v>
      </c>
      <c r="AB78" s="185">
        <f t="shared" si="14"/>
        <v>6</v>
      </c>
      <c r="AC78" s="185">
        <f t="shared" si="15"/>
        <v>24</v>
      </c>
      <c r="AD78" s="185">
        <f t="shared" si="16"/>
        <v>48</v>
      </c>
    </row>
    <row r="79" spans="1:30" ht="15" customHeight="1" x14ac:dyDescent="0.25">
      <c r="A79" s="315">
        <f t="shared" si="19"/>
        <v>78</v>
      </c>
      <c r="B79" s="314" t="s">
        <v>1158</v>
      </c>
      <c r="C79" s="280">
        <v>0</v>
      </c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340">
        <f t="shared" si="17"/>
        <v>0</v>
      </c>
      <c r="P79" s="438">
        <f t="shared" si="18"/>
        <v>48</v>
      </c>
      <c r="Q79" s="7">
        <v>0.5</v>
      </c>
      <c r="R79" s="63"/>
      <c r="S79" s="118"/>
      <c r="T79" s="316">
        <v>0</v>
      </c>
      <c r="U79" s="316"/>
      <c r="V79" s="331">
        <v>44774</v>
      </c>
      <c r="W79" s="309">
        <v>8</v>
      </c>
      <c r="X79" s="309">
        <v>6</v>
      </c>
      <c r="Y79" s="309">
        <v>6</v>
      </c>
      <c r="Z79" s="309">
        <v>4</v>
      </c>
      <c r="AA79" s="185">
        <f t="shared" si="13"/>
        <v>24</v>
      </c>
      <c r="AB79" s="185">
        <f t="shared" si="14"/>
        <v>6</v>
      </c>
      <c r="AC79" s="185">
        <f t="shared" si="15"/>
        <v>24</v>
      </c>
      <c r="AD79" s="185">
        <f t="shared" si="16"/>
        <v>48</v>
      </c>
    </row>
    <row r="80" spans="1:30" ht="15" customHeight="1" x14ac:dyDescent="0.25">
      <c r="A80" s="315">
        <f t="shared" si="19"/>
        <v>79</v>
      </c>
      <c r="B80" s="314" t="s">
        <v>153</v>
      </c>
      <c r="C80" s="415">
        <v>2</v>
      </c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340">
        <f t="shared" si="17"/>
        <v>2</v>
      </c>
      <c r="P80" s="438">
        <f t="shared" si="18"/>
        <v>8</v>
      </c>
      <c r="Q80" s="7">
        <v>9</v>
      </c>
      <c r="R80" s="63"/>
      <c r="S80" s="129">
        <v>46054</v>
      </c>
      <c r="T80" s="323">
        <v>3</v>
      </c>
      <c r="U80" s="323"/>
      <c r="V80" s="344">
        <v>45597</v>
      </c>
      <c r="W80" s="309">
        <v>2</v>
      </c>
      <c r="X80" s="309">
        <v>1</v>
      </c>
      <c r="Y80" s="309">
        <v>1</v>
      </c>
      <c r="Z80" s="309">
        <v>1</v>
      </c>
      <c r="AA80" s="185">
        <f t="shared" si="13"/>
        <v>5</v>
      </c>
      <c r="AB80" s="185">
        <f t="shared" si="14"/>
        <v>1.25</v>
      </c>
      <c r="AC80" s="185">
        <f t="shared" si="15"/>
        <v>5</v>
      </c>
      <c r="AD80" s="185">
        <f t="shared" si="16"/>
        <v>10</v>
      </c>
    </row>
    <row r="81" spans="1:30" ht="15" customHeight="1" x14ac:dyDescent="0.25">
      <c r="A81" s="315">
        <f t="shared" si="19"/>
        <v>80</v>
      </c>
      <c r="B81" s="3" t="s">
        <v>122</v>
      </c>
      <c r="C81" s="415">
        <v>3</v>
      </c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340">
        <f t="shared" si="17"/>
        <v>3</v>
      </c>
      <c r="P81" s="438">
        <f t="shared" si="18"/>
        <v>7</v>
      </c>
      <c r="Q81" s="7">
        <v>18</v>
      </c>
      <c r="R81" s="8"/>
      <c r="S81" s="118">
        <v>46327</v>
      </c>
      <c r="T81" s="316">
        <v>3</v>
      </c>
      <c r="U81" s="17"/>
      <c r="V81" s="199">
        <v>45689</v>
      </c>
      <c r="W81" s="309">
        <v>1</v>
      </c>
      <c r="X81" s="107">
        <v>2</v>
      </c>
      <c r="Y81" s="309">
        <v>1</v>
      </c>
      <c r="Z81" s="309">
        <v>1</v>
      </c>
      <c r="AA81" s="185">
        <f t="shared" si="13"/>
        <v>5</v>
      </c>
      <c r="AB81" s="185">
        <f t="shared" si="14"/>
        <v>1.25</v>
      </c>
      <c r="AC81" s="185">
        <f t="shared" si="15"/>
        <v>5</v>
      </c>
      <c r="AD81" s="185">
        <f t="shared" si="16"/>
        <v>10</v>
      </c>
    </row>
    <row r="82" spans="1:30" ht="15" customHeight="1" x14ac:dyDescent="0.25">
      <c r="A82" s="315">
        <f t="shared" si="19"/>
        <v>81</v>
      </c>
      <c r="B82" s="3" t="s">
        <v>1098</v>
      </c>
      <c r="C82" s="415">
        <v>6</v>
      </c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340">
        <f t="shared" si="17"/>
        <v>6</v>
      </c>
      <c r="P82" s="438">
        <f t="shared" si="18"/>
        <v>8</v>
      </c>
      <c r="Q82" s="7">
        <v>14</v>
      </c>
      <c r="R82" s="63"/>
      <c r="S82" s="118">
        <v>46054</v>
      </c>
      <c r="T82" s="316">
        <v>0</v>
      </c>
      <c r="U82" s="17"/>
      <c r="V82" s="118">
        <v>45627</v>
      </c>
      <c r="W82" s="309">
        <v>1</v>
      </c>
      <c r="X82" s="309">
        <v>2</v>
      </c>
      <c r="Y82" s="309">
        <v>3</v>
      </c>
      <c r="Z82" s="309">
        <v>1</v>
      </c>
      <c r="AA82" s="185">
        <f t="shared" si="13"/>
        <v>7</v>
      </c>
      <c r="AB82" s="185">
        <f t="shared" si="14"/>
        <v>1.75</v>
      </c>
      <c r="AC82" s="185">
        <f t="shared" si="15"/>
        <v>7</v>
      </c>
      <c r="AD82" s="185">
        <f t="shared" si="16"/>
        <v>14</v>
      </c>
    </row>
    <row r="83" spans="1:30" ht="15" customHeight="1" x14ac:dyDescent="0.25">
      <c r="A83" s="315">
        <f t="shared" si="19"/>
        <v>82</v>
      </c>
      <c r="B83" s="314" t="s">
        <v>85</v>
      </c>
      <c r="C83" s="415">
        <v>5</v>
      </c>
      <c r="D83" s="359"/>
      <c r="E83" s="478"/>
      <c r="F83" s="359"/>
      <c r="G83" s="478">
        <v>1</v>
      </c>
      <c r="H83" s="359"/>
      <c r="I83" s="478"/>
      <c r="J83" s="359"/>
      <c r="K83" s="478">
        <v>1</v>
      </c>
      <c r="L83" s="359"/>
      <c r="M83" s="478"/>
      <c r="N83" s="561"/>
      <c r="O83" s="340">
        <f t="shared" si="17"/>
        <v>3</v>
      </c>
      <c r="P83" s="438">
        <f t="shared" si="18"/>
        <v>13</v>
      </c>
      <c r="Q83" s="7">
        <v>7</v>
      </c>
      <c r="R83" s="63"/>
      <c r="S83" s="28"/>
      <c r="T83" s="316">
        <v>7</v>
      </c>
      <c r="U83" s="316">
        <v>6</v>
      </c>
      <c r="V83" s="344">
        <v>45717</v>
      </c>
      <c r="W83" s="309">
        <v>1</v>
      </c>
      <c r="X83" s="309">
        <v>2</v>
      </c>
      <c r="Y83" s="309">
        <v>3</v>
      </c>
      <c r="Z83" s="309">
        <v>2</v>
      </c>
      <c r="AA83" s="185">
        <f t="shared" si="13"/>
        <v>8</v>
      </c>
      <c r="AB83" s="185">
        <f t="shared" si="14"/>
        <v>2</v>
      </c>
      <c r="AC83" s="185">
        <f t="shared" si="15"/>
        <v>8</v>
      </c>
      <c r="AD83" s="185">
        <f t="shared" si="16"/>
        <v>16</v>
      </c>
    </row>
    <row r="84" spans="1:30" ht="15" customHeight="1" x14ac:dyDescent="0.25">
      <c r="A84" s="315">
        <f t="shared" si="19"/>
        <v>83</v>
      </c>
      <c r="B84" s="3" t="s">
        <v>262</v>
      </c>
      <c r="C84" s="415">
        <v>3</v>
      </c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340">
        <f t="shared" si="17"/>
        <v>3</v>
      </c>
      <c r="P84" s="438">
        <f t="shared" si="18"/>
        <v>5</v>
      </c>
      <c r="Q84" s="7">
        <v>29</v>
      </c>
      <c r="R84" s="63"/>
      <c r="S84" s="118"/>
      <c r="T84" s="316">
        <v>2</v>
      </c>
      <c r="U84" s="17"/>
      <c r="V84" s="344">
        <v>45689</v>
      </c>
      <c r="W84" s="309">
        <v>1</v>
      </c>
      <c r="X84" s="309">
        <v>1</v>
      </c>
      <c r="Y84" s="309">
        <v>1</v>
      </c>
      <c r="Z84" s="309">
        <v>1</v>
      </c>
      <c r="AA84" s="185">
        <f t="shared" si="13"/>
        <v>4</v>
      </c>
      <c r="AB84" s="185">
        <f t="shared" si="14"/>
        <v>1</v>
      </c>
      <c r="AC84" s="185">
        <f t="shared" si="15"/>
        <v>4</v>
      </c>
      <c r="AD84" s="185">
        <f t="shared" si="16"/>
        <v>8</v>
      </c>
    </row>
    <row r="85" spans="1:30" ht="15" customHeight="1" x14ac:dyDescent="0.25">
      <c r="A85" s="315">
        <f t="shared" si="19"/>
        <v>84</v>
      </c>
      <c r="B85" s="3" t="s">
        <v>629</v>
      </c>
      <c r="C85" s="415">
        <v>2</v>
      </c>
      <c r="D85" s="359"/>
      <c r="E85" s="478"/>
      <c r="F85" s="361"/>
      <c r="G85" s="482"/>
      <c r="H85" s="359"/>
      <c r="I85" s="478"/>
      <c r="J85" s="359"/>
      <c r="K85" s="478"/>
      <c r="L85" s="359"/>
      <c r="M85" s="478"/>
      <c r="N85" s="561"/>
      <c r="O85" s="340">
        <f t="shared" si="17"/>
        <v>2</v>
      </c>
      <c r="P85" s="438">
        <f t="shared" si="18"/>
        <v>6</v>
      </c>
      <c r="Q85" s="7">
        <v>12</v>
      </c>
      <c r="R85" s="63"/>
      <c r="S85" s="118">
        <v>47209</v>
      </c>
      <c r="T85" s="316">
        <v>1</v>
      </c>
      <c r="U85" s="17"/>
      <c r="V85" s="344">
        <v>45658</v>
      </c>
      <c r="W85" s="309">
        <v>1</v>
      </c>
      <c r="X85" s="309">
        <v>1</v>
      </c>
      <c r="Y85" s="309">
        <v>1</v>
      </c>
      <c r="Z85" s="309">
        <v>1</v>
      </c>
      <c r="AA85" s="185">
        <f t="shared" si="13"/>
        <v>4</v>
      </c>
      <c r="AB85" s="185">
        <f t="shared" si="14"/>
        <v>1</v>
      </c>
      <c r="AC85" s="185">
        <f t="shared" si="15"/>
        <v>4</v>
      </c>
      <c r="AD85" s="185">
        <f t="shared" si="16"/>
        <v>8</v>
      </c>
    </row>
    <row r="86" spans="1:30" ht="15" customHeight="1" x14ac:dyDescent="0.25">
      <c r="A86" s="315">
        <f t="shared" si="19"/>
        <v>85</v>
      </c>
      <c r="B86" s="314" t="s">
        <v>148</v>
      </c>
      <c r="C86" s="415">
        <v>2</v>
      </c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340">
        <f t="shared" si="17"/>
        <v>2</v>
      </c>
      <c r="P86" s="438">
        <f t="shared" si="18"/>
        <v>6</v>
      </c>
      <c r="Q86" s="7">
        <v>13</v>
      </c>
      <c r="R86" s="63"/>
      <c r="S86" s="118">
        <v>47239</v>
      </c>
      <c r="T86" s="316">
        <v>1</v>
      </c>
      <c r="U86" s="17"/>
      <c r="V86" s="199">
        <v>45658</v>
      </c>
      <c r="W86" s="309">
        <v>1</v>
      </c>
      <c r="X86" s="107">
        <v>1</v>
      </c>
      <c r="Y86" s="309">
        <v>1</v>
      </c>
      <c r="Z86" s="309">
        <v>1</v>
      </c>
      <c r="AA86" s="185">
        <f t="shared" si="13"/>
        <v>4</v>
      </c>
      <c r="AB86" s="185">
        <f t="shared" si="14"/>
        <v>1</v>
      </c>
      <c r="AC86" s="185">
        <f t="shared" si="15"/>
        <v>4</v>
      </c>
      <c r="AD86" s="185">
        <f t="shared" si="16"/>
        <v>8</v>
      </c>
    </row>
    <row r="87" spans="1:30" ht="15" customHeight="1" x14ac:dyDescent="0.25">
      <c r="A87" s="315">
        <f t="shared" si="19"/>
        <v>86</v>
      </c>
      <c r="B87" s="3" t="s">
        <v>637</v>
      </c>
      <c r="C87" s="415">
        <v>0</v>
      </c>
      <c r="D87" s="359"/>
      <c r="E87" s="478"/>
      <c r="F87" s="361"/>
      <c r="G87" s="482"/>
      <c r="H87" s="359"/>
      <c r="I87" s="478"/>
      <c r="J87" s="359"/>
      <c r="K87" s="478"/>
      <c r="L87" s="359"/>
      <c r="M87" s="478"/>
      <c r="N87" s="561"/>
      <c r="O87" s="340">
        <f t="shared" si="17"/>
        <v>0</v>
      </c>
      <c r="P87" s="438">
        <f t="shared" si="18"/>
        <v>10</v>
      </c>
      <c r="Q87" s="7">
        <v>9</v>
      </c>
      <c r="R87" s="8"/>
      <c r="S87" s="118">
        <v>47300</v>
      </c>
      <c r="T87" s="316">
        <v>0</v>
      </c>
      <c r="U87" s="17"/>
      <c r="V87" s="344">
        <v>45658</v>
      </c>
      <c r="W87" s="309">
        <v>1</v>
      </c>
      <c r="X87" s="309">
        <v>2</v>
      </c>
      <c r="Y87" s="309">
        <v>1</v>
      </c>
      <c r="Z87" s="309">
        <v>1</v>
      </c>
      <c r="AA87" s="185">
        <f t="shared" si="13"/>
        <v>5</v>
      </c>
      <c r="AB87" s="185">
        <f t="shared" si="14"/>
        <v>1.25</v>
      </c>
      <c r="AC87" s="185">
        <f t="shared" si="15"/>
        <v>5</v>
      </c>
      <c r="AD87" s="185">
        <f t="shared" si="16"/>
        <v>10</v>
      </c>
    </row>
    <row r="88" spans="1:30" ht="15" customHeight="1" x14ac:dyDescent="0.25">
      <c r="A88" s="315">
        <f t="shared" si="19"/>
        <v>87</v>
      </c>
      <c r="B88" s="3" t="s">
        <v>283</v>
      </c>
      <c r="C88" s="415">
        <v>2</v>
      </c>
      <c r="D88" s="359"/>
      <c r="E88" s="478"/>
      <c r="F88" s="359"/>
      <c r="G88" s="478"/>
      <c r="H88" s="359">
        <v>1</v>
      </c>
      <c r="I88" s="478"/>
      <c r="J88" s="359"/>
      <c r="K88" s="478"/>
      <c r="L88" s="359"/>
      <c r="M88" s="478"/>
      <c r="N88" s="561"/>
      <c r="O88" s="340">
        <f t="shared" si="17"/>
        <v>1</v>
      </c>
      <c r="P88" s="438">
        <f t="shared" si="18"/>
        <v>7</v>
      </c>
      <c r="Q88" s="7">
        <v>22</v>
      </c>
      <c r="R88" s="8"/>
      <c r="S88" s="118">
        <v>47270</v>
      </c>
      <c r="T88" s="316">
        <v>4</v>
      </c>
      <c r="U88" s="17"/>
      <c r="V88" s="344">
        <v>45689</v>
      </c>
      <c r="W88" s="309">
        <v>1</v>
      </c>
      <c r="X88" s="107">
        <v>1</v>
      </c>
      <c r="Y88" s="309">
        <v>1</v>
      </c>
      <c r="Z88" s="309">
        <v>1</v>
      </c>
      <c r="AA88" s="185">
        <f t="shared" ref="AA88:AA119" si="20">W88+X88+Y88+Z88</f>
        <v>4</v>
      </c>
      <c r="AB88" s="185">
        <f t="shared" ref="AB88:AB119" si="21">AA88/4</f>
        <v>1</v>
      </c>
      <c r="AC88" s="185">
        <f t="shared" ref="AC88:AC119" si="22">AB88*4</f>
        <v>4</v>
      </c>
      <c r="AD88" s="185">
        <f t="shared" ref="AD88:AD119" si="23">AC88*2</f>
        <v>8</v>
      </c>
    </row>
    <row r="89" spans="1:30" ht="15" customHeight="1" x14ac:dyDescent="0.25">
      <c r="A89" s="315">
        <f t="shared" si="19"/>
        <v>88</v>
      </c>
      <c r="B89" s="3" t="s">
        <v>79</v>
      </c>
      <c r="C89" s="415">
        <v>3</v>
      </c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340">
        <f t="shared" si="17"/>
        <v>3</v>
      </c>
      <c r="P89" s="438">
        <f t="shared" si="18"/>
        <v>7</v>
      </c>
      <c r="Q89" s="7">
        <v>20</v>
      </c>
      <c r="R89" s="63"/>
      <c r="S89" s="118">
        <v>46204</v>
      </c>
      <c r="T89" s="316">
        <v>5</v>
      </c>
      <c r="U89" s="316">
        <v>3</v>
      </c>
      <c r="V89" s="344">
        <v>45717</v>
      </c>
      <c r="W89" s="309">
        <v>1</v>
      </c>
      <c r="X89" s="309">
        <v>1</v>
      </c>
      <c r="Y89" s="309">
        <v>1</v>
      </c>
      <c r="Z89" s="309">
        <v>2</v>
      </c>
      <c r="AA89" s="185">
        <f t="shared" si="20"/>
        <v>5</v>
      </c>
      <c r="AB89" s="185">
        <f t="shared" si="21"/>
        <v>1.25</v>
      </c>
      <c r="AC89" s="185">
        <f t="shared" si="22"/>
        <v>5</v>
      </c>
      <c r="AD89" s="185">
        <f t="shared" si="23"/>
        <v>10</v>
      </c>
    </row>
    <row r="90" spans="1:30" ht="15" customHeight="1" x14ac:dyDescent="0.25">
      <c r="A90" s="315">
        <f t="shared" si="19"/>
        <v>89</v>
      </c>
      <c r="B90" s="3" t="s">
        <v>1296</v>
      </c>
      <c r="C90" s="415">
        <v>5</v>
      </c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340">
        <f t="shared" si="17"/>
        <v>5</v>
      </c>
      <c r="P90" s="340">
        <f t="shared" si="18"/>
        <v>-5</v>
      </c>
      <c r="Q90" s="7">
        <v>10</v>
      </c>
      <c r="R90" s="93"/>
      <c r="S90" s="118">
        <v>45931</v>
      </c>
      <c r="T90" s="316">
        <v>0</v>
      </c>
      <c r="U90" s="316"/>
      <c r="V90" s="199">
        <v>45597</v>
      </c>
      <c r="W90" s="309"/>
      <c r="X90" s="309"/>
      <c r="Y90" s="309"/>
      <c r="Z90" s="429"/>
      <c r="AA90" s="185">
        <f t="shared" si="20"/>
        <v>0</v>
      </c>
      <c r="AB90" s="185">
        <f t="shared" si="21"/>
        <v>0</v>
      </c>
      <c r="AC90" s="185">
        <f t="shared" si="22"/>
        <v>0</v>
      </c>
      <c r="AD90" s="185">
        <f t="shared" si="23"/>
        <v>0</v>
      </c>
    </row>
    <row r="91" spans="1:30" s="97" customFormat="1" ht="15" customHeight="1" x14ac:dyDescent="0.25">
      <c r="A91" s="315">
        <f t="shared" si="19"/>
        <v>90</v>
      </c>
      <c r="B91" s="4" t="s">
        <v>1297</v>
      </c>
      <c r="C91" s="415">
        <v>2</v>
      </c>
      <c r="D91" s="411"/>
      <c r="E91" s="490"/>
      <c r="F91" s="411"/>
      <c r="G91" s="490"/>
      <c r="H91" s="411"/>
      <c r="I91" s="490"/>
      <c r="J91" s="411"/>
      <c r="K91" s="490"/>
      <c r="L91" s="411"/>
      <c r="M91" s="490"/>
      <c r="N91" s="579"/>
      <c r="O91" s="340">
        <f t="shared" si="17"/>
        <v>2</v>
      </c>
      <c r="P91" s="438">
        <f t="shared" si="18"/>
        <v>2</v>
      </c>
      <c r="Q91" s="7">
        <v>10</v>
      </c>
      <c r="R91" s="447"/>
      <c r="S91" s="527">
        <v>45931</v>
      </c>
      <c r="T91" s="274">
        <v>0</v>
      </c>
      <c r="U91" s="319"/>
      <c r="V91" s="527">
        <v>45597</v>
      </c>
      <c r="W91" s="200"/>
      <c r="X91" s="200"/>
      <c r="Y91" s="200">
        <v>1</v>
      </c>
      <c r="Z91" s="200">
        <v>1</v>
      </c>
      <c r="AA91" s="185">
        <f t="shared" si="20"/>
        <v>2</v>
      </c>
      <c r="AB91" s="185">
        <f t="shared" si="21"/>
        <v>0.5</v>
      </c>
      <c r="AC91" s="185">
        <f t="shared" si="22"/>
        <v>2</v>
      </c>
      <c r="AD91" s="185">
        <f t="shared" si="23"/>
        <v>4</v>
      </c>
    </row>
    <row r="92" spans="1:30" ht="15" customHeight="1" x14ac:dyDescent="0.25">
      <c r="A92" s="315">
        <f t="shared" si="19"/>
        <v>91</v>
      </c>
      <c r="B92" s="314" t="s">
        <v>164</v>
      </c>
      <c r="C92" s="433">
        <v>0</v>
      </c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340">
        <f t="shared" si="17"/>
        <v>0</v>
      </c>
      <c r="P92" s="438">
        <f t="shared" si="18"/>
        <v>8</v>
      </c>
      <c r="Q92" s="7">
        <v>25</v>
      </c>
      <c r="R92" s="63"/>
      <c r="S92" s="118">
        <v>47027</v>
      </c>
      <c r="T92" s="316">
        <v>0</v>
      </c>
      <c r="U92" s="316"/>
      <c r="V92" s="94">
        <v>45597</v>
      </c>
      <c r="W92" s="309">
        <v>1</v>
      </c>
      <c r="X92" s="309">
        <v>1</v>
      </c>
      <c r="Y92" s="309">
        <v>1</v>
      </c>
      <c r="Z92" s="309">
        <v>1</v>
      </c>
      <c r="AA92" s="185">
        <f t="shared" si="20"/>
        <v>4</v>
      </c>
      <c r="AB92" s="185">
        <f t="shared" si="21"/>
        <v>1</v>
      </c>
      <c r="AC92" s="185">
        <f t="shared" si="22"/>
        <v>4</v>
      </c>
      <c r="AD92" s="185">
        <f t="shared" si="23"/>
        <v>8</v>
      </c>
    </row>
    <row r="93" spans="1:30" ht="15" customHeight="1" x14ac:dyDescent="0.25">
      <c r="A93" s="315">
        <f t="shared" si="19"/>
        <v>92</v>
      </c>
      <c r="B93" s="314" t="s">
        <v>348</v>
      </c>
      <c r="C93" s="280">
        <v>15</v>
      </c>
      <c r="D93" s="359"/>
      <c r="E93" s="478"/>
      <c r="F93" s="359"/>
      <c r="G93" s="478"/>
      <c r="H93" s="359"/>
      <c r="I93" s="478"/>
      <c r="J93" s="359">
        <v>1</v>
      </c>
      <c r="K93" s="478"/>
      <c r="L93" s="359"/>
      <c r="M93" s="478"/>
      <c r="N93" s="561"/>
      <c r="O93" s="340">
        <f t="shared" si="17"/>
        <v>14</v>
      </c>
      <c r="P93" s="438">
        <f t="shared" si="18"/>
        <v>22</v>
      </c>
      <c r="Q93" s="7">
        <v>1</v>
      </c>
      <c r="R93" s="66"/>
      <c r="S93" s="118">
        <v>46082</v>
      </c>
      <c r="T93" s="316">
        <v>0</v>
      </c>
      <c r="U93" s="17"/>
      <c r="V93" s="331">
        <v>44896</v>
      </c>
      <c r="W93" s="309">
        <v>10</v>
      </c>
      <c r="X93" s="107">
        <v>3</v>
      </c>
      <c r="Y93" s="309">
        <v>4</v>
      </c>
      <c r="Z93" s="309">
        <v>1</v>
      </c>
      <c r="AA93" s="185">
        <f t="shared" si="20"/>
        <v>18</v>
      </c>
      <c r="AB93" s="185">
        <f t="shared" si="21"/>
        <v>4.5</v>
      </c>
      <c r="AC93" s="185">
        <f t="shared" si="22"/>
        <v>18</v>
      </c>
      <c r="AD93" s="185">
        <f t="shared" si="23"/>
        <v>36</v>
      </c>
    </row>
    <row r="94" spans="1:30" ht="15" customHeight="1" x14ac:dyDescent="0.25">
      <c r="A94" s="315">
        <f t="shared" si="19"/>
        <v>93</v>
      </c>
      <c r="B94" s="3" t="s">
        <v>349</v>
      </c>
      <c r="C94" s="415">
        <v>75</v>
      </c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340">
        <f t="shared" si="17"/>
        <v>75</v>
      </c>
      <c r="P94" s="340">
        <f t="shared" si="18"/>
        <v>-45</v>
      </c>
      <c r="Q94" s="7">
        <v>1</v>
      </c>
      <c r="R94" s="63"/>
      <c r="S94" s="118">
        <v>47331</v>
      </c>
      <c r="T94" s="316">
        <v>0</v>
      </c>
      <c r="U94" s="17"/>
      <c r="V94" s="344">
        <v>45566</v>
      </c>
      <c r="W94" s="309">
        <v>2</v>
      </c>
      <c r="X94" s="107">
        <v>2</v>
      </c>
      <c r="Y94" s="309">
        <v>10</v>
      </c>
      <c r="Z94" s="309">
        <v>1</v>
      </c>
      <c r="AA94" s="185">
        <f t="shared" si="20"/>
        <v>15</v>
      </c>
      <c r="AB94" s="185">
        <f t="shared" si="21"/>
        <v>3.75</v>
      </c>
      <c r="AC94" s="185">
        <f t="shared" si="22"/>
        <v>15</v>
      </c>
      <c r="AD94" s="185">
        <f t="shared" si="23"/>
        <v>30</v>
      </c>
    </row>
    <row r="95" spans="1:30" ht="15" customHeight="1" x14ac:dyDescent="0.25">
      <c r="A95" s="315">
        <f t="shared" si="19"/>
        <v>94</v>
      </c>
      <c r="B95" s="314" t="s">
        <v>347</v>
      </c>
      <c r="C95" s="415">
        <v>3</v>
      </c>
      <c r="D95" s="359"/>
      <c r="E95" s="482"/>
      <c r="F95" s="361"/>
      <c r="G95" s="482"/>
      <c r="H95" s="359"/>
      <c r="I95" s="482"/>
      <c r="J95" s="359"/>
      <c r="K95" s="482"/>
      <c r="L95" s="359"/>
      <c r="M95" s="482"/>
      <c r="N95" s="563"/>
      <c r="O95" s="340">
        <f t="shared" si="17"/>
        <v>3</v>
      </c>
      <c r="P95" s="438">
        <f t="shared" si="18"/>
        <v>35</v>
      </c>
      <c r="Q95" s="7">
        <v>1</v>
      </c>
      <c r="R95" s="68"/>
      <c r="S95" s="118"/>
      <c r="T95" s="316">
        <v>0</v>
      </c>
      <c r="U95" s="316"/>
      <c r="V95" s="330">
        <v>44197</v>
      </c>
      <c r="W95" s="309">
        <v>7</v>
      </c>
      <c r="X95" s="309">
        <v>3</v>
      </c>
      <c r="Y95" s="309">
        <v>1</v>
      </c>
      <c r="Z95" s="309">
        <v>8</v>
      </c>
      <c r="AA95" s="185">
        <f t="shared" si="20"/>
        <v>19</v>
      </c>
      <c r="AB95" s="185">
        <f t="shared" si="21"/>
        <v>4.75</v>
      </c>
      <c r="AC95" s="185">
        <f t="shared" si="22"/>
        <v>19</v>
      </c>
      <c r="AD95" s="185">
        <f t="shared" si="23"/>
        <v>38</v>
      </c>
    </row>
    <row r="96" spans="1:30" ht="15" customHeight="1" x14ac:dyDescent="0.25">
      <c r="A96" s="315">
        <f t="shared" si="19"/>
        <v>95</v>
      </c>
      <c r="B96" s="3" t="s">
        <v>520</v>
      </c>
      <c r="C96" s="415">
        <v>8</v>
      </c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340">
        <f t="shared" si="17"/>
        <v>8</v>
      </c>
      <c r="P96" s="438">
        <f t="shared" si="18"/>
        <v>30</v>
      </c>
      <c r="Q96" s="7">
        <v>3.5</v>
      </c>
      <c r="R96" s="8"/>
      <c r="S96" s="118">
        <v>46447</v>
      </c>
      <c r="T96" s="316">
        <v>0</v>
      </c>
      <c r="U96" s="17">
        <v>5</v>
      </c>
      <c r="V96" s="199">
        <v>45717</v>
      </c>
      <c r="W96" s="309">
        <v>5</v>
      </c>
      <c r="X96" s="107">
        <v>4</v>
      </c>
      <c r="Y96" s="309">
        <v>5</v>
      </c>
      <c r="Z96" s="309">
        <v>5</v>
      </c>
      <c r="AA96" s="185">
        <f t="shared" si="20"/>
        <v>19</v>
      </c>
      <c r="AB96" s="185">
        <f t="shared" si="21"/>
        <v>4.75</v>
      </c>
      <c r="AC96" s="185">
        <f t="shared" si="22"/>
        <v>19</v>
      </c>
      <c r="AD96" s="185">
        <f t="shared" si="23"/>
        <v>38</v>
      </c>
    </row>
    <row r="97" spans="1:30" ht="15" customHeight="1" x14ac:dyDescent="0.25">
      <c r="A97" s="315">
        <f t="shared" si="19"/>
        <v>96</v>
      </c>
      <c r="B97" s="3" t="s">
        <v>101</v>
      </c>
      <c r="C97" s="415">
        <v>2</v>
      </c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340">
        <f t="shared" si="17"/>
        <v>2</v>
      </c>
      <c r="P97" s="438">
        <f t="shared" si="18"/>
        <v>6</v>
      </c>
      <c r="Q97" s="7">
        <v>18</v>
      </c>
      <c r="R97" s="63"/>
      <c r="S97" s="118">
        <v>46661</v>
      </c>
      <c r="T97" s="316">
        <v>0</v>
      </c>
      <c r="U97" s="17">
        <v>2</v>
      </c>
      <c r="V97" s="344">
        <v>45717</v>
      </c>
      <c r="W97" s="309">
        <v>1</v>
      </c>
      <c r="X97" s="107">
        <v>1</v>
      </c>
      <c r="Y97" s="309">
        <v>1</v>
      </c>
      <c r="Z97" s="309">
        <v>1</v>
      </c>
      <c r="AA97" s="185">
        <f t="shared" si="20"/>
        <v>4</v>
      </c>
      <c r="AB97" s="185">
        <f t="shared" si="21"/>
        <v>1</v>
      </c>
      <c r="AC97" s="185">
        <f t="shared" si="22"/>
        <v>4</v>
      </c>
      <c r="AD97" s="185">
        <f t="shared" si="23"/>
        <v>8</v>
      </c>
    </row>
    <row r="98" spans="1:30" ht="15" customHeight="1" x14ac:dyDescent="0.25">
      <c r="A98" s="315">
        <f t="shared" si="19"/>
        <v>97</v>
      </c>
      <c r="B98" s="3" t="s">
        <v>124</v>
      </c>
      <c r="C98" s="415">
        <v>2</v>
      </c>
      <c r="D98" s="359"/>
      <c r="E98" s="478"/>
      <c r="F98" s="359"/>
      <c r="G98" s="478">
        <v>1</v>
      </c>
      <c r="H98" s="359"/>
      <c r="I98" s="478"/>
      <c r="J98" s="359"/>
      <c r="K98" s="478"/>
      <c r="L98" s="359">
        <v>1</v>
      </c>
      <c r="M98" s="478"/>
      <c r="N98" s="561"/>
      <c r="O98" s="340">
        <f t="shared" ref="O98:O129" si="24">SUM(C98-D98-E98-F98-G98-H98-I98-J98-K98-L98-M98-N98)</f>
        <v>0</v>
      </c>
      <c r="P98" s="438">
        <f t="shared" ref="P98:P129" si="25">AD98-O98</f>
        <v>10</v>
      </c>
      <c r="Q98" s="7">
        <v>25</v>
      </c>
      <c r="R98" s="28"/>
      <c r="S98" s="118">
        <v>47209</v>
      </c>
      <c r="T98" s="316">
        <v>0</v>
      </c>
      <c r="U98" s="17"/>
      <c r="V98" s="344">
        <v>45627</v>
      </c>
      <c r="W98" s="309">
        <v>1</v>
      </c>
      <c r="X98" s="309">
        <v>1</v>
      </c>
      <c r="Y98" s="309">
        <v>1</v>
      </c>
      <c r="Z98" s="309">
        <v>2</v>
      </c>
      <c r="AA98" s="185">
        <f t="shared" si="20"/>
        <v>5</v>
      </c>
      <c r="AB98" s="185">
        <f t="shared" si="21"/>
        <v>1.25</v>
      </c>
      <c r="AC98" s="185">
        <f t="shared" si="22"/>
        <v>5</v>
      </c>
      <c r="AD98" s="185">
        <f t="shared" si="23"/>
        <v>10</v>
      </c>
    </row>
    <row r="99" spans="1:30" ht="15" customHeight="1" x14ac:dyDescent="0.25">
      <c r="A99" s="315">
        <f t="shared" si="19"/>
        <v>98</v>
      </c>
      <c r="B99" s="314" t="s">
        <v>105</v>
      </c>
      <c r="C99" s="415">
        <v>1</v>
      </c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340">
        <f t="shared" si="24"/>
        <v>1</v>
      </c>
      <c r="P99" s="438">
        <f t="shared" si="25"/>
        <v>7</v>
      </c>
      <c r="Q99" s="7">
        <v>16</v>
      </c>
      <c r="R99" s="63"/>
      <c r="S99" s="118">
        <v>46023</v>
      </c>
      <c r="T99" s="316">
        <v>0</v>
      </c>
      <c r="U99" s="316"/>
      <c r="V99" s="199">
        <v>45536</v>
      </c>
      <c r="W99" s="309">
        <v>1</v>
      </c>
      <c r="X99" s="107">
        <v>1</v>
      </c>
      <c r="Y99" s="309">
        <v>1</v>
      </c>
      <c r="Z99" s="309">
        <v>1</v>
      </c>
      <c r="AA99" s="185">
        <f t="shared" si="20"/>
        <v>4</v>
      </c>
      <c r="AB99" s="185">
        <f t="shared" si="21"/>
        <v>1</v>
      </c>
      <c r="AC99" s="185">
        <f t="shared" si="22"/>
        <v>4</v>
      </c>
      <c r="AD99" s="185">
        <f t="shared" si="23"/>
        <v>8</v>
      </c>
    </row>
    <row r="100" spans="1:30" ht="15" customHeight="1" x14ac:dyDescent="0.25">
      <c r="A100" s="315">
        <f t="shared" si="19"/>
        <v>99</v>
      </c>
      <c r="B100" s="3" t="s">
        <v>1159</v>
      </c>
      <c r="C100" s="415">
        <v>1</v>
      </c>
      <c r="D100" s="359"/>
      <c r="E100" s="478"/>
      <c r="F100" s="361"/>
      <c r="G100" s="482"/>
      <c r="H100" s="359"/>
      <c r="I100" s="478"/>
      <c r="J100" s="359"/>
      <c r="K100" s="478"/>
      <c r="L100" s="359"/>
      <c r="M100" s="478"/>
      <c r="N100" s="561"/>
      <c r="O100" s="340">
        <f t="shared" si="24"/>
        <v>1</v>
      </c>
      <c r="P100" s="438">
        <f t="shared" si="25"/>
        <v>9</v>
      </c>
      <c r="Q100" s="7">
        <v>5</v>
      </c>
      <c r="R100" s="63"/>
      <c r="S100" s="118"/>
      <c r="T100" s="316">
        <v>0</v>
      </c>
      <c r="U100" s="316"/>
      <c r="V100" s="344">
        <v>44958</v>
      </c>
      <c r="W100" s="309">
        <v>1</v>
      </c>
      <c r="X100" s="309">
        <v>1</v>
      </c>
      <c r="Y100" s="309">
        <v>1</v>
      </c>
      <c r="Z100" s="309">
        <v>2</v>
      </c>
      <c r="AA100" s="185">
        <f t="shared" si="20"/>
        <v>5</v>
      </c>
      <c r="AB100" s="185">
        <f t="shared" si="21"/>
        <v>1.25</v>
      </c>
      <c r="AC100" s="185">
        <f t="shared" si="22"/>
        <v>5</v>
      </c>
      <c r="AD100" s="185">
        <f t="shared" si="23"/>
        <v>10</v>
      </c>
    </row>
    <row r="101" spans="1:30" ht="15" customHeight="1" x14ac:dyDescent="0.25">
      <c r="A101" s="315">
        <f t="shared" si="19"/>
        <v>100</v>
      </c>
      <c r="B101" s="3" t="s">
        <v>1160</v>
      </c>
      <c r="C101" s="415">
        <v>68</v>
      </c>
      <c r="D101" s="359">
        <v>4</v>
      </c>
      <c r="E101" s="478"/>
      <c r="F101" s="359"/>
      <c r="G101" s="478"/>
      <c r="H101" s="359">
        <v>4</v>
      </c>
      <c r="I101" s="478"/>
      <c r="J101" s="359"/>
      <c r="K101" s="478"/>
      <c r="L101" s="359"/>
      <c r="M101" s="478">
        <v>6</v>
      </c>
      <c r="N101" s="561"/>
      <c r="O101" s="340">
        <f t="shared" si="24"/>
        <v>54</v>
      </c>
      <c r="P101" s="438">
        <f t="shared" si="25"/>
        <v>42</v>
      </c>
      <c r="Q101" s="7">
        <v>2</v>
      </c>
      <c r="R101" s="125"/>
      <c r="S101" s="118">
        <v>46813</v>
      </c>
      <c r="T101" s="316">
        <v>0</v>
      </c>
      <c r="U101" s="316"/>
      <c r="V101" s="344">
        <v>45689</v>
      </c>
      <c r="W101" s="309">
        <v>11</v>
      </c>
      <c r="X101" s="309">
        <v>17</v>
      </c>
      <c r="Y101" s="309">
        <v>10</v>
      </c>
      <c r="Z101" s="309">
        <v>10</v>
      </c>
      <c r="AA101" s="185">
        <f t="shared" si="20"/>
        <v>48</v>
      </c>
      <c r="AB101" s="185">
        <f t="shared" si="21"/>
        <v>12</v>
      </c>
      <c r="AC101" s="185">
        <f t="shared" si="22"/>
        <v>48</v>
      </c>
      <c r="AD101" s="185">
        <f t="shared" si="23"/>
        <v>96</v>
      </c>
    </row>
    <row r="102" spans="1:30" ht="15" customHeight="1" x14ac:dyDescent="0.25">
      <c r="A102" s="315">
        <f t="shared" si="19"/>
        <v>101</v>
      </c>
      <c r="B102" s="651" t="s">
        <v>156</v>
      </c>
      <c r="C102" s="658">
        <v>9</v>
      </c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340">
        <f t="shared" si="24"/>
        <v>9</v>
      </c>
      <c r="P102" s="340">
        <f t="shared" si="25"/>
        <v>-1</v>
      </c>
      <c r="Q102" s="7">
        <v>10</v>
      </c>
      <c r="R102" s="28"/>
      <c r="S102" s="659">
        <v>45870</v>
      </c>
      <c r="T102" s="316">
        <v>0</v>
      </c>
      <c r="U102" s="17"/>
      <c r="V102" s="344">
        <v>45292</v>
      </c>
      <c r="W102" s="309">
        <v>1</v>
      </c>
      <c r="X102" s="107">
        <v>1</v>
      </c>
      <c r="Y102" s="309">
        <v>1</v>
      </c>
      <c r="Z102" s="309">
        <v>1</v>
      </c>
      <c r="AA102" s="185">
        <f t="shared" si="20"/>
        <v>4</v>
      </c>
      <c r="AB102" s="185">
        <f t="shared" si="21"/>
        <v>1</v>
      </c>
      <c r="AC102" s="185">
        <f t="shared" si="22"/>
        <v>4</v>
      </c>
      <c r="AD102" s="185">
        <f t="shared" si="23"/>
        <v>8</v>
      </c>
    </row>
    <row r="103" spans="1:30" ht="15" customHeight="1" x14ac:dyDescent="0.25">
      <c r="A103" s="315">
        <f t="shared" si="19"/>
        <v>102</v>
      </c>
      <c r="B103" s="3" t="s">
        <v>48</v>
      </c>
      <c r="C103" s="415">
        <v>88</v>
      </c>
      <c r="D103" s="359"/>
      <c r="E103" s="478"/>
      <c r="F103" s="359"/>
      <c r="G103" s="478"/>
      <c r="H103" s="359"/>
      <c r="I103" s="478"/>
      <c r="J103" s="359"/>
      <c r="K103" s="478">
        <v>1</v>
      </c>
      <c r="L103" s="359"/>
      <c r="M103" s="478"/>
      <c r="N103" s="561"/>
      <c r="O103" s="340">
        <f t="shared" si="24"/>
        <v>87</v>
      </c>
      <c r="P103" s="340">
        <f t="shared" si="25"/>
        <v>-71</v>
      </c>
      <c r="Q103" s="7">
        <v>2.5</v>
      </c>
      <c r="R103" s="8"/>
      <c r="S103" s="118">
        <v>45992</v>
      </c>
      <c r="T103" s="316">
        <v>0</v>
      </c>
      <c r="U103" s="316"/>
      <c r="V103" s="344">
        <v>45292</v>
      </c>
      <c r="W103" s="309">
        <v>1</v>
      </c>
      <c r="X103" s="107">
        <v>4</v>
      </c>
      <c r="Y103" s="309">
        <v>1</v>
      </c>
      <c r="Z103" s="309">
        <v>2</v>
      </c>
      <c r="AA103" s="185">
        <f t="shared" si="20"/>
        <v>8</v>
      </c>
      <c r="AB103" s="185">
        <f t="shared" si="21"/>
        <v>2</v>
      </c>
      <c r="AC103" s="185">
        <f t="shared" si="22"/>
        <v>8</v>
      </c>
      <c r="AD103" s="185">
        <f t="shared" si="23"/>
        <v>16</v>
      </c>
    </row>
    <row r="104" spans="1:30" ht="15" customHeight="1" x14ac:dyDescent="0.25">
      <c r="A104" s="315">
        <f t="shared" si="19"/>
        <v>103</v>
      </c>
      <c r="B104" s="314" t="s">
        <v>230</v>
      </c>
      <c r="C104" s="415">
        <v>2</v>
      </c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340">
        <f t="shared" si="24"/>
        <v>2</v>
      </c>
      <c r="P104" s="438">
        <f t="shared" si="25"/>
        <v>6</v>
      </c>
      <c r="Q104" s="7">
        <v>10</v>
      </c>
      <c r="R104" s="63"/>
      <c r="S104" s="118">
        <v>46388</v>
      </c>
      <c r="T104" s="316">
        <v>0</v>
      </c>
      <c r="U104" s="316"/>
      <c r="V104" s="344">
        <v>45689</v>
      </c>
      <c r="W104" s="309">
        <v>1</v>
      </c>
      <c r="X104" s="309">
        <v>1</v>
      </c>
      <c r="Y104" s="309">
        <v>1</v>
      </c>
      <c r="Z104" s="309">
        <v>1</v>
      </c>
      <c r="AA104" s="185">
        <f t="shared" si="20"/>
        <v>4</v>
      </c>
      <c r="AB104" s="185">
        <f t="shared" si="21"/>
        <v>1</v>
      </c>
      <c r="AC104" s="185">
        <f t="shared" si="22"/>
        <v>4</v>
      </c>
      <c r="AD104" s="185">
        <f t="shared" si="23"/>
        <v>8</v>
      </c>
    </row>
    <row r="105" spans="1:30" ht="15" customHeight="1" x14ac:dyDescent="0.25">
      <c r="A105" s="315">
        <f t="shared" si="19"/>
        <v>104</v>
      </c>
      <c r="B105" s="4" t="s">
        <v>56</v>
      </c>
      <c r="C105" s="415">
        <v>14</v>
      </c>
      <c r="D105" s="374"/>
      <c r="E105" s="498"/>
      <c r="F105" s="359"/>
      <c r="G105" s="478"/>
      <c r="H105" s="359"/>
      <c r="I105" s="478"/>
      <c r="J105" s="359"/>
      <c r="K105" s="478"/>
      <c r="L105" s="359"/>
      <c r="M105" s="478"/>
      <c r="N105" s="561"/>
      <c r="O105" s="340">
        <f t="shared" si="24"/>
        <v>14</v>
      </c>
      <c r="P105" s="340">
        <f t="shared" si="25"/>
        <v>-2</v>
      </c>
      <c r="Q105" s="7">
        <v>6</v>
      </c>
      <c r="R105" s="307"/>
      <c r="S105" s="344">
        <v>46296</v>
      </c>
      <c r="T105" s="318">
        <v>0</v>
      </c>
      <c r="U105" s="318"/>
      <c r="V105" s="344">
        <v>45383</v>
      </c>
      <c r="W105" s="309">
        <v>2</v>
      </c>
      <c r="X105" s="309">
        <v>1</v>
      </c>
      <c r="Y105" s="309">
        <v>1</v>
      </c>
      <c r="Z105" s="309">
        <v>2</v>
      </c>
      <c r="AA105" s="185">
        <f t="shared" si="20"/>
        <v>6</v>
      </c>
      <c r="AB105" s="185">
        <f t="shared" si="21"/>
        <v>1.5</v>
      </c>
      <c r="AC105" s="185">
        <f t="shared" si="22"/>
        <v>6</v>
      </c>
      <c r="AD105" s="185">
        <f t="shared" si="23"/>
        <v>12</v>
      </c>
    </row>
    <row r="106" spans="1:30" ht="15" customHeight="1" x14ac:dyDescent="0.25">
      <c r="A106" s="315">
        <f t="shared" si="19"/>
        <v>105</v>
      </c>
      <c r="B106" s="314" t="s">
        <v>14</v>
      </c>
      <c r="C106" s="415">
        <v>6</v>
      </c>
      <c r="D106" s="359"/>
      <c r="E106" s="478">
        <v>1</v>
      </c>
      <c r="F106" s="359">
        <v>1</v>
      </c>
      <c r="G106" s="478"/>
      <c r="H106" s="359"/>
      <c r="I106" s="478"/>
      <c r="J106" s="359"/>
      <c r="K106" s="478"/>
      <c r="L106" s="359"/>
      <c r="M106" s="478"/>
      <c r="N106" s="561"/>
      <c r="O106" s="340">
        <f t="shared" si="24"/>
        <v>4</v>
      </c>
      <c r="P106" s="438">
        <f t="shared" si="25"/>
        <v>10</v>
      </c>
      <c r="Q106" s="7">
        <v>10</v>
      </c>
      <c r="R106" s="68"/>
      <c r="S106" s="118">
        <v>47119</v>
      </c>
      <c r="T106" s="316">
        <v>0</v>
      </c>
      <c r="U106" s="316"/>
      <c r="V106" s="344">
        <v>45536</v>
      </c>
      <c r="W106" s="309">
        <v>2</v>
      </c>
      <c r="X106" s="309">
        <v>2</v>
      </c>
      <c r="Y106" s="309">
        <v>1</v>
      </c>
      <c r="Z106" s="309">
        <v>2</v>
      </c>
      <c r="AA106" s="185">
        <f t="shared" si="20"/>
        <v>7</v>
      </c>
      <c r="AB106" s="185">
        <f t="shared" si="21"/>
        <v>1.75</v>
      </c>
      <c r="AC106" s="185">
        <f t="shared" si="22"/>
        <v>7</v>
      </c>
      <c r="AD106" s="185">
        <f t="shared" si="23"/>
        <v>14</v>
      </c>
    </row>
    <row r="107" spans="1:30" ht="15" customHeight="1" x14ac:dyDescent="0.25">
      <c r="A107" s="315">
        <f t="shared" si="19"/>
        <v>106</v>
      </c>
      <c r="B107" s="314" t="s">
        <v>134</v>
      </c>
      <c r="C107" s="415">
        <v>6</v>
      </c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340">
        <f t="shared" si="24"/>
        <v>6</v>
      </c>
      <c r="P107" s="438">
        <f t="shared" si="25"/>
        <v>14</v>
      </c>
      <c r="Q107" s="7">
        <v>8</v>
      </c>
      <c r="R107" s="63"/>
      <c r="S107" s="118">
        <v>46508</v>
      </c>
      <c r="T107" s="316">
        <v>0</v>
      </c>
      <c r="U107" s="316"/>
      <c r="V107" s="199">
        <v>45597</v>
      </c>
      <c r="W107" s="309">
        <v>2</v>
      </c>
      <c r="X107" s="107">
        <v>2</v>
      </c>
      <c r="Y107" s="309">
        <v>4</v>
      </c>
      <c r="Z107" s="309">
        <v>2</v>
      </c>
      <c r="AA107" s="185">
        <f t="shared" si="20"/>
        <v>10</v>
      </c>
      <c r="AB107" s="185">
        <f t="shared" si="21"/>
        <v>2.5</v>
      </c>
      <c r="AC107" s="185">
        <f t="shared" si="22"/>
        <v>10</v>
      </c>
      <c r="AD107" s="185">
        <f t="shared" si="23"/>
        <v>20</v>
      </c>
    </row>
    <row r="108" spans="1:30" ht="15" customHeight="1" x14ac:dyDescent="0.25">
      <c r="A108" s="315">
        <f t="shared" si="19"/>
        <v>107</v>
      </c>
      <c r="B108" s="314" t="s">
        <v>288</v>
      </c>
      <c r="C108" s="415">
        <v>2</v>
      </c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340">
        <f t="shared" si="24"/>
        <v>2</v>
      </c>
      <c r="P108" s="438">
        <f t="shared" si="25"/>
        <v>4</v>
      </c>
      <c r="Q108" s="7">
        <v>72</v>
      </c>
      <c r="R108" s="63"/>
      <c r="S108" s="118">
        <v>46143</v>
      </c>
      <c r="T108" s="316">
        <v>1</v>
      </c>
      <c r="U108" s="316"/>
      <c r="V108" s="199">
        <v>45689</v>
      </c>
      <c r="W108" s="309">
        <v>1</v>
      </c>
      <c r="X108" s="107">
        <v>1</v>
      </c>
      <c r="Y108" s="309"/>
      <c r="Z108" s="309">
        <v>1</v>
      </c>
      <c r="AA108" s="185">
        <f t="shared" si="20"/>
        <v>3</v>
      </c>
      <c r="AB108" s="185">
        <f t="shared" si="21"/>
        <v>0.75</v>
      </c>
      <c r="AC108" s="185">
        <f t="shared" si="22"/>
        <v>3</v>
      </c>
      <c r="AD108" s="185">
        <f t="shared" si="23"/>
        <v>6</v>
      </c>
    </row>
    <row r="109" spans="1:30" ht="15" customHeight="1" x14ac:dyDescent="0.25">
      <c r="A109" s="315">
        <f t="shared" si="19"/>
        <v>108</v>
      </c>
      <c r="B109" s="4" t="s">
        <v>477</v>
      </c>
      <c r="C109" s="415">
        <v>0</v>
      </c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340">
        <f t="shared" si="24"/>
        <v>0</v>
      </c>
      <c r="P109" s="438">
        <f t="shared" si="25"/>
        <v>8</v>
      </c>
      <c r="Q109" s="7">
        <v>8</v>
      </c>
      <c r="R109" s="63"/>
      <c r="S109" s="118">
        <v>46054</v>
      </c>
      <c r="T109" s="316">
        <v>0</v>
      </c>
      <c r="U109" s="316"/>
      <c r="V109" s="331">
        <v>44652</v>
      </c>
      <c r="W109" s="309"/>
      <c r="X109" s="107">
        <v>2</v>
      </c>
      <c r="Y109" s="309">
        <v>1</v>
      </c>
      <c r="Z109" s="309">
        <v>1</v>
      </c>
      <c r="AA109" s="185">
        <f t="shared" si="20"/>
        <v>4</v>
      </c>
      <c r="AB109" s="185">
        <f t="shared" si="21"/>
        <v>1</v>
      </c>
      <c r="AC109" s="185">
        <f t="shared" si="22"/>
        <v>4</v>
      </c>
      <c r="AD109" s="185">
        <f t="shared" si="23"/>
        <v>8</v>
      </c>
    </row>
    <row r="110" spans="1:30" ht="14.25" customHeight="1" x14ac:dyDescent="0.25">
      <c r="A110" s="315">
        <f t="shared" si="19"/>
        <v>109</v>
      </c>
      <c r="B110" s="314" t="s">
        <v>508</v>
      </c>
      <c r="C110" s="415">
        <v>1</v>
      </c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340">
        <f t="shared" si="24"/>
        <v>1</v>
      </c>
      <c r="P110" s="438">
        <f t="shared" si="25"/>
        <v>7</v>
      </c>
      <c r="Q110" s="7">
        <v>34</v>
      </c>
      <c r="R110" s="8"/>
      <c r="S110" s="83">
        <v>46419</v>
      </c>
      <c r="T110" s="321">
        <v>2</v>
      </c>
      <c r="U110" s="321">
        <v>2</v>
      </c>
      <c r="V110" s="83">
        <v>45717</v>
      </c>
      <c r="W110" s="28">
        <v>1</v>
      </c>
      <c r="X110" s="28">
        <v>1</v>
      </c>
      <c r="Y110" s="28">
        <v>1</v>
      </c>
      <c r="Z110" s="28">
        <v>1</v>
      </c>
      <c r="AA110" s="185">
        <f t="shared" si="20"/>
        <v>4</v>
      </c>
      <c r="AB110" s="185">
        <f t="shared" si="21"/>
        <v>1</v>
      </c>
      <c r="AC110" s="185">
        <f t="shared" si="22"/>
        <v>4</v>
      </c>
      <c r="AD110" s="185">
        <f t="shared" si="23"/>
        <v>8</v>
      </c>
    </row>
    <row r="111" spans="1:30" ht="15" customHeight="1" x14ac:dyDescent="0.25">
      <c r="A111" s="315">
        <f t="shared" si="19"/>
        <v>110</v>
      </c>
      <c r="B111" s="588" t="s">
        <v>494</v>
      </c>
      <c r="C111" s="594">
        <v>5</v>
      </c>
      <c r="D111" s="361"/>
      <c r="E111" s="482"/>
      <c r="F111" s="361"/>
      <c r="G111" s="482"/>
      <c r="H111" s="361"/>
      <c r="I111" s="482"/>
      <c r="J111" s="361"/>
      <c r="K111" s="482"/>
      <c r="L111" s="361"/>
      <c r="M111" s="482"/>
      <c r="N111" s="563"/>
      <c r="O111" s="340">
        <f t="shared" si="24"/>
        <v>5</v>
      </c>
      <c r="P111" s="438">
        <f t="shared" si="25"/>
        <v>3</v>
      </c>
      <c r="Q111" s="44">
        <v>12</v>
      </c>
      <c r="R111" s="307"/>
      <c r="S111" s="598">
        <v>45689</v>
      </c>
      <c r="T111" s="316">
        <v>0</v>
      </c>
      <c r="U111" s="316"/>
      <c r="V111" s="344">
        <v>45170</v>
      </c>
      <c r="W111" s="309">
        <v>1</v>
      </c>
      <c r="X111" s="309">
        <v>2</v>
      </c>
      <c r="Y111" s="309"/>
      <c r="Z111" s="309">
        <v>1</v>
      </c>
      <c r="AA111" s="185">
        <f t="shared" si="20"/>
        <v>4</v>
      </c>
      <c r="AB111" s="185">
        <f t="shared" si="21"/>
        <v>1</v>
      </c>
      <c r="AC111" s="185">
        <f t="shared" si="22"/>
        <v>4</v>
      </c>
      <c r="AD111" s="185">
        <f t="shared" si="23"/>
        <v>8</v>
      </c>
    </row>
    <row r="112" spans="1:30" ht="15" customHeight="1" x14ac:dyDescent="0.25">
      <c r="A112" s="315">
        <f t="shared" si="19"/>
        <v>111</v>
      </c>
      <c r="B112" s="314" t="s">
        <v>106</v>
      </c>
      <c r="C112" s="415">
        <v>5</v>
      </c>
      <c r="D112" s="359"/>
      <c r="E112" s="478"/>
      <c r="F112" s="359"/>
      <c r="G112" s="478"/>
      <c r="H112" s="359"/>
      <c r="I112" s="478"/>
      <c r="J112" s="359"/>
      <c r="K112" s="478">
        <v>5</v>
      </c>
      <c r="L112" s="359"/>
      <c r="M112" s="478"/>
      <c r="N112" s="561"/>
      <c r="O112" s="340">
        <f t="shared" si="24"/>
        <v>0</v>
      </c>
      <c r="P112" s="438">
        <f t="shared" si="25"/>
        <v>14</v>
      </c>
      <c r="Q112" s="7">
        <v>11</v>
      </c>
      <c r="R112" s="125"/>
      <c r="S112" s="118">
        <v>46113</v>
      </c>
      <c r="T112" s="316">
        <v>0</v>
      </c>
      <c r="U112" s="316"/>
      <c r="V112" s="344">
        <v>45413</v>
      </c>
      <c r="W112" s="309">
        <v>2</v>
      </c>
      <c r="X112" s="309">
        <v>2</v>
      </c>
      <c r="Y112" s="309">
        <v>2</v>
      </c>
      <c r="Z112" s="309">
        <v>1</v>
      </c>
      <c r="AA112" s="185">
        <f t="shared" si="20"/>
        <v>7</v>
      </c>
      <c r="AB112" s="185">
        <f t="shared" si="21"/>
        <v>1.75</v>
      </c>
      <c r="AC112" s="185">
        <f t="shared" si="22"/>
        <v>7</v>
      </c>
      <c r="AD112" s="185">
        <f t="shared" si="23"/>
        <v>14</v>
      </c>
    </row>
    <row r="113" spans="1:30" ht="15" customHeight="1" x14ac:dyDescent="0.25">
      <c r="A113" s="315">
        <f t="shared" si="19"/>
        <v>112</v>
      </c>
      <c r="B113" s="3" t="s">
        <v>291</v>
      </c>
      <c r="C113" s="415">
        <v>2</v>
      </c>
      <c r="D113" s="361"/>
      <c r="E113" s="482"/>
      <c r="F113" s="361"/>
      <c r="G113" s="482"/>
      <c r="H113" s="361"/>
      <c r="I113" s="482"/>
      <c r="J113" s="361"/>
      <c r="K113" s="482">
        <v>1</v>
      </c>
      <c r="L113" s="361"/>
      <c r="M113" s="482"/>
      <c r="N113" s="563"/>
      <c r="O113" s="340">
        <f t="shared" si="24"/>
        <v>1</v>
      </c>
      <c r="P113" s="438">
        <f t="shared" si="25"/>
        <v>9</v>
      </c>
      <c r="Q113" s="7">
        <v>79</v>
      </c>
      <c r="R113" s="540"/>
      <c r="S113" s="118">
        <v>46204</v>
      </c>
      <c r="T113" s="316">
        <v>0</v>
      </c>
      <c r="U113" s="316"/>
      <c r="V113" s="199">
        <v>45413</v>
      </c>
      <c r="W113" s="309">
        <v>1</v>
      </c>
      <c r="X113" s="309">
        <v>2</v>
      </c>
      <c r="Y113" s="309">
        <v>1</v>
      </c>
      <c r="Z113" s="309">
        <v>1</v>
      </c>
      <c r="AA113" s="185">
        <f t="shared" si="20"/>
        <v>5</v>
      </c>
      <c r="AB113" s="185">
        <f t="shared" si="21"/>
        <v>1.25</v>
      </c>
      <c r="AC113" s="185">
        <f t="shared" si="22"/>
        <v>5</v>
      </c>
      <c r="AD113" s="185">
        <f t="shared" si="23"/>
        <v>10</v>
      </c>
    </row>
    <row r="114" spans="1:30" ht="15" customHeight="1" x14ac:dyDescent="0.25">
      <c r="A114" s="315">
        <f t="shared" si="19"/>
        <v>113</v>
      </c>
      <c r="B114" s="3" t="s">
        <v>1161</v>
      </c>
      <c r="C114" s="415">
        <v>33</v>
      </c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340">
        <f t="shared" si="24"/>
        <v>33</v>
      </c>
      <c r="P114" s="438">
        <f t="shared" si="25"/>
        <v>13</v>
      </c>
      <c r="Q114" s="7">
        <v>4.4000000000000004</v>
      </c>
      <c r="R114" s="8"/>
      <c r="S114" s="118">
        <v>46204</v>
      </c>
      <c r="T114" s="316">
        <v>0</v>
      </c>
      <c r="U114" s="316"/>
      <c r="V114" s="199">
        <v>45689</v>
      </c>
      <c r="W114" s="309"/>
      <c r="X114" s="107">
        <v>10</v>
      </c>
      <c r="Y114" s="309">
        <v>3</v>
      </c>
      <c r="Z114" s="309">
        <v>10</v>
      </c>
      <c r="AA114" s="185">
        <f t="shared" si="20"/>
        <v>23</v>
      </c>
      <c r="AB114" s="185">
        <f t="shared" si="21"/>
        <v>5.75</v>
      </c>
      <c r="AC114" s="185">
        <f t="shared" si="22"/>
        <v>23</v>
      </c>
      <c r="AD114" s="185">
        <f t="shared" si="23"/>
        <v>46</v>
      </c>
    </row>
    <row r="115" spans="1:30" ht="15" customHeight="1" x14ac:dyDescent="0.25">
      <c r="A115" s="315">
        <f t="shared" si="19"/>
        <v>114</v>
      </c>
      <c r="B115" s="314" t="s">
        <v>440</v>
      </c>
      <c r="C115" s="415">
        <v>26</v>
      </c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340">
        <f t="shared" si="24"/>
        <v>26</v>
      </c>
      <c r="P115" s="438">
        <f t="shared" si="25"/>
        <v>54</v>
      </c>
      <c r="Q115" s="7">
        <v>1.2</v>
      </c>
      <c r="R115" s="63"/>
      <c r="S115" s="118">
        <v>46235</v>
      </c>
      <c r="T115" s="316">
        <v>0</v>
      </c>
      <c r="U115" s="17"/>
      <c r="V115" s="199">
        <v>45658</v>
      </c>
      <c r="W115" s="309">
        <v>10</v>
      </c>
      <c r="X115" s="107">
        <v>10</v>
      </c>
      <c r="Y115" s="309">
        <v>10</v>
      </c>
      <c r="Z115" s="309">
        <v>10</v>
      </c>
      <c r="AA115" s="185">
        <f t="shared" si="20"/>
        <v>40</v>
      </c>
      <c r="AB115" s="185">
        <f t="shared" si="21"/>
        <v>10</v>
      </c>
      <c r="AC115" s="185">
        <f t="shared" si="22"/>
        <v>40</v>
      </c>
      <c r="AD115" s="185">
        <f t="shared" si="23"/>
        <v>80</v>
      </c>
    </row>
    <row r="116" spans="1:30" ht="15" customHeight="1" x14ac:dyDescent="0.25">
      <c r="A116" s="315">
        <f t="shared" si="19"/>
        <v>115</v>
      </c>
      <c r="B116" s="314" t="s">
        <v>1162</v>
      </c>
      <c r="C116" s="280">
        <v>17</v>
      </c>
      <c r="D116" s="359"/>
      <c r="E116" s="478">
        <v>2</v>
      </c>
      <c r="F116" s="359"/>
      <c r="G116" s="478"/>
      <c r="H116" s="359"/>
      <c r="I116" s="478">
        <v>6</v>
      </c>
      <c r="J116" s="359">
        <v>4</v>
      </c>
      <c r="K116" s="478"/>
      <c r="L116" s="359"/>
      <c r="M116" s="478"/>
      <c r="N116" s="561"/>
      <c r="O116" s="340">
        <f t="shared" si="24"/>
        <v>5</v>
      </c>
      <c r="P116" s="438">
        <f t="shared" si="25"/>
        <v>75</v>
      </c>
      <c r="Q116" s="7">
        <v>1.75</v>
      </c>
      <c r="R116" s="63"/>
      <c r="S116" s="118">
        <v>46113</v>
      </c>
      <c r="T116" s="316">
        <v>0</v>
      </c>
      <c r="U116" s="316"/>
      <c r="V116" s="199">
        <v>45627</v>
      </c>
      <c r="W116" s="309">
        <v>2</v>
      </c>
      <c r="X116" s="107">
        <v>12</v>
      </c>
      <c r="Y116" s="309">
        <v>22</v>
      </c>
      <c r="Z116" s="309">
        <v>4</v>
      </c>
      <c r="AA116" s="185">
        <f t="shared" si="20"/>
        <v>40</v>
      </c>
      <c r="AB116" s="185">
        <f t="shared" si="21"/>
        <v>10</v>
      </c>
      <c r="AC116" s="185">
        <f t="shared" si="22"/>
        <v>40</v>
      </c>
      <c r="AD116" s="185">
        <f t="shared" si="23"/>
        <v>80</v>
      </c>
    </row>
    <row r="117" spans="1:30" ht="15" customHeight="1" x14ac:dyDescent="0.25">
      <c r="A117" s="315">
        <f t="shared" si="19"/>
        <v>116</v>
      </c>
      <c r="B117" s="3" t="s">
        <v>45</v>
      </c>
      <c r="C117" s="415">
        <v>44</v>
      </c>
      <c r="D117" s="359"/>
      <c r="E117" s="478"/>
      <c r="F117" s="359"/>
      <c r="G117" s="478"/>
      <c r="H117" s="359"/>
      <c r="I117" s="478"/>
      <c r="J117" s="359"/>
      <c r="K117" s="478">
        <v>4</v>
      </c>
      <c r="L117" s="359"/>
      <c r="M117" s="478"/>
      <c r="N117" s="561"/>
      <c r="O117" s="340">
        <f t="shared" si="24"/>
        <v>40</v>
      </c>
      <c r="P117" s="340">
        <f t="shared" si="25"/>
        <v>-12</v>
      </c>
      <c r="Q117" s="7">
        <v>2.5</v>
      </c>
      <c r="R117" s="63"/>
      <c r="S117" s="118">
        <v>46023</v>
      </c>
      <c r="T117" s="316">
        <v>0</v>
      </c>
      <c r="U117" s="316"/>
      <c r="V117" s="199">
        <v>45627</v>
      </c>
      <c r="W117" s="309">
        <v>6</v>
      </c>
      <c r="X117" s="107">
        <v>2</v>
      </c>
      <c r="Y117" s="309">
        <v>2</v>
      </c>
      <c r="Z117" s="309">
        <v>4</v>
      </c>
      <c r="AA117" s="185">
        <f t="shared" si="20"/>
        <v>14</v>
      </c>
      <c r="AB117" s="185">
        <f t="shared" si="21"/>
        <v>3.5</v>
      </c>
      <c r="AC117" s="185">
        <f t="shared" si="22"/>
        <v>14</v>
      </c>
      <c r="AD117" s="185">
        <f t="shared" si="23"/>
        <v>28</v>
      </c>
    </row>
    <row r="118" spans="1:30" ht="15" customHeight="1" x14ac:dyDescent="0.25">
      <c r="A118" s="315">
        <f t="shared" si="19"/>
        <v>117</v>
      </c>
      <c r="B118" s="314" t="s">
        <v>96</v>
      </c>
      <c r="C118" s="415">
        <v>4</v>
      </c>
      <c r="D118" s="359"/>
      <c r="E118" s="478"/>
      <c r="F118" s="359"/>
      <c r="G118" s="478">
        <v>1</v>
      </c>
      <c r="H118" s="359"/>
      <c r="I118" s="478"/>
      <c r="J118" s="359"/>
      <c r="K118" s="478"/>
      <c r="L118" s="359"/>
      <c r="M118" s="478"/>
      <c r="N118" s="561"/>
      <c r="O118" s="340">
        <f t="shared" si="24"/>
        <v>3</v>
      </c>
      <c r="P118" s="438">
        <f t="shared" si="25"/>
        <v>19</v>
      </c>
      <c r="Q118" s="7">
        <v>16</v>
      </c>
      <c r="R118" s="79"/>
      <c r="S118" s="344">
        <v>46692</v>
      </c>
      <c r="T118" s="318">
        <v>6</v>
      </c>
      <c r="U118" s="318">
        <v>3</v>
      </c>
      <c r="V118" s="344">
        <v>45717</v>
      </c>
      <c r="W118" s="309">
        <v>2</v>
      </c>
      <c r="X118" s="309">
        <v>4</v>
      </c>
      <c r="Y118" s="309">
        <v>3</v>
      </c>
      <c r="Z118" s="309">
        <v>2</v>
      </c>
      <c r="AA118" s="185">
        <f t="shared" si="20"/>
        <v>11</v>
      </c>
      <c r="AB118" s="185">
        <f t="shared" si="21"/>
        <v>2.75</v>
      </c>
      <c r="AC118" s="185">
        <f t="shared" si="22"/>
        <v>11</v>
      </c>
      <c r="AD118" s="185">
        <f t="shared" si="23"/>
        <v>22</v>
      </c>
    </row>
    <row r="119" spans="1:30" ht="15" customHeight="1" x14ac:dyDescent="0.25">
      <c r="A119" s="315">
        <f t="shared" si="19"/>
        <v>118</v>
      </c>
      <c r="B119" s="314" t="s">
        <v>222</v>
      </c>
      <c r="C119" s="415">
        <v>0</v>
      </c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340">
        <f t="shared" si="24"/>
        <v>0</v>
      </c>
      <c r="P119" s="438">
        <f t="shared" si="25"/>
        <v>22</v>
      </c>
      <c r="Q119" s="7">
        <v>4</v>
      </c>
      <c r="R119" s="8" t="s">
        <v>1416</v>
      </c>
      <c r="S119" s="118">
        <v>46508</v>
      </c>
      <c r="T119" s="316">
        <v>0</v>
      </c>
      <c r="U119" s="316"/>
      <c r="V119" s="199">
        <v>45017</v>
      </c>
      <c r="W119" s="309">
        <v>2</v>
      </c>
      <c r="X119" s="107">
        <v>3</v>
      </c>
      <c r="Y119" s="309">
        <v>4</v>
      </c>
      <c r="Z119" s="309">
        <v>2</v>
      </c>
      <c r="AA119" s="185">
        <f t="shared" si="20"/>
        <v>11</v>
      </c>
      <c r="AB119" s="185">
        <f t="shared" si="21"/>
        <v>2.75</v>
      </c>
      <c r="AC119" s="185">
        <f t="shared" si="22"/>
        <v>11</v>
      </c>
      <c r="AD119" s="185">
        <f t="shared" si="23"/>
        <v>22</v>
      </c>
    </row>
    <row r="120" spans="1:30" ht="15" customHeight="1" x14ac:dyDescent="0.25">
      <c r="A120" s="315">
        <f t="shared" si="19"/>
        <v>119</v>
      </c>
      <c r="B120" s="4" t="s">
        <v>1163</v>
      </c>
      <c r="C120" s="415">
        <v>2</v>
      </c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340">
        <f t="shared" si="24"/>
        <v>2</v>
      </c>
      <c r="P120" s="438">
        <f t="shared" si="25"/>
        <v>30</v>
      </c>
      <c r="Q120" s="7">
        <v>6</v>
      </c>
      <c r="R120" s="63"/>
      <c r="S120" s="118">
        <v>46023</v>
      </c>
      <c r="T120" s="316">
        <v>0</v>
      </c>
      <c r="U120" s="316"/>
      <c r="V120" s="344">
        <v>45352</v>
      </c>
      <c r="W120" s="309">
        <v>1</v>
      </c>
      <c r="X120" s="309">
        <v>11</v>
      </c>
      <c r="Y120" s="309">
        <v>2</v>
      </c>
      <c r="Z120" s="309">
        <v>2</v>
      </c>
      <c r="AA120" s="185">
        <f t="shared" ref="AA120:AA151" si="26">W120+X120+Y120+Z120</f>
        <v>16</v>
      </c>
      <c r="AB120" s="185">
        <f t="shared" ref="AB120:AB151" si="27">AA120/4</f>
        <v>4</v>
      </c>
      <c r="AC120" s="185">
        <f t="shared" ref="AC120:AC151" si="28">AB120*4</f>
        <v>16</v>
      </c>
      <c r="AD120" s="185">
        <f t="shared" ref="AD120:AD151" si="29">AC120*2</f>
        <v>32</v>
      </c>
    </row>
    <row r="121" spans="1:30" ht="15" customHeight="1" x14ac:dyDescent="0.25">
      <c r="A121" s="315">
        <f t="shared" si="19"/>
        <v>120</v>
      </c>
      <c r="B121" s="353" t="s">
        <v>50</v>
      </c>
      <c r="C121" s="415">
        <v>5</v>
      </c>
      <c r="D121" s="457"/>
      <c r="E121" s="503"/>
      <c r="F121" s="457"/>
      <c r="G121" s="503"/>
      <c r="H121" s="457"/>
      <c r="I121" s="503"/>
      <c r="J121" s="457"/>
      <c r="K121" s="503"/>
      <c r="L121" s="457"/>
      <c r="M121" s="503"/>
      <c r="N121" s="585"/>
      <c r="O121" s="340">
        <f t="shared" si="24"/>
        <v>5</v>
      </c>
      <c r="P121" s="438">
        <f t="shared" si="25"/>
        <v>7</v>
      </c>
      <c r="Q121" s="7">
        <v>23</v>
      </c>
      <c r="R121" s="541"/>
      <c r="S121" s="335">
        <v>46419</v>
      </c>
      <c r="T121" s="326">
        <v>11</v>
      </c>
      <c r="U121" s="326">
        <v>6</v>
      </c>
      <c r="V121" s="335">
        <v>45717</v>
      </c>
      <c r="W121" s="326">
        <v>3</v>
      </c>
      <c r="X121" s="326">
        <v>1</v>
      </c>
      <c r="Y121" s="429">
        <v>1</v>
      </c>
      <c r="Z121" s="326">
        <v>1</v>
      </c>
      <c r="AA121" s="185">
        <f t="shared" si="26"/>
        <v>6</v>
      </c>
      <c r="AB121" s="185">
        <f t="shared" si="27"/>
        <v>1.5</v>
      </c>
      <c r="AC121" s="185">
        <f t="shared" si="28"/>
        <v>6</v>
      </c>
      <c r="AD121" s="185">
        <f t="shared" si="29"/>
        <v>12</v>
      </c>
    </row>
    <row r="122" spans="1:30" ht="15" customHeight="1" x14ac:dyDescent="0.25">
      <c r="A122" s="315">
        <f t="shared" si="19"/>
        <v>121</v>
      </c>
      <c r="B122" s="314" t="s">
        <v>630</v>
      </c>
      <c r="C122" s="280">
        <v>0</v>
      </c>
      <c r="D122" s="359"/>
      <c r="E122" s="478"/>
      <c r="F122" s="361"/>
      <c r="G122" s="482"/>
      <c r="H122" s="359"/>
      <c r="I122" s="478"/>
      <c r="J122" s="359"/>
      <c r="K122" s="478"/>
      <c r="L122" s="359"/>
      <c r="M122" s="478"/>
      <c r="N122" s="561"/>
      <c r="O122" s="340">
        <f t="shared" si="24"/>
        <v>0</v>
      </c>
      <c r="P122" s="689">
        <f t="shared" si="25"/>
        <v>0</v>
      </c>
      <c r="Q122" s="7">
        <v>3</v>
      </c>
      <c r="R122" s="126"/>
      <c r="S122" s="118"/>
      <c r="T122" s="316">
        <v>0</v>
      </c>
      <c r="U122" s="316"/>
      <c r="V122" s="344"/>
      <c r="W122" s="309"/>
      <c r="X122" s="309"/>
      <c r="Y122" s="309"/>
      <c r="Z122" s="309"/>
      <c r="AA122" s="185">
        <f t="shared" si="26"/>
        <v>0</v>
      </c>
      <c r="AB122" s="185">
        <f t="shared" si="27"/>
        <v>0</v>
      </c>
      <c r="AC122" s="185">
        <f t="shared" si="28"/>
        <v>0</v>
      </c>
      <c r="AD122" s="185">
        <f t="shared" si="29"/>
        <v>0</v>
      </c>
    </row>
    <row r="123" spans="1:30" ht="15" customHeight="1" x14ac:dyDescent="0.25">
      <c r="A123" s="315">
        <f t="shared" si="19"/>
        <v>122</v>
      </c>
      <c r="B123" s="314" t="s">
        <v>210</v>
      </c>
      <c r="C123" s="415">
        <v>51</v>
      </c>
      <c r="D123" s="359"/>
      <c r="E123" s="478"/>
      <c r="F123" s="359"/>
      <c r="G123" s="478"/>
      <c r="H123" s="359"/>
      <c r="I123" s="478">
        <v>3</v>
      </c>
      <c r="J123" s="359"/>
      <c r="K123" s="478"/>
      <c r="L123" s="359"/>
      <c r="M123" s="478"/>
      <c r="N123" s="561"/>
      <c r="O123" s="340">
        <f t="shared" si="24"/>
        <v>48</v>
      </c>
      <c r="P123" s="340">
        <f t="shared" si="25"/>
        <v>-16</v>
      </c>
      <c r="Q123" s="7">
        <v>1</v>
      </c>
      <c r="R123" s="63"/>
      <c r="S123" s="118">
        <v>46023</v>
      </c>
      <c r="T123" s="316">
        <v>0</v>
      </c>
      <c r="U123" s="316"/>
      <c r="V123" s="199">
        <v>45658</v>
      </c>
      <c r="W123" s="309">
        <v>1</v>
      </c>
      <c r="X123" s="107">
        <v>2</v>
      </c>
      <c r="Y123" s="309">
        <v>5</v>
      </c>
      <c r="Z123" s="309">
        <v>8</v>
      </c>
      <c r="AA123" s="185">
        <f t="shared" si="26"/>
        <v>16</v>
      </c>
      <c r="AB123" s="185">
        <f t="shared" si="27"/>
        <v>4</v>
      </c>
      <c r="AC123" s="185">
        <f t="shared" si="28"/>
        <v>16</v>
      </c>
      <c r="AD123" s="185">
        <f t="shared" si="29"/>
        <v>32</v>
      </c>
    </row>
    <row r="124" spans="1:30" ht="15" customHeight="1" x14ac:dyDescent="0.25">
      <c r="A124" s="315">
        <f t="shared" si="19"/>
        <v>123</v>
      </c>
      <c r="B124" s="314" t="s">
        <v>537</v>
      </c>
      <c r="C124" s="415">
        <v>2</v>
      </c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340">
        <f t="shared" si="24"/>
        <v>2</v>
      </c>
      <c r="P124" s="438">
        <f t="shared" si="25"/>
        <v>6</v>
      </c>
      <c r="Q124" s="7">
        <v>50</v>
      </c>
      <c r="R124" s="63"/>
      <c r="S124" s="118">
        <v>47088</v>
      </c>
      <c r="T124" s="316">
        <v>2</v>
      </c>
      <c r="U124" s="316"/>
      <c r="V124" s="199">
        <v>45658</v>
      </c>
      <c r="W124" s="195">
        <v>1</v>
      </c>
      <c r="X124" s="107">
        <v>1</v>
      </c>
      <c r="Y124" s="309">
        <v>1</v>
      </c>
      <c r="Z124" s="195">
        <v>1</v>
      </c>
      <c r="AA124" s="185">
        <f t="shared" si="26"/>
        <v>4</v>
      </c>
      <c r="AB124" s="185">
        <f t="shared" si="27"/>
        <v>1</v>
      </c>
      <c r="AC124" s="185">
        <f t="shared" si="28"/>
        <v>4</v>
      </c>
      <c r="AD124" s="185">
        <f t="shared" si="29"/>
        <v>8</v>
      </c>
    </row>
    <row r="125" spans="1:30" x14ac:dyDescent="0.25">
      <c r="A125" s="315">
        <f t="shared" si="19"/>
        <v>124</v>
      </c>
      <c r="B125" s="3" t="s">
        <v>88</v>
      </c>
      <c r="C125" s="415">
        <v>1</v>
      </c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340">
        <f t="shared" si="24"/>
        <v>1</v>
      </c>
      <c r="P125" s="438">
        <f t="shared" si="25"/>
        <v>7</v>
      </c>
      <c r="Q125" s="7">
        <v>33</v>
      </c>
      <c r="R125" s="8" t="s">
        <v>833</v>
      </c>
      <c r="S125" s="344">
        <v>46174</v>
      </c>
      <c r="T125" s="318">
        <v>3</v>
      </c>
      <c r="U125" s="318"/>
      <c r="V125" s="344">
        <v>45597</v>
      </c>
      <c r="W125" s="309">
        <v>1</v>
      </c>
      <c r="X125" s="309">
        <v>1</v>
      </c>
      <c r="Y125" s="309">
        <v>1</v>
      </c>
      <c r="Z125" s="309">
        <v>1</v>
      </c>
      <c r="AA125" s="185">
        <f t="shared" si="26"/>
        <v>4</v>
      </c>
      <c r="AB125" s="185">
        <f t="shared" si="27"/>
        <v>1</v>
      </c>
      <c r="AC125" s="185">
        <f t="shared" si="28"/>
        <v>4</v>
      </c>
      <c r="AD125" s="185">
        <f t="shared" si="29"/>
        <v>8</v>
      </c>
    </row>
    <row r="126" spans="1:30" ht="15" customHeight="1" x14ac:dyDescent="0.25">
      <c r="A126" s="315">
        <f t="shared" si="19"/>
        <v>125</v>
      </c>
      <c r="B126" s="314" t="s">
        <v>233</v>
      </c>
      <c r="C126" s="415">
        <v>38</v>
      </c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340">
        <f t="shared" si="24"/>
        <v>38</v>
      </c>
      <c r="P126" s="438">
        <f t="shared" si="25"/>
        <v>6</v>
      </c>
      <c r="Q126" s="7">
        <v>2.7</v>
      </c>
      <c r="R126" s="63"/>
      <c r="S126" s="118">
        <v>46204</v>
      </c>
      <c r="T126" s="316">
        <v>2</v>
      </c>
      <c r="U126" s="316"/>
      <c r="V126" s="199">
        <v>45597</v>
      </c>
      <c r="W126" s="309">
        <v>4</v>
      </c>
      <c r="X126" s="107">
        <v>1</v>
      </c>
      <c r="Y126" s="309">
        <v>14</v>
      </c>
      <c r="Z126" s="309">
        <v>3</v>
      </c>
      <c r="AA126" s="185">
        <f t="shared" si="26"/>
        <v>22</v>
      </c>
      <c r="AB126" s="185">
        <f t="shared" si="27"/>
        <v>5.5</v>
      </c>
      <c r="AC126" s="185">
        <f t="shared" si="28"/>
        <v>22</v>
      </c>
      <c r="AD126" s="185">
        <f t="shared" si="29"/>
        <v>44</v>
      </c>
    </row>
    <row r="127" spans="1:30" ht="15" customHeight="1" x14ac:dyDescent="0.25">
      <c r="A127" s="315">
        <f t="shared" si="19"/>
        <v>126</v>
      </c>
      <c r="B127" s="3" t="s">
        <v>307</v>
      </c>
      <c r="C127" s="415">
        <v>1</v>
      </c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340">
        <f t="shared" si="24"/>
        <v>1</v>
      </c>
      <c r="P127" s="438">
        <f t="shared" si="25"/>
        <v>5</v>
      </c>
      <c r="Q127" s="7">
        <v>20</v>
      </c>
      <c r="R127" s="253"/>
      <c r="S127" s="344"/>
      <c r="T127" s="318">
        <v>1</v>
      </c>
      <c r="U127" s="318"/>
      <c r="V127" s="330">
        <v>44287</v>
      </c>
      <c r="W127" s="309">
        <v>1</v>
      </c>
      <c r="X127" s="309"/>
      <c r="Y127" s="309">
        <v>1</v>
      </c>
      <c r="Z127" s="309">
        <v>1</v>
      </c>
      <c r="AA127" s="185">
        <f t="shared" si="26"/>
        <v>3</v>
      </c>
      <c r="AB127" s="185">
        <f t="shared" si="27"/>
        <v>0.75</v>
      </c>
      <c r="AC127" s="185">
        <f t="shared" si="28"/>
        <v>3</v>
      </c>
      <c r="AD127" s="185">
        <f t="shared" si="29"/>
        <v>6</v>
      </c>
    </row>
    <row r="128" spans="1:30" ht="16.5" customHeight="1" x14ac:dyDescent="0.25">
      <c r="A128" s="315">
        <f t="shared" si="19"/>
        <v>127</v>
      </c>
      <c r="B128" s="3" t="s">
        <v>411</v>
      </c>
      <c r="C128" s="415">
        <v>2</v>
      </c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340">
        <f t="shared" si="24"/>
        <v>2</v>
      </c>
      <c r="P128" s="438">
        <f t="shared" si="25"/>
        <v>6</v>
      </c>
      <c r="Q128" s="7">
        <v>13</v>
      </c>
      <c r="R128" s="63"/>
      <c r="S128" s="118">
        <v>45962</v>
      </c>
      <c r="T128" s="316">
        <v>0</v>
      </c>
      <c r="U128" s="316"/>
      <c r="V128" s="199">
        <v>45292</v>
      </c>
      <c r="W128" s="309">
        <v>1</v>
      </c>
      <c r="X128" s="107">
        <v>1</v>
      </c>
      <c r="Y128" s="309">
        <v>1</v>
      </c>
      <c r="Z128" s="309">
        <v>1</v>
      </c>
      <c r="AA128" s="185">
        <f t="shared" si="26"/>
        <v>4</v>
      </c>
      <c r="AB128" s="185">
        <f t="shared" si="27"/>
        <v>1</v>
      </c>
      <c r="AC128" s="185">
        <f t="shared" si="28"/>
        <v>4</v>
      </c>
      <c r="AD128" s="185">
        <f t="shared" si="29"/>
        <v>8</v>
      </c>
    </row>
    <row r="129" spans="1:30" ht="15" customHeight="1" x14ac:dyDescent="0.25">
      <c r="A129" s="315">
        <f t="shared" si="19"/>
        <v>128</v>
      </c>
      <c r="B129" s="314" t="s">
        <v>44</v>
      </c>
      <c r="C129" s="415">
        <v>3</v>
      </c>
      <c r="D129" s="359"/>
      <c r="E129" s="478"/>
      <c r="F129" s="359"/>
      <c r="G129" s="478"/>
      <c r="H129" s="359"/>
      <c r="I129" s="478">
        <v>1</v>
      </c>
      <c r="J129" s="359"/>
      <c r="K129" s="478"/>
      <c r="L129" s="359"/>
      <c r="M129" s="478"/>
      <c r="N129" s="561"/>
      <c r="O129" s="340">
        <f t="shared" si="24"/>
        <v>2</v>
      </c>
      <c r="P129" s="438">
        <f t="shared" si="25"/>
        <v>6</v>
      </c>
      <c r="Q129" s="7">
        <v>14</v>
      </c>
      <c r="R129" s="63"/>
      <c r="S129" s="129">
        <v>46661</v>
      </c>
      <c r="T129" s="316">
        <v>3</v>
      </c>
      <c r="U129" s="316"/>
      <c r="V129" s="344">
        <v>45689</v>
      </c>
      <c r="W129" s="309">
        <v>1</v>
      </c>
      <c r="X129" s="309">
        <v>1</v>
      </c>
      <c r="Y129" s="309">
        <v>1</v>
      </c>
      <c r="Z129" s="309">
        <v>1</v>
      </c>
      <c r="AA129" s="185">
        <f t="shared" si="26"/>
        <v>4</v>
      </c>
      <c r="AB129" s="185">
        <f t="shared" si="27"/>
        <v>1</v>
      </c>
      <c r="AC129" s="185">
        <f t="shared" si="28"/>
        <v>4</v>
      </c>
      <c r="AD129" s="185">
        <f t="shared" si="29"/>
        <v>8</v>
      </c>
    </row>
    <row r="130" spans="1:30" ht="15" customHeight="1" x14ac:dyDescent="0.25">
      <c r="A130" s="315">
        <f t="shared" si="19"/>
        <v>129</v>
      </c>
      <c r="B130" s="3" t="s">
        <v>713</v>
      </c>
      <c r="C130" s="415">
        <v>1</v>
      </c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340">
        <f t="shared" ref="O130:O161" si="30">SUM(C130-D130-E130-F130-G130-H130-I130-J130-K130-L130-M130-N130)</f>
        <v>1</v>
      </c>
      <c r="P130" s="438">
        <f t="shared" ref="P130:P161" si="31">AD130-O130</f>
        <v>1</v>
      </c>
      <c r="Q130" s="7">
        <v>49</v>
      </c>
      <c r="R130" s="64"/>
      <c r="S130" s="118">
        <v>46204</v>
      </c>
      <c r="T130" s="316">
        <v>0</v>
      </c>
      <c r="U130" s="316"/>
      <c r="V130" s="344">
        <v>45231</v>
      </c>
      <c r="W130" s="309"/>
      <c r="X130" s="309"/>
      <c r="Y130" s="309"/>
      <c r="Z130" s="309">
        <v>1</v>
      </c>
      <c r="AA130" s="185">
        <f t="shared" si="26"/>
        <v>1</v>
      </c>
      <c r="AB130" s="185">
        <f t="shared" si="27"/>
        <v>0.25</v>
      </c>
      <c r="AC130" s="185">
        <f t="shared" si="28"/>
        <v>1</v>
      </c>
      <c r="AD130" s="185">
        <f t="shared" si="29"/>
        <v>2</v>
      </c>
    </row>
    <row r="131" spans="1:30" ht="15" customHeight="1" x14ac:dyDescent="0.25">
      <c r="A131" s="315">
        <f t="shared" ref="A131:A178" si="32">A130+1</f>
        <v>130</v>
      </c>
      <c r="B131" s="314" t="s">
        <v>162</v>
      </c>
      <c r="C131" s="415">
        <v>0</v>
      </c>
      <c r="D131" s="361"/>
      <c r="E131" s="482"/>
      <c r="F131" s="361"/>
      <c r="G131" s="482"/>
      <c r="H131" s="361"/>
      <c r="I131" s="482"/>
      <c r="J131" s="359"/>
      <c r="K131" s="478"/>
      <c r="L131" s="361"/>
      <c r="M131" s="482"/>
      <c r="N131" s="563"/>
      <c r="O131" s="340">
        <f t="shared" si="30"/>
        <v>0</v>
      </c>
      <c r="P131" s="689">
        <f t="shared" si="31"/>
        <v>0</v>
      </c>
      <c r="Q131" s="7">
        <v>45</v>
      </c>
      <c r="R131" s="68" t="s">
        <v>597</v>
      </c>
      <c r="S131" s="199"/>
      <c r="T131" s="318">
        <v>0</v>
      </c>
      <c r="U131" s="318"/>
      <c r="V131" s="199"/>
      <c r="W131" s="309"/>
      <c r="X131" s="309"/>
      <c r="Y131" s="309"/>
      <c r="Z131" s="309"/>
      <c r="AA131" s="185">
        <f t="shared" si="26"/>
        <v>0</v>
      </c>
      <c r="AB131" s="185">
        <f t="shared" si="27"/>
        <v>0</v>
      </c>
      <c r="AC131" s="185">
        <f t="shared" si="28"/>
        <v>0</v>
      </c>
      <c r="AD131" s="185">
        <f t="shared" si="29"/>
        <v>0</v>
      </c>
    </row>
    <row r="132" spans="1:30" ht="15" customHeight="1" x14ac:dyDescent="0.25">
      <c r="A132" s="315">
        <f t="shared" si="32"/>
        <v>131</v>
      </c>
      <c r="B132" s="314" t="s">
        <v>281</v>
      </c>
      <c r="C132" s="340">
        <v>1</v>
      </c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340">
        <f t="shared" si="30"/>
        <v>1</v>
      </c>
      <c r="P132" s="438">
        <f t="shared" si="31"/>
        <v>7</v>
      </c>
      <c r="Q132" s="7">
        <v>30</v>
      </c>
      <c r="R132" s="125"/>
      <c r="S132" s="118">
        <v>46296</v>
      </c>
      <c r="T132" s="316">
        <v>1</v>
      </c>
      <c r="U132" s="316"/>
      <c r="V132" s="118">
        <v>45689</v>
      </c>
      <c r="W132" s="309">
        <v>1</v>
      </c>
      <c r="X132" s="309">
        <v>1</v>
      </c>
      <c r="Y132" s="309">
        <v>1</v>
      </c>
      <c r="Z132" s="309">
        <v>1</v>
      </c>
      <c r="AA132" s="185">
        <f t="shared" si="26"/>
        <v>4</v>
      </c>
      <c r="AB132" s="185">
        <f t="shared" si="27"/>
        <v>1</v>
      </c>
      <c r="AC132" s="185">
        <f t="shared" si="28"/>
        <v>4</v>
      </c>
      <c r="AD132" s="185">
        <f t="shared" si="29"/>
        <v>8</v>
      </c>
    </row>
    <row r="133" spans="1:30" ht="15" customHeight="1" x14ac:dyDescent="0.25">
      <c r="A133" s="315">
        <f t="shared" si="32"/>
        <v>132</v>
      </c>
      <c r="B133" s="314" t="s">
        <v>179</v>
      </c>
      <c r="C133" s="415">
        <v>10</v>
      </c>
      <c r="D133" s="359"/>
      <c r="E133" s="478"/>
      <c r="F133" s="359"/>
      <c r="G133" s="478"/>
      <c r="H133" s="359">
        <v>1</v>
      </c>
      <c r="I133" s="478"/>
      <c r="J133" s="359"/>
      <c r="K133" s="478"/>
      <c r="L133" s="359"/>
      <c r="M133" s="478"/>
      <c r="N133" s="561"/>
      <c r="O133" s="340">
        <f t="shared" si="30"/>
        <v>9</v>
      </c>
      <c r="P133" s="438">
        <f t="shared" si="31"/>
        <v>9</v>
      </c>
      <c r="Q133" s="7">
        <v>8</v>
      </c>
      <c r="R133" s="94"/>
      <c r="S133" s="118">
        <v>46753</v>
      </c>
      <c r="T133" s="316">
        <v>0</v>
      </c>
      <c r="U133" s="316">
        <v>1</v>
      </c>
      <c r="V133" s="344">
        <v>45717</v>
      </c>
      <c r="W133" s="309">
        <v>1</v>
      </c>
      <c r="X133" s="309">
        <v>4</v>
      </c>
      <c r="Y133" s="309">
        <v>2</v>
      </c>
      <c r="Z133" s="309">
        <v>2</v>
      </c>
      <c r="AA133" s="185">
        <f t="shared" si="26"/>
        <v>9</v>
      </c>
      <c r="AB133" s="185">
        <f t="shared" si="27"/>
        <v>2.25</v>
      </c>
      <c r="AC133" s="185">
        <f t="shared" si="28"/>
        <v>9</v>
      </c>
      <c r="AD133" s="185">
        <f t="shared" si="29"/>
        <v>18</v>
      </c>
    </row>
    <row r="134" spans="1:30" ht="15" customHeight="1" x14ac:dyDescent="0.25">
      <c r="A134" s="315">
        <f t="shared" si="32"/>
        <v>133</v>
      </c>
      <c r="B134" s="314" t="s">
        <v>531</v>
      </c>
      <c r="C134" s="415">
        <v>16</v>
      </c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340">
        <f t="shared" si="30"/>
        <v>16</v>
      </c>
      <c r="P134" s="689">
        <f t="shared" si="31"/>
        <v>0</v>
      </c>
      <c r="Q134" s="7">
        <v>6</v>
      </c>
      <c r="R134" s="8"/>
      <c r="S134" s="118">
        <v>46174</v>
      </c>
      <c r="T134" s="316">
        <v>0</v>
      </c>
      <c r="U134" s="316"/>
      <c r="V134" s="331">
        <v>44805</v>
      </c>
      <c r="W134" s="309"/>
      <c r="X134" s="309"/>
      <c r="Y134" s="309">
        <v>4</v>
      </c>
      <c r="Z134" s="309">
        <v>4</v>
      </c>
      <c r="AA134" s="185">
        <f t="shared" si="26"/>
        <v>8</v>
      </c>
      <c r="AB134" s="185">
        <f t="shared" si="27"/>
        <v>2</v>
      </c>
      <c r="AC134" s="185">
        <f t="shared" si="28"/>
        <v>8</v>
      </c>
      <c r="AD134" s="185">
        <f t="shared" si="29"/>
        <v>16</v>
      </c>
    </row>
    <row r="135" spans="1:30" x14ac:dyDescent="0.25">
      <c r="A135" s="315">
        <f t="shared" si="32"/>
        <v>134</v>
      </c>
      <c r="B135" s="4" t="s">
        <v>250</v>
      </c>
      <c r="C135" s="415">
        <v>50</v>
      </c>
      <c r="D135" s="359"/>
      <c r="E135" s="478"/>
      <c r="F135" s="360"/>
      <c r="G135" s="480"/>
      <c r="H135" s="360"/>
      <c r="I135" s="480"/>
      <c r="J135" s="360"/>
      <c r="K135" s="480"/>
      <c r="L135" s="360"/>
      <c r="M135" s="480"/>
      <c r="N135" s="562"/>
      <c r="O135" s="340">
        <f t="shared" si="30"/>
        <v>50</v>
      </c>
      <c r="P135" s="340">
        <f t="shared" si="31"/>
        <v>-8</v>
      </c>
      <c r="Q135" s="7">
        <v>7.5</v>
      </c>
      <c r="R135" s="8"/>
      <c r="S135" s="118">
        <v>46174</v>
      </c>
      <c r="T135" s="316">
        <v>0</v>
      </c>
      <c r="U135" s="17"/>
      <c r="V135" s="344">
        <v>45658</v>
      </c>
      <c r="W135" s="309">
        <v>5</v>
      </c>
      <c r="X135" s="309">
        <v>2</v>
      </c>
      <c r="Y135" s="309">
        <v>10</v>
      </c>
      <c r="Z135" s="309">
        <v>4</v>
      </c>
      <c r="AA135" s="185">
        <f t="shared" si="26"/>
        <v>21</v>
      </c>
      <c r="AB135" s="185">
        <f t="shared" si="27"/>
        <v>5.25</v>
      </c>
      <c r="AC135" s="185">
        <f t="shared" si="28"/>
        <v>21</v>
      </c>
      <c r="AD135" s="185">
        <f t="shared" si="29"/>
        <v>42</v>
      </c>
    </row>
    <row r="136" spans="1:30" ht="15" customHeight="1" x14ac:dyDescent="0.25">
      <c r="A136" s="315">
        <f t="shared" si="32"/>
        <v>135</v>
      </c>
      <c r="B136" s="314" t="s">
        <v>39</v>
      </c>
      <c r="C136" s="415">
        <v>2</v>
      </c>
      <c r="D136" s="359"/>
      <c r="E136" s="478"/>
      <c r="F136" s="359"/>
      <c r="G136" s="478"/>
      <c r="H136" s="359"/>
      <c r="I136" s="478"/>
      <c r="J136" s="359">
        <v>1</v>
      </c>
      <c r="K136" s="478"/>
      <c r="L136" s="359"/>
      <c r="M136" s="478"/>
      <c r="N136" s="561"/>
      <c r="O136" s="340">
        <f t="shared" si="30"/>
        <v>1</v>
      </c>
      <c r="P136" s="438">
        <f t="shared" si="31"/>
        <v>7</v>
      </c>
      <c r="Q136" s="7">
        <v>14</v>
      </c>
      <c r="R136" s="8"/>
      <c r="S136" s="118">
        <v>47119</v>
      </c>
      <c r="T136" s="316">
        <v>0</v>
      </c>
      <c r="U136" s="17"/>
      <c r="V136" s="199">
        <v>45689</v>
      </c>
      <c r="W136" s="309">
        <v>1</v>
      </c>
      <c r="X136" s="107">
        <v>1</v>
      </c>
      <c r="Y136" s="309">
        <v>1</v>
      </c>
      <c r="Z136" s="309">
        <v>1</v>
      </c>
      <c r="AA136" s="185">
        <f t="shared" si="26"/>
        <v>4</v>
      </c>
      <c r="AB136" s="185">
        <f t="shared" si="27"/>
        <v>1</v>
      </c>
      <c r="AC136" s="185">
        <f t="shared" si="28"/>
        <v>4</v>
      </c>
      <c r="AD136" s="185">
        <f t="shared" si="29"/>
        <v>8</v>
      </c>
    </row>
    <row r="137" spans="1:30" ht="15" customHeight="1" x14ac:dyDescent="0.25">
      <c r="A137" s="315">
        <f t="shared" si="32"/>
        <v>136</v>
      </c>
      <c r="B137" s="314" t="s">
        <v>37</v>
      </c>
      <c r="C137" s="415">
        <v>0</v>
      </c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340">
        <f t="shared" si="30"/>
        <v>0</v>
      </c>
      <c r="P137" s="689">
        <f t="shared" si="31"/>
        <v>0</v>
      </c>
      <c r="Q137" s="7">
        <v>24</v>
      </c>
      <c r="R137" s="64"/>
      <c r="S137" s="118"/>
      <c r="T137" s="316">
        <v>0</v>
      </c>
      <c r="U137" s="17"/>
      <c r="V137" s="344"/>
      <c r="W137" s="309"/>
      <c r="X137" s="309"/>
      <c r="Y137" s="309"/>
      <c r="Z137" s="309"/>
      <c r="AA137" s="185">
        <f t="shared" si="26"/>
        <v>0</v>
      </c>
      <c r="AB137" s="185">
        <f t="shared" si="27"/>
        <v>0</v>
      </c>
      <c r="AC137" s="185">
        <f t="shared" si="28"/>
        <v>0</v>
      </c>
      <c r="AD137" s="185">
        <f t="shared" si="29"/>
        <v>0</v>
      </c>
    </row>
    <row r="138" spans="1:30" ht="15" customHeight="1" x14ac:dyDescent="0.25">
      <c r="A138" s="315">
        <f t="shared" si="32"/>
        <v>137</v>
      </c>
      <c r="B138" s="314" t="s">
        <v>38</v>
      </c>
      <c r="C138" s="415">
        <v>2</v>
      </c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340">
        <f t="shared" si="30"/>
        <v>2</v>
      </c>
      <c r="P138" s="438">
        <f t="shared" si="31"/>
        <v>6</v>
      </c>
      <c r="Q138" s="7">
        <v>24</v>
      </c>
      <c r="R138" s="63"/>
      <c r="S138" s="118">
        <v>47119</v>
      </c>
      <c r="T138" s="316">
        <v>0</v>
      </c>
      <c r="U138" s="316"/>
      <c r="V138" s="199">
        <v>45444</v>
      </c>
      <c r="W138" s="309">
        <v>1</v>
      </c>
      <c r="X138" s="107">
        <v>1</v>
      </c>
      <c r="Y138" s="309">
        <v>1</v>
      </c>
      <c r="Z138" s="309">
        <v>1</v>
      </c>
      <c r="AA138" s="185">
        <f t="shared" si="26"/>
        <v>4</v>
      </c>
      <c r="AB138" s="185">
        <f t="shared" si="27"/>
        <v>1</v>
      </c>
      <c r="AC138" s="185">
        <f t="shared" si="28"/>
        <v>4</v>
      </c>
      <c r="AD138" s="185">
        <f t="shared" si="29"/>
        <v>8</v>
      </c>
    </row>
    <row r="139" spans="1:30" ht="15" customHeight="1" x14ac:dyDescent="0.25">
      <c r="A139" s="315">
        <f t="shared" si="32"/>
        <v>138</v>
      </c>
      <c r="B139" s="4" t="s">
        <v>55</v>
      </c>
      <c r="C139" s="415">
        <v>114</v>
      </c>
      <c r="D139" s="359"/>
      <c r="E139" s="478">
        <v>10</v>
      </c>
      <c r="F139" s="359"/>
      <c r="G139" s="478"/>
      <c r="H139" s="359"/>
      <c r="I139" s="478"/>
      <c r="J139" s="359">
        <v>10</v>
      </c>
      <c r="K139" s="478"/>
      <c r="L139" s="359"/>
      <c r="M139" s="478"/>
      <c r="N139" s="561"/>
      <c r="O139" s="340">
        <f t="shared" si="30"/>
        <v>94</v>
      </c>
      <c r="P139" s="438">
        <f t="shared" si="31"/>
        <v>108</v>
      </c>
      <c r="Q139" s="7">
        <v>1</v>
      </c>
      <c r="R139" s="8"/>
      <c r="S139" s="344">
        <v>47209</v>
      </c>
      <c r="T139" s="318">
        <v>0</v>
      </c>
      <c r="U139" s="318">
        <v>10</v>
      </c>
      <c r="V139" s="344">
        <v>45717</v>
      </c>
      <c r="W139" s="309">
        <v>30</v>
      </c>
      <c r="X139" s="309">
        <v>16</v>
      </c>
      <c r="Y139" s="309">
        <v>52</v>
      </c>
      <c r="Z139" s="309">
        <v>3</v>
      </c>
      <c r="AA139" s="185">
        <f t="shared" si="26"/>
        <v>101</v>
      </c>
      <c r="AB139" s="185">
        <f t="shared" si="27"/>
        <v>25.25</v>
      </c>
      <c r="AC139" s="185">
        <f t="shared" si="28"/>
        <v>101</v>
      </c>
      <c r="AD139" s="185">
        <f t="shared" si="29"/>
        <v>202</v>
      </c>
    </row>
    <row r="140" spans="1:30" ht="15" customHeight="1" x14ac:dyDescent="0.25">
      <c r="A140" s="315">
        <f t="shared" si="32"/>
        <v>139</v>
      </c>
      <c r="B140" s="314" t="s">
        <v>466</v>
      </c>
      <c r="C140" s="415">
        <v>1</v>
      </c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340">
        <f t="shared" si="30"/>
        <v>1</v>
      </c>
      <c r="P140" s="438">
        <f t="shared" si="31"/>
        <v>7</v>
      </c>
      <c r="Q140" s="7">
        <v>22</v>
      </c>
      <c r="R140" s="66"/>
      <c r="S140" s="118">
        <v>47088</v>
      </c>
      <c r="T140" s="316">
        <v>0</v>
      </c>
      <c r="U140" s="316"/>
      <c r="V140" s="344">
        <v>45689</v>
      </c>
      <c r="W140" s="309">
        <v>1</v>
      </c>
      <c r="X140" s="309">
        <v>1</v>
      </c>
      <c r="Y140" s="309">
        <v>1</v>
      </c>
      <c r="Z140" s="309">
        <v>1</v>
      </c>
      <c r="AA140" s="185">
        <f t="shared" si="26"/>
        <v>4</v>
      </c>
      <c r="AB140" s="185">
        <f t="shared" si="27"/>
        <v>1</v>
      </c>
      <c r="AC140" s="185">
        <f t="shared" si="28"/>
        <v>4</v>
      </c>
      <c r="AD140" s="185">
        <f t="shared" si="29"/>
        <v>8</v>
      </c>
    </row>
    <row r="141" spans="1:30" ht="15" customHeight="1" x14ac:dyDescent="0.25">
      <c r="A141" s="315">
        <f t="shared" si="32"/>
        <v>140</v>
      </c>
      <c r="B141" s="314" t="s">
        <v>167</v>
      </c>
      <c r="C141" s="415">
        <v>2</v>
      </c>
      <c r="D141" s="359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340">
        <f t="shared" si="30"/>
        <v>2</v>
      </c>
      <c r="P141" s="438">
        <f t="shared" si="31"/>
        <v>8</v>
      </c>
      <c r="Q141" s="7">
        <v>16</v>
      </c>
      <c r="R141" s="8"/>
      <c r="S141" s="118">
        <v>47088</v>
      </c>
      <c r="T141" s="316">
        <v>2</v>
      </c>
      <c r="U141" s="316"/>
      <c r="V141" s="199">
        <v>45689</v>
      </c>
      <c r="W141" s="309">
        <v>1</v>
      </c>
      <c r="X141" s="107">
        <v>2</v>
      </c>
      <c r="Y141" s="309">
        <v>1</v>
      </c>
      <c r="Z141" s="309">
        <v>1</v>
      </c>
      <c r="AA141" s="185">
        <f t="shared" si="26"/>
        <v>5</v>
      </c>
      <c r="AB141" s="185">
        <f t="shared" si="27"/>
        <v>1.25</v>
      </c>
      <c r="AC141" s="185">
        <f t="shared" si="28"/>
        <v>5</v>
      </c>
      <c r="AD141" s="185">
        <f t="shared" si="29"/>
        <v>10</v>
      </c>
    </row>
    <row r="142" spans="1:30" ht="15" customHeight="1" x14ac:dyDescent="0.25">
      <c r="A142" s="315">
        <f t="shared" si="32"/>
        <v>141</v>
      </c>
      <c r="B142" s="314" t="s">
        <v>714</v>
      </c>
      <c r="C142" s="415">
        <v>0</v>
      </c>
      <c r="D142" s="359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340">
        <f t="shared" si="30"/>
        <v>0</v>
      </c>
      <c r="P142" s="689">
        <f t="shared" si="31"/>
        <v>0</v>
      </c>
      <c r="Q142" s="7">
        <v>26</v>
      </c>
      <c r="R142" s="28"/>
      <c r="S142" s="118"/>
      <c r="T142" s="316">
        <v>0</v>
      </c>
      <c r="U142" s="316"/>
      <c r="V142" s="344"/>
      <c r="W142" s="309"/>
      <c r="X142" s="309"/>
      <c r="Y142" s="309"/>
      <c r="Z142" s="309"/>
      <c r="AA142" s="185">
        <f t="shared" si="26"/>
        <v>0</v>
      </c>
      <c r="AB142" s="185">
        <f t="shared" si="27"/>
        <v>0</v>
      </c>
      <c r="AC142" s="185">
        <f t="shared" si="28"/>
        <v>0</v>
      </c>
      <c r="AD142" s="185">
        <f t="shared" si="29"/>
        <v>0</v>
      </c>
    </row>
    <row r="143" spans="1:30" ht="15" customHeight="1" x14ac:dyDescent="0.25">
      <c r="A143" s="315">
        <f t="shared" si="32"/>
        <v>142</v>
      </c>
      <c r="B143" s="314" t="s">
        <v>676</v>
      </c>
      <c r="C143" s="415">
        <v>0</v>
      </c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340">
        <f t="shared" si="30"/>
        <v>0</v>
      </c>
      <c r="P143" s="438">
        <f t="shared" si="31"/>
        <v>38</v>
      </c>
      <c r="Q143" s="7">
        <v>2.5</v>
      </c>
      <c r="R143" s="8"/>
      <c r="S143" s="118">
        <v>46478</v>
      </c>
      <c r="T143" s="316">
        <v>0</v>
      </c>
      <c r="U143" s="316"/>
      <c r="V143" s="199">
        <v>45139</v>
      </c>
      <c r="W143" s="309">
        <v>10</v>
      </c>
      <c r="X143" s="107">
        <v>4</v>
      </c>
      <c r="Y143" s="309">
        <v>4</v>
      </c>
      <c r="Z143" s="309">
        <v>1</v>
      </c>
      <c r="AA143" s="185">
        <f t="shared" si="26"/>
        <v>19</v>
      </c>
      <c r="AB143" s="185">
        <f t="shared" si="27"/>
        <v>4.75</v>
      </c>
      <c r="AC143" s="185">
        <f t="shared" si="28"/>
        <v>19</v>
      </c>
      <c r="AD143" s="185">
        <f t="shared" si="29"/>
        <v>38</v>
      </c>
    </row>
    <row r="144" spans="1:30" ht="15" customHeight="1" x14ac:dyDescent="0.25">
      <c r="A144" s="315">
        <f t="shared" si="32"/>
        <v>143</v>
      </c>
      <c r="B144" s="3" t="s">
        <v>951</v>
      </c>
      <c r="C144" s="415">
        <v>1</v>
      </c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340">
        <f t="shared" si="30"/>
        <v>1</v>
      </c>
      <c r="P144" s="340">
        <f t="shared" si="31"/>
        <v>-1</v>
      </c>
      <c r="Q144" s="7">
        <v>19</v>
      </c>
      <c r="R144" s="315"/>
      <c r="S144" s="118">
        <v>46174</v>
      </c>
      <c r="T144" s="316">
        <v>0</v>
      </c>
      <c r="U144" s="17"/>
      <c r="V144" s="199">
        <v>45536</v>
      </c>
      <c r="W144" s="309"/>
      <c r="X144" s="107"/>
      <c r="Y144" s="309"/>
      <c r="Z144" s="309"/>
      <c r="AA144" s="185">
        <f t="shared" si="26"/>
        <v>0</v>
      </c>
      <c r="AB144" s="185">
        <f t="shared" si="27"/>
        <v>0</v>
      </c>
      <c r="AC144" s="185">
        <f t="shared" si="28"/>
        <v>0</v>
      </c>
      <c r="AD144" s="185">
        <f t="shared" si="29"/>
        <v>0</v>
      </c>
    </row>
    <row r="145" spans="1:30" ht="15" customHeight="1" x14ac:dyDescent="0.25">
      <c r="A145" s="315">
        <f t="shared" si="32"/>
        <v>144</v>
      </c>
      <c r="B145" s="314" t="s">
        <v>213</v>
      </c>
      <c r="C145" s="280">
        <v>41</v>
      </c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340">
        <f t="shared" si="30"/>
        <v>41</v>
      </c>
      <c r="P145" s="438">
        <f t="shared" si="31"/>
        <v>11</v>
      </c>
      <c r="Q145" s="7">
        <v>2.5</v>
      </c>
      <c r="R145" s="63" t="s">
        <v>743</v>
      </c>
      <c r="S145" s="118">
        <v>45962</v>
      </c>
      <c r="T145" s="316">
        <v>0</v>
      </c>
      <c r="U145" s="316"/>
      <c r="V145" s="344">
        <v>45597</v>
      </c>
      <c r="W145" s="309">
        <v>4</v>
      </c>
      <c r="X145" s="107">
        <v>3</v>
      </c>
      <c r="Y145" s="309">
        <v>4</v>
      </c>
      <c r="Z145" s="309">
        <v>15</v>
      </c>
      <c r="AA145" s="185">
        <f t="shared" si="26"/>
        <v>26</v>
      </c>
      <c r="AB145" s="185">
        <f t="shared" si="27"/>
        <v>6.5</v>
      </c>
      <c r="AC145" s="185">
        <f t="shared" si="28"/>
        <v>26</v>
      </c>
      <c r="AD145" s="185">
        <f t="shared" si="29"/>
        <v>52</v>
      </c>
    </row>
    <row r="146" spans="1:30" ht="15" customHeight="1" x14ac:dyDescent="0.25">
      <c r="A146" s="315">
        <f t="shared" si="32"/>
        <v>145</v>
      </c>
      <c r="B146" s="314" t="s">
        <v>165</v>
      </c>
      <c r="C146" s="415">
        <v>65</v>
      </c>
      <c r="D146" s="359"/>
      <c r="E146" s="478"/>
      <c r="F146" s="359"/>
      <c r="G146" s="478"/>
      <c r="H146" s="359"/>
      <c r="I146" s="478"/>
      <c r="J146" s="359"/>
      <c r="K146" s="478">
        <v>2</v>
      </c>
      <c r="L146" s="359"/>
      <c r="M146" s="478"/>
      <c r="N146" s="561"/>
      <c r="O146" s="340">
        <f t="shared" si="30"/>
        <v>63</v>
      </c>
      <c r="P146" s="340">
        <f t="shared" si="31"/>
        <v>-43</v>
      </c>
      <c r="Q146" s="7">
        <v>2.5</v>
      </c>
      <c r="R146" s="63" t="s">
        <v>743</v>
      </c>
      <c r="S146" s="118">
        <v>46143</v>
      </c>
      <c r="T146" s="316">
        <v>0</v>
      </c>
      <c r="U146" s="316"/>
      <c r="V146" s="199">
        <v>45658</v>
      </c>
      <c r="W146" s="309">
        <v>4</v>
      </c>
      <c r="X146" s="107">
        <v>2</v>
      </c>
      <c r="Y146" s="309">
        <v>2</v>
      </c>
      <c r="Z146" s="309">
        <v>2</v>
      </c>
      <c r="AA146" s="185">
        <f t="shared" si="26"/>
        <v>10</v>
      </c>
      <c r="AB146" s="185">
        <f t="shared" si="27"/>
        <v>2.5</v>
      </c>
      <c r="AC146" s="185">
        <f t="shared" si="28"/>
        <v>10</v>
      </c>
      <c r="AD146" s="185">
        <f t="shared" si="29"/>
        <v>20</v>
      </c>
    </row>
    <row r="147" spans="1:30" ht="15" customHeight="1" x14ac:dyDescent="0.25">
      <c r="A147" s="315">
        <f t="shared" si="32"/>
        <v>146</v>
      </c>
      <c r="B147" s="651" t="s">
        <v>655</v>
      </c>
      <c r="C147" s="658">
        <v>42</v>
      </c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340">
        <f t="shared" si="30"/>
        <v>42</v>
      </c>
      <c r="P147" s="340">
        <f t="shared" si="31"/>
        <v>-30</v>
      </c>
      <c r="Q147" s="7">
        <v>5</v>
      </c>
      <c r="R147" s="28" t="s">
        <v>743</v>
      </c>
      <c r="S147" s="659">
        <v>45901</v>
      </c>
      <c r="T147" s="316">
        <v>0</v>
      </c>
      <c r="U147" s="316"/>
      <c r="V147" s="118">
        <v>45536</v>
      </c>
      <c r="W147" s="309">
        <v>1</v>
      </c>
      <c r="X147" s="309">
        <v>1</v>
      </c>
      <c r="Y147" s="309">
        <v>1</v>
      </c>
      <c r="Z147" s="309">
        <v>3</v>
      </c>
      <c r="AA147" s="185">
        <f t="shared" si="26"/>
        <v>6</v>
      </c>
      <c r="AB147" s="185">
        <f t="shared" si="27"/>
        <v>1.5</v>
      </c>
      <c r="AC147" s="185">
        <f t="shared" si="28"/>
        <v>6</v>
      </c>
      <c r="AD147" s="185">
        <f t="shared" si="29"/>
        <v>12</v>
      </c>
    </row>
    <row r="148" spans="1:30" ht="15" customHeight="1" x14ac:dyDescent="0.25">
      <c r="A148" s="315">
        <f t="shared" si="32"/>
        <v>147</v>
      </c>
      <c r="B148" s="3" t="s">
        <v>656</v>
      </c>
      <c r="C148" s="415">
        <v>50</v>
      </c>
      <c r="D148" s="359"/>
      <c r="E148" s="478"/>
      <c r="F148" s="359"/>
      <c r="G148" s="478">
        <v>3</v>
      </c>
      <c r="H148" s="359"/>
      <c r="I148" s="478"/>
      <c r="J148" s="359"/>
      <c r="K148" s="478"/>
      <c r="L148" s="359"/>
      <c r="M148" s="478"/>
      <c r="N148" s="561"/>
      <c r="O148" s="340">
        <f t="shared" si="30"/>
        <v>47</v>
      </c>
      <c r="P148" s="438">
        <f t="shared" si="31"/>
        <v>3</v>
      </c>
      <c r="Q148" s="7">
        <v>5</v>
      </c>
      <c r="R148" s="63" t="s">
        <v>743</v>
      </c>
      <c r="S148" s="118">
        <v>45931</v>
      </c>
      <c r="T148" s="326">
        <v>1</v>
      </c>
      <c r="U148" s="326"/>
      <c r="V148" s="335">
        <v>45689</v>
      </c>
      <c r="W148" s="309">
        <v>4</v>
      </c>
      <c r="X148" s="309">
        <v>4</v>
      </c>
      <c r="Y148" s="309">
        <v>12</v>
      </c>
      <c r="Z148" s="309">
        <v>5</v>
      </c>
      <c r="AA148" s="185">
        <f t="shared" si="26"/>
        <v>25</v>
      </c>
      <c r="AB148" s="185">
        <f t="shared" si="27"/>
        <v>6.25</v>
      </c>
      <c r="AC148" s="185">
        <f t="shared" si="28"/>
        <v>25</v>
      </c>
      <c r="AD148" s="185">
        <f t="shared" si="29"/>
        <v>50</v>
      </c>
    </row>
    <row r="149" spans="1:30" ht="15" customHeight="1" x14ac:dyDescent="0.25">
      <c r="A149" s="315">
        <f t="shared" si="32"/>
        <v>148</v>
      </c>
      <c r="B149" s="3" t="s">
        <v>493</v>
      </c>
      <c r="C149" s="415">
        <v>37</v>
      </c>
      <c r="D149" s="359"/>
      <c r="E149" s="478"/>
      <c r="F149" s="359"/>
      <c r="G149" s="478"/>
      <c r="H149" s="359"/>
      <c r="I149" s="478"/>
      <c r="J149" s="359"/>
      <c r="K149" s="478">
        <v>2</v>
      </c>
      <c r="L149" s="359"/>
      <c r="M149" s="478">
        <v>2</v>
      </c>
      <c r="N149" s="561"/>
      <c r="O149" s="340">
        <f t="shared" si="30"/>
        <v>33</v>
      </c>
      <c r="P149" s="340">
        <f t="shared" si="31"/>
        <v>1</v>
      </c>
      <c r="Q149" s="7">
        <v>2.5</v>
      </c>
      <c r="R149" s="63" t="s">
        <v>743</v>
      </c>
      <c r="S149" s="118">
        <v>45992</v>
      </c>
      <c r="T149" s="326">
        <v>0</v>
      </c>
      <c r="U149" s="326"/>
      <c r="V149" s="337">
        <v>45658</v>
      </c>
      <c r="W149" s="309">
        <v>2</v>
      </c>
      <c r="X149" s="107">
        <v>4</v>
      </c>
      <c r="Y149" s="309">
        <v>6</v>
      </c>
      <c r="Z149" s="309">
        <v>5</v>
      </c>
      <c r="AA149" s="185">
        <f t="shared" si="26"/>
        <v>17</v>
      </c>
      <c r="AB149" s="185">
        <f t="shared" si="27"/>
        <v>4.25</v>
      </c>
      <c r="AC149" s="185">
        <f t="shared" si="28"/>
        <v>17</v>
      </c>
      <c r="AD149" s="185">
        <f t="shared" si="29"/>
        <v>34</v>
      </c>
    </row>
    <row r="150" spans="1:30" ht="15" customHeight="1" x14ac:dyDescent="0.25">
      <c r="A150" s="315">
        <f t="shared" si="32"/>
        <v>149</v>
      </c>
      <c r="B150" s="3" t="s">
        <v>653</v>
      </c>
      <c r="C150" s="415">
        <v>33</v>
      </c>
      <c r="D150" s="359"/>
      <c r="E150" s="478"/>
      <c r="F150" s="359"/>
      <c r="G150" s="478">
        <v>2</v>
      </c>
      <c r="H150" s="359"/>
      <c r="I150" s="478"/>
      <c r="J150" s="359"/>
      <c r="K150" s="478">
        <v>4</v>
      </c>
      <c r="L150" s="359"/>
      <c r="M150" s="478"/>
      <c r="N150" s="561"/>
      <c r="O150" s="340">
        <f t="shared" si="30"/>
        <v>27</v>
      </c>
      <c r="P150" s="340">
        <f t="shared" si="31"/>
        <v>13</v>
      </c>
      <c r="Q150" s="7">
        <v>5</v>
      </c>
      <c r="R150" s="63" t="s">
        <v>743</v>
      </c>
      <c r="S150" s="118">
        <v>45962</v>
      </c>
      <c r="T150" s="326">
        <v>2</v>
      </c>
      <c r="U150" s="326"/>
      <c r="V150" s="335">
        <v>45627</v>
      </c>
      <c r="W150" s="309">
        <v>7</v>
      </c>
      <c r="X150" s="309">
        <v>2</v>
      </c>
      <c r="Y150" s="309">
        <v>5</v>
      </c>
      <c r="Z150" s="309">
        <v>6</v>
      </c>
      <c r="AA150" s="185">
        <f t="shared" si="26"/>
        <v>20</v>
      </c>
      <c r="AB150" s="185">
        <f t="shared" si="27"/>
        <v>5</v>
      </c>
      <c r="AC150" s="185">
        <f t="shared" si="28"/>
        <v>20</v>
      </c>
      <c r="AD150" s="185">
        <f t="shared" si="29"/>
        <v>40</v>
      </c>
    </row>
    <row r="151" spans="1:30" ht="15" customHeight="1" x14ac:dyDescent="0.25">
      <c r="A151" s="315">
        <f t="shared" si="32"/>
        <v>150</v>
      </c>
      <c r="B151" s="3" t="s">
        <v>654</v>
      </c>
      <c r="C151" s="415">
        <v>45</v>
      </c>
      <c r="D151" s="359"/>
      <c r="E151" s="478"/>
      <c r="F151" s="359"/>
      <c r="G151" s="478"/>
      <c r="H151" s="359"/>
      <c r="I151" s="478">
        <v>2</v>
      </c>
      <c r="J151" s="359"/>
      <c r="K151" s="478">
        <v>2</v>
      </c>
      <c r="L151" s="359"/>
      <c r="M151" s="478"/>
      <c r="N151" s="561"/>
      <c r="O151" s="340">
        <f t="shared" si="30"/>
        <v>41</v>
      </c>
      <c r="P151" s="340">
        <f t="shared" si="31"/>
        <v>-5</v>
      </c>
      <c r="Q151" s="7">
        <v>5</v>
      </c>
      <c r="R151" s="125" t="s">
        <v>743</v>
      </c>
      <c r="S151" s="118">
        <v>45931</v>
      </c>
      <c r="T151" s="326">
        <v>3</v>
      </c>
      <c r="U151" s="326"/>
      <c r="V151" s="335">
        <v>45689</v>
      </c>
      <c r="W151" s="309">
        <v>7</v>
      </c>
      <c r="X151" s="309">
        <v>5</v>
      </c>
      <c r="Y151" s="309">
        <v>3</v>
      </c>
      <c r="Z151" s="309">
        <v>3</v>
      </c>
      <c r="AA151" s="185">
        <f t="shared" si="26"/>
        <v>18</v>
      </c>
      <c r="AB151" s="185">
        <f t="shared" si="27"/>
        <v>4.5</v>
      </c>
      <c r="AC151" s="185">
        <f t="shared" si="28"/>
        <v>18</v>
      </c>
      <c r="AD151" s="185">
        <f t="shared" si="29"/>
        <v>36</v>
      </c>
    </row>
    <row r="152" spans="1:30" ht="15" customHeight="1" x14ac:dyDescent="0.25">
      <c r="A152" s="315">
        <f t="shared" si="32"/>
        <v>151</v>
      </c>
      <c r="B152" s="651" t="s">
        <v>215</v>
      </c>
      <c r="C152" s="658">
        <v>35</v>
      </c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340">
        <f t="shared" si="30"/>
        <v>35</v>
      </c>
      <c r="P152" s="340">
        <f t="shared" si="31"/>
        <v>-5</v>
      </c>
      <c r="Q152" s="7">
        <v>1.5</v>
      </c>
      <c r="R152" s="8" t="s">
        <v>743</v>
      </c>
      <c r="S152" s="659">
        <v>45839</v>
      </c>
      <c r="T152" s="316">
        <v>0</v>
      </c>
      <c r="U152" s="316"/>
      <c r="V152" s="344">
        <v>45323</v>
      </c>
      <c r="W152" s="309">
        <v>2</v>
      </c>
      <c r="X152" s="309">
        <v>4</v>
      </c>
      <c r="Y152" s="309">
        <v>3</v>
      </c>
      <c r="Z152" s="309">
        <v>6</v>
      </c>
      <c r="AA152" s="185">
        <f t="shared" ref="AA152:AA172" si="33">W152+X152+Y152+Z152</f>
        <v>15</v>
      </c>
      <c r="AB152" s="185">
        <f t="shared" ref="AB152:AB172" si="34">AA152/4</f>
        <v>3.75</v>
      </c>
      <c r="AC152" s="185">
        <f t="shared" ref="AC152:AC172" si="35">AB152*4</f>
        <v>15</v>
      </c>
      <c r="AD152" s="185">
        <f t="shared" ref="AD152:AD172" si="36">AC152*2</f>
        <v>30</v>
      </c>
    </row>
    <row r="153" spans="1:30" ht="15" customHeight="1" x14ac:dyDescent="0.25">
      <c r="A153" s="315">
        <f t="shared" si="32"/>
        <v>152</v>
      </c>
      <c r="B153" s="314" t="s">
        <v>497</v>
      </c>
      <c r="C153" s="415">
        <v>56</v>
      </c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340">
        <f t="shared" si="30"/>
        <v>56</v>
      </c>
      <c r="P153" s="340">
        <f t="shared" si="31"/>
        <v>-38</v>
      </c>
      <c r="Q153" s="7">
        <v>2</v>
      </c>
      <c r="R153" s="28" t="s">
        <v>743</v>
      </c>
      <c r="S153" s="129">
        <v>45962</v>
      </c>
      <c r="T153" s="316">
        <v>0</v>
      </c>
      <c r="U153" s="316"/>
      <c r="V153" s="118">
        <v>45689</v>
      </c>
      <c r="W153" s="309">
        <v>1</v>
      </c>
      <c r="X153" s="309">
        <v>4</v>
      </c>
      <c r="Y153" s="309">
        <v>2</v>
      </c>
      <c r="Z153" s="309">
        <v>2</v>
      </c>
      <c r="AA153" s="185">
        <f t="shared" si="33"/>
        <v>9</v>
      </c>
      <c r="AB153" s="185">
        <f t="shared" si="34"/>
        <v>2.25</v>
      </c>
      <c r="AC153" s="185">
        <f t="shared" si="35"/>
        <v>9</v>
      </c>
      <c r="AD153" s="185">
        <f t="shared" si="36"/>
        <v>18</v>
      </c>
    </row>
    <row r="154" spans="1:30" ht="13.5" customHeight="1" x14ac:dyDescent="0.25">
      <c r="A154" s="315">
        <f t="shared" si="32"/>
        <v>153</v>
      </c>
      <c r="B154" s="314" t="s">
        <v>1368</v>
      </c>
      <c r="C154" s="415">
        <v>2</v>
      </c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340">
        <f t="shared" si="30"/>
        <v>2</v>
      </c>
      <c r="P154" s="438">
        <f t="shared" si="31"/>
        <v>6</v>
      </c>
      <c r="Q154" s="7">
        <v>25</v>
      </c>
      <c r="R154" s="63"/>
      <c r="S154" s="118">
        <v>46692</v>
      </c>
      <c r="T154" s="316">
        <v>2</v>
      </c>
      <c r="U154" s="17"/>
      <c r="V154" s="199">
        <v>45658</v>
      </c>
      <c r="W154" s="309">
        <v>1</v>
      </c>
      <c r="X154" s="107">
        <v>1</v>
      </c>
      <c r="Y154" s="309">
        <v>1</v>
      </c>
      <c r="Z154" s="309">
        <v>1</v>
      </c>
      <c r="AA154" s="185">
        <f t="shared" si="33"/>
        <v>4</v>
      </c>
      <c r="AB154" s="185">
        <f t="shared" si="34"/>
        <v>1</v>
      </c>
      <c r="AC154" s="185">
        <f t="shared" si="35"/>
        <v>4</v>
      </c>
      <c r="AD154" s="185">
        <f t="shared" si="36"/>
        <v>8</v>
      </c>
    </row>
    <row r="155" spans="1:30" ht="15" customHeight="1" x14ac:dyDescent="0.25">
      <c r="A155" s="315">
        <f t="shared" si="32"/>
        <v>154</v>
      </c>
      <c r="B155" s="3" t="s">
        <v>523</v>
      </c>
      <c r="C155" s="415">
        <v>1</v>
      </c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340">
        <f t="shared" si="30"/>
        <v>1</v>
      </c>
      <c r="P155" s="438">
        <f t="shared" si="31"/>
        <v>7</v>
      </c>
      <c r="Q155" s="7">
        <v>18</v>
      </c>
      <c r="R155" s="63"/>
      <c r="S155" s="118">
        <v>46023</v>
      </c>
      <c r="T155" s="316">
        <v>0</v>
      </c>
      <c r="U155" s="17"/>
      <c r="V155" s="199">
        <v>45383</v>
      </c>
      <c r="W155" s="309">
        <v>1</v>
      </c>
      <c r="X155" s="107">
        <v>1</v>
      </c>
      <c r="Y155" s="309">
        <v>1</v>
      </c>
      <c r="Z155" s="309">
        <v>1</v>
      </c>
      <c r="AA155" s="185">
        <f t="shared" si="33"/>
        <v>4</v>
      </c>
      <c r="AB155" s="185">
        <f t="shared" si="34"/>
        <v>1</v>
      </c>
      <c r="AC155" s="185">
        <f t="shared" si="35"/>
        <v>4</v>
      </c>
      <c r="AD155" s="185">
        <f t="shared" si="36"/>
        <v>8</v>
      </c>
    </row>
    <row r="156" spans="1:30" ht="15" customHeight="1" x14ac:dyDescent="0.25">
      <c r="A156" s="315">
        <f t="shared" si="32"/>
        <v>155</v>
      </c>
      <c r="B156" s="3" t="s">
        <v>933</v>
      </c>
      <c r="C156" s="340">
        <v>89</v>
      </c>
      <c r="D156" s="359">
        <v>10</v>
      </c>
      <c r="E156" s="478">
        <v>8</v>
      </c>
      <c r="F156" s="359"/>
      <c r="G156" s="478">
        <v>5</v>
      </c>
      <c r="H156" s="359">
        <v>1</v>
      </c>
      <c r="I156" s="478"/>
      <c r="J156" s="359"/>
      <c r="K156" s="478"/>
      <c r="L156" s="359"/>
      <c r="M156" s="478">
        <v>3</v>
      </c>
      <c r="N156" s="565"/>
      <c r="O156" s="340">
        <f t="shared" si="30"/>
        <v>62</v>
      </c>
      <c r="P156" s="438">
        <f t="shared" si="31"/>
        <v>78</v>
      </c>
      <c r="Q156" s="10">
        <v>4.3</v>
      </c>
      <c r="R156" s="63"/>
      <c r="S156" s="344">
        <v>46388</v>
      </c>
      <c r="T156" s="318">
        <v>5</v>
      </c>
      <c r="U156" s="318"/>
      <c r="V156" s="344">
        <v>45627</v>
      </c>
      <c r="W156" s="309">
        <v>15</v>
      </c>
      <c r="X156" s="309">
        <v>12</v>
      </c>
      <c r="Y156" s="309">
        <v>28</v>
      </c>
      <c r="Z156" s="429">
        <v>15</v>
      </c>
      <c r="AA156" s="185">
        <f t="shared" si="33"/>
        <v>70</v>
      </c>
      <c r="AB156" s="185">
        <f t="shared" si="34"/>
        <v>17.5</v>
      </c>
      <c r="AC156" s="185">
        <f t="shared" si="35"/>
        <v>70</v>
      </c>
      <c r="AD156" s="185">
        <f t="shared" si="36"/>
        <v>140</v>
      </c>
    </row>
    <row r="157" spans="1:30" ht="15" customHeight="1" x14ac:dyDescent="0.25">
      <c r="A157" s="315">
        <f t="shared" si="32"/>
        <v>156</v>
      </c>
      <c r="B157" s="314" t="s">
        <v>57</v>
      </c>
      <c r="C157" s="433">
        <v>2</v>
      </c>
      <c r="D157" s="359"/>
      <c r="E157" s="478"/>
      <c r="F157" s="359"/>
      <c r="G157" s="478"/>
      <c r="H157" s="359"/>
      <c r="I157" s="478"/>
      <c r="J157" s="359"/>
      <c r="K157" s="478"/>
      <c r="L157" s="359"/>
      <c r="M157" s="478"/>
      <c r="N157" s="561"/>
      <c r="O157" s="340">
        <f t="shared" si="30"/>
        <v>2</v>
      </c>
      <c r="P157" s="438">
        <f t="shared" si="31"/>
        <v>6</v>
      </c>
      <c r="Q157" s="7">
        <v>25</v>
      </c>
      <c r="R157" s="63"/>
      <c r="S157" s="118">
        <v>46266</v>
      </c>
      <c r="T157" s="316">
        <v>2</v>
      </c>
      <c r="U157" s="316"/>
      <c r="V157" s="199">
        <v>45566</v>
      </c>
      <c r="W157" s="309">
        <v>1</v>
      </c>
      <c r="X157" s="107">
        <v>1</v>
      </c>
      <c r="Y157" s="309">
        <v>1</v>
      </c>
      <c r="Z157" s="309">
        <v>1</v>
      </c>
      <c r="AA157" s="185">
        <f t="shared" si="33"/>
        <v>4</v>
      </c>
      <c r="AB157" s="185">
        <f t="shared" si="34"/>
        <v>1</v>
      </c>
      <c r="AC157" s="185">
        <f t="shared" si="35"/>
        <v>4</v>
      </c>
      <c r="AD157" s="185">
        <f t="shared" si="36"/>
        <v>8</v>
      </c>
    </row>
    <row r="158" spans="1:30" ht="15" customHeight="1" x14ac:dyDescent="0.25">
      <c r="A158" s="315">
        <f t="shared" si="32"/>
        <v>157</v>
      </c>
      <c r="B158" s="3" t="s">
        <v>588</v>
      </c>
      <c r="C158" s="415">
        <v>0</v>
      </c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340">
        <f t="shared" si="30"/>
        <v>0</v>
      </c>
      <c r="P158" s="438">
        <f t="shared" si="31"/>
        <v>8</v>
      </c>
      <c r="Q158" s="7">
        <v>15</v>
      </c>
      <c r="R158" s="63"/>
      <c r="S158" s="118">
        <v>46266</v>
      </c>
      <c r="T158" s="316">
        <v>2</v>
      </c>
      <c r="U158" s="17"/>
      <c r="V158" s="199">
        <v>45658</v>
      </c>
      <c r="W158" s="309">
        <v>1</v>
      </c>
      <c r="X158" s="107">
        <v>1</v>
      </c>
      <c r="Y158" s="309">
        <v>1</v>
      </c>
      <c r="Z158" s="309">
        <v>1</v>
      </c>
      <c r="AA158" s="185">
        <f t="shared" si="33"/>
        <v>4</v>
      </c>
      <c r="AB158" s="185">
        <f t="shared" si="34"/>
        <v>1</v>
      </c>
      <c r="AC158" s="185">
        <f t="shared" si="35"/>
        <v>4</v>
      </c>
      <c r="AD158" s="185">
        <f t="shared" si="36"/>
        <v>8</v>
      </c>
    </row>
    <row r="159" spans="1:30" ht="15" customHeight="1" x14ac:dyDescent="0.25">
      <c r="A159" s="315">
        <f t="shared" si="32"/>
        <v>158</v>
      </c>
      <c r="B159" s="3" t="s">
        <v>98</v>
      </c>
      <c r="C159" s="415">
        <v>2</v>
      </c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340">
        <f t="shared" si="30"/>
        <v>2</v>
      </c>
      <c r="P159" s="438">
        <f t="shared" si="31"/>
        <v>6</v>
      </c>
      <c r="Q159" s="7">
        <v>19</v>
      </c>
      <c r="R159" s="63"/>
      <c r="S159" s="118">
        <v>46327</v>
      </c>
      <c r="T159" s="316">
        <v>2</v>
      </c>
      <c r="U159" s="17">
        <v>2</v>
      </c>
      <c r="V159" s="344">
        <v>45717</v>
      </c>
      <c r="W159" s="309">
        <v>1</v>
      </c>
      <c r="X159" s="309">
        <v>1</v>
      </c>
      <c r="Y159" s="309">
        <v>1</v>
      </c>
      <c r="Z159" s="309">
        <v>1</v>
      </c>
      <c r="AA159" s="185">
        <f t="shared" si="33"/>
        <v>4</v>
      </c>
      <c r="AB159" s="185">
        <f t="shared" si="34"/>
        <v>1</v>
      </c>
      <c r="AC159" s="185">
        <f t="shared" si="35"/>
        <v>4</v>
      </c>
      <c r="AD159" s="185">
        <f t="shared" si="36"/>
        <v>8</v>
      </c>
    </row>
    <row r="160" spans="1:30" ht="15" customHeight="1" x14ac:dyDescent="0.25">
      <c r="A160" s="315">
        <f t="shared" si="32"/>
        <v>159</v>
      </c>
      <c r="B160" s="3" t="s">
        <v>265</v>
      </c>
      <c r="C160" s="415">
        <v>1</v>
      </c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340">
        <f t="shared" si="30"/>
        <v>1</v>
      </c>
      <c r="P160" s="438">
        <f t="shared" si="31"/>
        <v>7</v>
      </c>
      <c r="Q160" s="7">
        <v>39</v>
      </c>
      <c r="R160" s="63"/>
      <c r="S160" s="118"/>
      <c r="T160" s="316">
        <v>0</v>
      </c>
      <c r="U160" s="17"/>
      <c r="V160" s="344">
        <v>45627</v>
      </c>
      <c r="W160" s="309">
        <v>1</v>
      </c>
      <c r="X160" s="107">
        <v>1</v>
      </c>
      <c r="Y160" s="309">
        <v>1</v>
      </c>
      <c r="Z160" s="309">
        <v>1</v>
      </c>
      <c r="AA160" s="185">
        <f t="shared" si="33"/>
        <v>4</v>
      </c>
      <c r="AB160" s="185">
        <f t="shared" si="34"/>
        <v>1</v>
      </c>
      <c r="AC160" s="185">
        <f t="shared" si="35"/>
        <v>4</v>
      </c>
      <c r="AD160" s="185">
        <f t="shared" si="36"/>
        <v>8</v>
      </c>
    </row>
    <row r="161" spans="1:30" ht="15" customHeight="1" x14ac:dyDescent="0.25">
      <c r="A161" s="315">
        <f t="shared" si="32"/>
        <v>160</v>
      </c>
      <c r="B161" s="314" t="s">
        <v>292</v>
      </c>
      <c r="C161" s="280">
        <v>0</v>
      </c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340">
        <f t="shared" si="30"/>
        <v>0</v>
      </c>
      <c r="P161" s="438">
        <f t="shared" si="31"/>
        <v>56</v>
      </c>
      <c r="Q161" s="7">
        <v>3.5</v>
      </c>
      <c r="R161" s="125"/>
      <c r="S161" s="118"/>
      <c r="T161" s="316">
        <v>0</v>
      </c>
      <c r="U161" s="17"/>
      <c r="V161" s="344">
        <v>45474</v>
      </c>
      <c r="W161" s="309">
        <v>3</v>
      </c>
      <c r="X161" s="309">
        <v>3</v>
      </c>
      <c r="Y161" s="309">
        <v>6</v>
      </c>
      <c r="Z161" s="309">
        <v>16</v>
      </c>
      <c r="AA161" s="185">
        <f t="shared" si="33"/>
        <v>28</v>
      </c>
      <c r="AB161" s="185">
        <f t="shared" si="34"/>
        <v>7</v>
      </c>
      <c r="AC161" s="185">
        <f t="shared" si="35"/>
        <v>28</v>
      </c>
      <c r="AD161" s="185">
        <f t="shared" si="36"/>
        <v>56</v>
      </c>
    </row>
    <row r="162" spans="1:30" ht="15" customHeight="1" x14ac:dyDescent="0.25">
      <c r="A162" s="315">
        <f t="shared" si="32"/>
        <v>161</v>
      </c>
      <c r="B162" s="314" t="s">
        <v>571</v>
      </c>
      <c r="C162" s="415">
        <v>1</v>
      </c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340">
        <f t="shared" ref="O162:O172" si="37">SUM(C162-D162-E162-F162-G162-H162-I162-J162-K162-L162-M162-N162)</f>
        <v>1</v>
      </c>
      <c r="P162" s="438">
        <f t="shared" ref="P162:P172" si="38">AD162-O162</f>
        <v>5</v>
      </c>
      <c r="Q162" s="7">
        <v>68</v>
      </c>
      <c r="R162" s="8"/>
      <c r="S162" s="118">
        <v>46266</v>
      </c>
      <c r="T162" s="316">
        <v>0</v>
      </c>
      <c r="U162" s="316"/>
      <c r="V162" s="199">
        <v>45658</v>
      </c>
      <c r="W162" s="309">
        <v>1</v>
      </c>
      <c r="X162" s="107">
        <v>1</v>
      </c>
      <c r="Y162" s="309"/>
      <c r="Z162" s="309">
        <v>1</v>
      </c>
      <c r="AA162" s="185">
        <f t="shared" si="33"/>
        <v>3</v>
      </c>
      <c r="AB162" s="185">
        <f t="shared" si="34"/>
        <v>0.75</v>
      </c>
      <c r="AC162" s="185">
        <f t="shared" si="35"/>
        <v>3</v>
      </c>
      <c r="AD162" s="185">
        <f t="shared" si="36"/>
        <v>6</v>
      </c>
    </row>
    <row r="163" spans="1:30" ht="15" customHeight="1" x14ac:dyDescent="0.25">
      <c r="A163" s="315">
        <f t="shared" si="32"/>
        <v>162</v>
      </c>
      <c r="B163" s="3" t="s">
        <v>52</v>
      </c>
      <c r="C163" s="415">
        <v>2</v>
      </c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340">
        <f t="shared" si="37"/>
        <v>2</v>
      </c>
      <c r="P163" s="438">
        <f t="shared" si="38"/>
        <v>6</v>
      </c>
      <c r="Q163" s="7">
        <v>38</v>
      </c>
      <c r="R163" s="125"/>
      <c r="S163" s="118">
        <v>46054</v>
      </c>
      <c r="T163" s="316">
        <v>1</v>
      </c>
      <c r="U163" s="316"/>
      <c r="V163" s="199">
        <v>45627</v>
      </c>
      <c r="W163" s="309">
        <v>1</v>
      </c>
      <c r="X163" s="107">
        <v>1</v>
      </c>
      <c r="Y163" s="309">
        <v>1</v>
      </c>
      <c r="Z163" s="309">
        <v>1</v>
      </c>
      <c r="AA163" s="185">
        <f t="shared" si="33"/>
        <v>4</v>
      </c>
      <c r="AB163" s="185">
        <f t="shared" si="34"/>
        <v>1</v>
      </c>
      <c r="AC163" s="185">
        <f t="shared" si="35"/>
        <v>4</v>
      </c>
      <c r="AD163" s="185">
        <f t="shared" si="36"/>
        <v>8</v>
      </c>
    </row>
    <row r="164" spans="1:30" ht="15" customHeight="1" x14ac:dyDescent="0.25">
      <c r="A164" s="315">
        <f t="shared" si="32"/>
        <v>163</v>
      </c>
      <c r="B164" s="314" t="s">
        <v>95</v>
      </c>
      <c r="C164" s="340">
        <v>4</v>
      </c>
      <c r="D164" s="361"/>
      <c r="E164" s="482"/>
      <c r="F164" s="361"/>
      <c r="G164" s="482"/>
      <c r="H164" s="361"/>
      <c r="I164" s="482"/>
      <c r="J164" s="359"/>
      <c r="K164" s="478"/>
      <c r="L164" s="361"/>
      <c r="M164" s="482"/>
      <c r="N164" s="563"/>
      <c r="O164" s="340">
        <f t="shared" si="37"/>
        <v>4</v>
      </c>
      <c r="P164" s="438">
        <f t="shared" si="38"/>
        <v>10</v>
      </c>
      <c r="Q164" s="7">
        <v>35</v>
      </c>
      <c r="R164" s="307"/>
      <c r="S164" s="335">
        <v>46722</v>
      </c>
      <c r="T164" s="318">
        <v>12</v>
      </c>
      <c r="U164" s="318">
        <v>15</v>
      </c>
      <c r="V164" s="344">
        <v>45717</v>
      </c>
      <c r="W164" s="309">
        <v>2</v>
      </c>
      <c r="X164" s="309">
        <v>2</v>
      </c>
      <c r="Y164" s="309">
        <v>1</v>
      </c>
      <c r="Z164" s="429">
        <v>2</v>
      </c>
      <c r="AA164" s="184">
        <f t="shared" si="33"/>
        <v>7</v>
      </c>
      <c r="AB164" s="185">
        <f t="shared" si="34"/>
        <v>1.75</v>
      </c>
      <c r="AC164" s="185">
        <f t="shared" si="35"/>
        <v>7</v>
      </c>
      <c r="AD164" s="185">
        <f t="shared" si="36"/>
        <v>14</v>
      </c>
    </row>
    <row r="165" spans="1:30" ht="15" customHeight="1" x14ac:dyDescent="0.25">
      <c r="A165" s="315">
        <f t="shared" si="32"/>
        <v>164</v>
      </c>
      <c r="B165" s="314" t="s">
        <v>1192</v>
      </c>
      <c r="C165" s="413">
        <v>1</v>
      </c>
      <c r="D165" s="363"/>
      <c r="E165" s="480"/>
      <c r="F165" s="360"/>
      <c r="G165" s="480"/>
      <c r="H165" s="360"/>
      <c r="I165" s="480"/>
      <c r="J165" s="360"/>
      <c r="K165" s="480"/>
      <c r="L165" s="360"/>
      <c r="M165" s="480"/>
      <c r="N165" s="562"/>
      <c r="O165" s="340">
        <f t="shared" si="37"/>
        <v>1</v>
      </c>
      <c r="P165" s="438">
        <f t="shared" si="38"/>
        <v>3</v>
      </c>
      <c r="Q165" s="448">
        <v>38</v>
      </c>
      <c r="R165" s="64"/>
      <c r="S165" s="285">
        <v>46204</v>
      </c>
      <c r="T165" s="92">
        <v>0</v>
      </c>
      <c r="U165" s="316"/>
      <c r="V165" s="83">
        <v>45597</v>
      </c>
      <c r="W165" s="321">
        <v>1</v>
      </c>
      <c r="X165" s="316"/>
      <c r="Y165" s="316"/>
      <c r="Z165" s="316">
        <v>1</v>
      </c>
      <c r="AA165" s="185">
        <f t="shared" si="33"/>
        <v>2</v>
      </c>
      <c r="AB165" s="185">
        <f t="shared" si="34"/>
        <v>0.5</v>
      </c>
      <c r="AC165" s="185">
        <f t="shared" si="35"/>
        <v>2</v>
      </c>
      <c r="AD165" s="185">
        <f t="shared" si="36"/>
        <v>4</v>
      </c>
    </row>
    <row r="166" spans="1:30" ht="15" customHeight="1" x14ac:dyDescent="0.25">
      <c r="A166" s="315">
        <f t="shared" si="32"/>
        <v>165</v>
      </c>
      <c r="B166" s="3" t="s">
        <v>36</v>
      </c>
      <c r="C166" s="415">
        <v>0</v>
      </c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340">
        <f t="shared" si="37"/>
        <v>0</v>
      </c>
      <c r="P166" s="689">
        <f t="shared" si="38"/>
        <v>0</v>
      </c>
      <c r="Q166" s="7"/>
      <c r="R166" s="125" t="s">
        <v>455</v>
      </c>
      <c r="S166" s="118"/>
      <c r="T166" s="316">
        <v>0</v>
      </c>
      <c r="U166" s="316"/>
      <c r="V166" s="118"/>
      <c r="W166" s="309"/>
      <c r="X166" s="309"/>
      <c r="Y166" s="309"/>
      <c r="Z166" s="309"/>
      <c r="AA166" s="185">
        <f t="shared" si="33"/>
        <v>0</v>
      </c>
      <c r="AB166" s="185">
        <f t="shared" si="34"/>
        <v>0</v>
      </c>
      <c r="AC166" s="185">
        <f t="shared" si="35"/>
        <v>0</v>
      </c>
      <c r="AD166" s="185">
        <f t="shared" si="36"/>
        <v>0</v>
      </c>
    </row>
    <row r="167" spans="1:30" x14ac:dyDescent="0.25">
      <c r="A167" s="315">
        <f t="shared" si="32"/>
        <v>166</v>
      </c>
      <c r="B167" s="314" t="s">
        <v>20</v>
      </c>
      <c r="C167" s="415">
        <v>2</v>
      </c>
      <c r="D167" s="361"/>
      <c r="E167" s="482"/>
      <c r="F167" s="361"/>
      <c r="G167" s="482"/>
      <c r="H167" s="361"/>
      <c r="I167" s="482"/>
      <c r="J167" s="361"/>
      <c r="K167" s="482"/>
      <c r="L167" s="361"/>
      <c r="M167" s="482"/>
      <c r="N167" s="563"/>
      <c r="O167" s="340">
        <f t="shared" si="37"/>
        <v>2</v>
      </c>
      <c r="P167" s="438">
        <f t="shared" si="38"/>
        <v>14</v>
      </c>
      <c r="Q167" s="7">
        <v>19</v>
      </c>
      <c r="R167" s="93"/>
      <c r="S167" s="344">
        <v>46113</v>
      </c>
      <c r="T167" s="318">
        <v>3</v>
      </c>
      <c r="U167" s="318"/>
      <c r="V167" s="344">
        <v>45597</v>
      </c>
      <c r="W167" s="309">
        <v>4</v>
      </c>
      <c r="X167" s="309">
        <v>1</v>
      </c>
      <c r="Y167" s="309">
        <v>2</v>
      </c>
      <c r="Z167" s="309">
        <v>1</v>
      </c>
      <c r="AA167" s="185">
        <f t="shared" si="33"/>
        <v>8</v>
      </c>
      <c r="AB167" s="185">
        <f t="shared" si="34"/>
        <v>2</v>
      </c>
      <c r="AC167" s="185">
        <f t="shared" si="35"/>
        <v>8</v>
      </c>
      <c r="AD167" s="185">
        <f t="shared" si="36"/>
        <v>16</v>
      </c>
    </row>
    <row r="168" spans="1:30" ht="15" customHeight="1" x14ac:dyDescent="0.25">
      <c r="A168" s="315">
        <f t="shared" si="32"/>
        <v>167</v>
      </c>
      <c r="B168" s="314" t="s">
        <v>191</v>
      </c>
      <c r="C168" s="415">
        <v>24</v>
      </c>
      <c r="D168" s="359"/>
      <c r="E168" s="478"/>
      <c r="F168" s="359"/>
      <c r="G168" s="478">
        <v>1</v>
      </c>
      <c r="H168" s="359"/>
      <c r="I168" s="478">
        <v>1</v>
      </c>
      <c r="J168" s="359"/>
      <c r="K168" s="478"/>
      <c r="L168" s="359"/>
      <c r="M168" s="478">
        <v>2</v>
      </c>
      <c r="N168" s="561"/>
      <c r="O168" s="340">
        <f t="shared" si="37"/>
        <v>20</v>
      </c>
      <c r="P168" s="340">
        <f t="shared" si="38"/>
        <v>-4</v>
      </c>
      <c r="Q168" s="10">
        <v>3.5</v>
      </c>
      <c r="R168" s="8"/>
      <c r="S168" s="81">
        <v>46023</v>
      </c>
      <c r="T168" s="14">
        <v>0</v>
      </c>
      <c r="U168" s="14"/>
      <c r="V168" s="81">
        <v>45505</v>
      </c>
      <c r="W168" s="14">
        <v>1</v>
      </c>
      <c r="X168" s="14">
        <v>1</v>
      </c>
      <c r="Y168" s="28">
        <v>2</v>
      </c>
      <c r="Z168" s="28">
        <v>4</v>
      </c>
      <c r="AA168" s="185">
        <f t="shared" si="33"/>
        <v>8</v>
      </c>
      <c r="AB168" s="185">
        <f t="shared" si="34"/>
        <v>2</v>
      </c>
      <c r="AC168" s="185">
        <f t="shared" si="35"/>
        <v>8</v>
      </c>
      <c r="AD168" s="185">
        <f t="shared" si="36"/>
        <v>16</v>
      </c>
    </row>
    <row r="169" spans="1:30" ht="15" customHeight="1" x14ac:dyDescent="0.25">
      <c r="A169" s="315">
        <f t="shared" si="32"/>
        <v>168</v>
      </c>
      <c r="B169" s="4" t="s">
        <v>877</v>
      </c>
      <c r="C169" s="415">
        <v>28</v>
      </c>
      <c r="D169" s="378"/>
      <c r="E169" s="488"/>
      <c r="F169" s="378"/>
      <c r="G169" s="488"/>
      <c r="H169" s="378"/>
      <c r="I169" s="488"/>
      <c r="J169" s="378"/>
      <c r="K169" s="488"/>
      <c r="L169" s="378"/>
      <c r="M169" s="488"/>
      <c r="N169" s="564"/>
      <c r="O169" s="340">
        <f t="shared" si="37"/>
        <v>28</v>
      </c>
      <c r="P169" s="340">
        <f t="shared" si="38"/>
        <v>-10</v>
      </c>
      <c r="Q169" s="7">
        <v>6</v>
      </c>
      <c r="R169" s="14"/>
      <c r="S169" s="77">
        <v>45992</v>
      </c>
      <c r="T169" s="315">
        <v>0</v>
      </c>
      <c r="U169" s="315"/>
      <c r="V169" s="77">
        <v>45474</v>
      </c>
      <c r="W169" s="107">
        <v>6</v>
      </c>
      <c r="X169" s="107">
        <v>1</v>
      </c>
      <c r="Y169" s="309">
        <v>1</v>
      </c>
      <c r="Z169" s="309">
        <v>1</v>
      </c>
      <c r="AA169" s="185">
        <f t="shared" si="33"/>
        <v>9</v>
      </c>
      <c r="AB169" s="185">
        <f t="shared" si="34"/>
        <v>2.25</v>
      </c>
      <c r="AC169" s="185">
        <f t="shared" si="35"/>
        <v>9</v>
      </c>
      <c r="AD169" s="185">
        <f t="shared" si="36"/>
        <v>18</v>
      </c>
    </row>
    <row r="170" spans="1:30" ht="15" customHeight="1" x14ac:dyDescent="0.25">
      <c r="A170" s="315">
        <f t="shared" si="32"/>
        <v>169</v>
      </c>
      <c r="B170" s="314" t="s">
        <v>318</v>
      </c>
      <c r="C170" s="433">
        <v>28</v>
      </c>
      <c r="D170" s="367"/>
      <c r="E170" s="479"/>
      <c r="F170" s="364"/>
      <c r="G170" s="486"/>
      <c r="H170" s="364"/>
      <c r="I170" s="486"/>
      <c r="J170" s="381"/>
      <c r="K170" s="487"/>
      <c r="L170" s="364">
        <v>4</v>
      </c>
      <c r="M170" s="486"/>
      <c r="N170" s="568"/>
      <c r="O170" s="340">
        <f t="shared" si="37"/>
        <v>24</v>
      </c>
      <c r="P170" s="689">
        <f t="shared" si="38"/>
        <v>4</v>
      </c>
      <c r="Q170" s="7">
        <v>2.5</v>
      </c>
      <c r="R170" s="528"/>
      <c r="S170" s="112">
        <v>46266</v>
      </c>
      <c r="T170" s="322">
        <v>0</v>
      </c>
      <c r="U170" s="322"/>
      <c r="V170" s="201">
        <v>45658</v>
      </c>
      <c r="W170" s="189">
        <v>4</v>
      </c>
      <c r="X170" s="202">
        <v>4</v>
      </c>
      <c r="Y170" s="189">
        <v>2</v>
      </c>
      <c r="Z170" s="189">
        <v>4</v>
      </c>
      <c r="AA170" s="185">
        <f t="shared" si="33"/>
        <v>14</v>
      </c>
      <c r="AB170" s="185">
        <f t="shared" si="34"/>
        <v>3.5</v>
      </c>
      <c r="AC170" s="185">
        <f t="shared" si="35"/>
        <v>14</v>
      </c>
      <c r="AD170" s="185">
        <f t="shared" si="36"/>
        <v>28</v>
      </c>
    </row>
    <row r="171" spans="1:30" ht="15" customHeight="1" x14ac:dyDescent="0.25">
      <c r="A171" s="315">
        <f t="shared" si="32"/>
        <v>170</v>
      </c>
      <c r="B171" s="314" t="s">
        <v>1292</v>
      </c>
      <c r="C171" s="415">
        <v>2</v>
      </c>
      <c r="D171" s="359"/>
      <c r="E171" s="478"/>
      <c r="F171" s="359"/>
      <c r="G171" s="478"/>
      <c r="H171" s="359"/>
      <c r="I171" s="478"/>
      <c r="J171" s="359"/>
      <c r="K171" s="478"/>
      <c r="L171" s="359"/>
      <c r="M171" s="478"/>
      <c r="N171" s="561"/>
      <c r="O171" s="340">
        <f t="shared" si="37"/>
        <v>2</v>
      </c>
      <c r="P171" s="438">
        <f t="shared" si="38"/>
        <v>2</v>
      </c>
      <c r="Q171" s="7">
        <v>48</v>
      </c>
      <c r="R171" s="8"/>
      <c r="S171" s="118">
        <v>46844</v>
      </c>
      <c r="T171" s="316">
        <v>1</v>
      </c>
      <c r="U171" s="316"/>
      <c r="V171" s="344">
        <v>45658</v>
      </c>
      <c r="W171" s="309"/>
      <c r="X171" s="309">
        <v>1</v>
      </c>
      <c r="Y171" s="309"/>
      <c r="Z171" s="309">
        <v>1</v>
      </c>
      <c r="AA171" s="185">
        <f t="shared" si="33"/>
        <v>2</v>
      </c>
      <c r="AB171" s="185">
        <f t="shared" si="34"/>
        <v>0.5</v>
      </c>
      <c r="AC171" s="185">
        <f t="shared" si="35"/>
        <v>2</v>
      </c>
      <c r="AD171" s="185">
        <f t="shared" si="36"/>
        <v>4</v>
      </c>
    </row>
    <row r="172" spans="1:30" ht="15" customHeight="1" x14ac:dyDescent="0.25">
      <c r="A172" s="315">
        <f t="shared" si="32"/>
        <v>171</v>
      </c>
      <c r="B172" s="314" t="s">
        <v>715</v>
      </c>
      <c r="C172" s="415">
        <v>22</v>
      </c>
      <c r="D172" s="359"/>
      <c r="E172" s="478"/>
      <c r="F172" s="359">
        <v>2</v>
      </c>
      <c r="G172" s="478"/>
      <c r="H172" s="359"/>
      <c r="I172" s="478"/>
      <c r="J172" s="359"/>
      <c r="K172" s="478"/>
      <c r="L172" s="359"/>
      <c r="M172" s="478"/>
      <c r="N172" s="561"/>
      <c r="O172" s="340">
        <f t="shared" si="37"/>
        <v>20</v>
      </c>
      <c r="P172" s="438">
        <f t="shared" si="38"/>
        <v>20</v>
      </c>
      <c r="Q172" s="7">
        <v>0.75</v>
      </c>
      <c r="R172" s="63"/>
      <c r="S172" s="118">
        <v>46204</v>
      </c>
      <c r="T172" s="316">
        <v>0</v>
      </c>
      <c r="U172" s="316"/>
      <c r="V172" s="344">
        <v>45323</v>
      </c>
      <c r="W172" s="309">
        <v>1</v>
      </c>
      <c r="X172" s="309">
        <v>6</v>
      </c>
      <c r="Y172" s="309">
        <v>3</v>
      </c>
      <c r="Z172" s="309">
        <v>10</v>
      </c>
      <c r="AA172" s="185">
        <f t="shared" si="33"/>
        <v>20</v>
      </c>
      <c r="AB172" s="185">
        <f t="shared" si="34"/>
        <v>5</v>
      </c>
      <c r="AC172" s="185">
        <f t="shared" si="35"/>
        <v>20</v>
      </c>
      <c r="AD172" s="185">
        <f t="shared" si="36"/>
        <v>40</v>
      </c>
    </row>
    <row r="173" spans="1:30" ht="15" customHeight="1" x14ac:dyDescent="0.25">
      <c r="A173" s="315">
        <f t="shared" si="32"/>
        <v>172</v>
      </c>
    </row>
    <row r="174" spans="1:30" ht="15" customHeight="1" x14ac:dyDescent="0.25">
      <c r="A174" s="315">
        <f t="shared" si="32"/>
        <v>173</v>
      </c>
    </row>
    <row r="175" spans="1:30" ht="15" customHeight="1" x14ac:dyDescent="0.25">
      <c r="A175" s="315">
        <f t="shared" si="32"/>
        <v>174</v>
      </c>
    </row>
    <row r="176" spans="1:30" ht="15" customHeight="1" x14ac:dyDescent="0.25">
      <c r="A176" s="315">
        <f t="shared" si="32"/>
        <v>175</v>
      </c>
    </row>
    <row r="177" spans="1:1" ht="15" customHeight="1" x14ac:dyDescent="0.25">
      <c r="A177" s="315">
        <f t="shared" si="32"/>
        <v>176</v>
      </c>
    </row>
    <row r="178" spans="1:1" ht="15" customHeight="1" x14ac:dyDescent="0.25">
      <c r="A178" s="315">
        <f t="shared" si="32"/>
        <v>177</v>
      </c>
    </row>
  </sheetData>
  <autoFilter ref="A1:AD178"/>
  <sortState ref="B2:AD172">
    <sortCondition ref="B2"/>
  </sortState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Q366"/>
  <sheetViews>
    <sheetView topLeftCell="A10" workbookViewId="0">
      <selection activeCell="E36" sqref="E36"/>
    </sheetView>
  </sheetViews>
  <sheetFormatPr baseColWidth="10" defaultRowHeight="15" x14ac:dyDescent="0.25"/>
  <cols>
    <col min="1" max="1" width="4.42578125" style="13" customWidth="1"/>
    <col min="2" max="2" width="49.42578125" style="16" customWidth="1"/>
    <col min="3" max="3" width="9.140625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3" style="441" bestFit="1" customWidth="1"/>
    <col min="8" max="8" width="11" style="446" bestFit="1" customWidth="1"/>
  </cols>
  <sheetData>
    <row r="1" spans="1:8" ht="30" x14ac:dyDescent="0.25">
      <c r="A1" s="128" t="s">
        <v>0</v>
      </c>
      <c r="B1" s="42" t="s">
        <v>1454</v>
      </c>
      <c r="C1" s="41" t="s">
        <v>10</v>
      </c>
      <c r="D1" s="27" t="s">
        <v>9</v>
      </c>
      <c r="E1" s="43" t="s">
        <v>5</v>
      </c>
      <c r="F1" s="40" t="s">
        <v>8</v>
      </c>
      <c r="G1" s="441" t="s">
        <v>7</v>
      </c>
      <c r="H1" s="444" t="s">
        <v>6</v>
      </c>
    </row>
    <row r="2" spans="1:8" x14ac:dyDescent="0.25">
      <c r="A2" s="3">
        <v>1</v>
      </c>
      <c r="B2" s="314" t="s">
        <v>785</v>
      </c>
      <c r="C2" s="413">
        <v>3</v>
      </c>
      <c r="D2" s="404">
        <v>5.5</v>
      </c>
      <c r="E2" s="7">
        <v>10</v>
      </c>
      <c r="F2" s="354">
        <f>(E2-D2)/(E2)</f>
        <v>0.45</v>
      </c>
      <c r="G2" s="442">
        <f>D2*C2</f>
        <v>16.5</v>
      </c>
      <c r="H2" s="445">
        <f>E2*C2</f>
        <v>30</v>
      </c>
    </row>
    <row r="3" spans="1:8" x14ac:dyDescent="0.25">
      <c r="A3" s="314">
        <f t="shared" ref="A3:A89" si="0">A2+1</f>
        <v>2</v>
      </c>
      <c r="B3" s="4" t="s">
        <v>1200</v>
      </c>
      <c r="C3" s="466">
        <v>3</v>
      </c>
      <c r="D3" s="15">
        <v>17</v>
      </c>
      <c r="E3" s="7">
        <v>45</v>
      </c>
      <c r="F3" s="354">
        <f t="shared" ref="F3:F34" si="1">(E3-D3)/(E3)</f>
        <v>0.62222222222222223</v>
      </c>
      <c r="G3" s="442">
        <f t="shared" ref="G3:G34" si="2">D3*C3</f>
        <v>51</v>
      </c>
      <c r="H3" s="445">
        <f t="shared" ref="H3:H34" si="3">E3*C3</f>
        <v>135</v>
      </c>
    </row>
    <row r="4" spans="1:8" ht="14.25" customHeight="1" x14ac:dyDescent="0.25">
      <c r="A4" s="314">
        <f t="shared" si="0"/>
        <v>3</v>
      </c>
      <c r="B4" s="314" t="s">
        <v>84</v>
      </c>
      <c r="C4" s="340">
        <v>2</v>
      </c>
      <c r="D4" s="15">
        <v>26</v>
      </c>
      <c r="E4" s="7">
        <v>44</v>
      </c>
      <c r="F4" s="354">
        <f t="shared" si="1"/>
        <v>0.40909090909090912</v>
      </c>
      <c r="G4" s="442">
        <f t="shared" si="2"/>
        <v>52</v>
      </c>
      <c r="H4" s="445">
        <f t="shared" si="3"/>
        <v>88</v>
      </c>
    </row>
    <row r="5" spans="1:8" x14ac:dyDescent="0.25">
      <c r="A5" s="314">
        <f t="shared" si="0"/>
        <v>4</v>
      </c>
      <c r="B5" s="314" t="s">
        <v>627</v>
      </c>
      <c r="C5" s="413">
        <v>8</v>
      </c>
      <c r="D5" s="404">
        <v>3.3</v>
      </c>
      <c r="E5" s="7">
        <v>5.5</v>
      </c>
      <c r="F5" s="354">
        <f t="shared" si="1"/>
        <v>0.4</v>
      </c>
      <c r="G5" s="442">
        <f t="shared" si="2"/>
        <v>26.4</v>
      </c>
      <c r="H5" s="445">
        <f t="shared" si="3"/>
        <v>44</v>
      </c>
    </row>
    <row r="6" spans="1:8" x14ac:dyDescent="0.25">
      <c r="A6" s="314">
        <f t="shared" si="0"/>
        <v>5</v>
      </c>
      <c r="B6" s="314" t="s">
        <v>625</v>
      </c>
      <c r="C6" s="413">
        <v>2</v>
      </c>
      <c r="D6" s="404">
        <v>22</v>
      </c>
      <c r="E6" s="7">
        <v>44</v>
      </c>
      <c r="F6" s="354">
        <f t="shared" si="1"/>
        <v>0.5</v>
      </c>
      <c r="G6" s="442">
        <f t="shared" si="2"/>
        <v>44</v>
      </c>
      <c r="H6" s="445">
        <f t="shared" si="3"/>
        <v>88</v>
      </c>
    </row>
    <row r="7" spans="1:8" x14ac:dyDescent="0.25">
      <c r="A7" s="314">
        <f t="shared" si="0"/>
        <v>6</v>
      </c>
      <c r="B7" s="314" t="s">
        <v>717</v>
      </c>
      <c r="C7" s="413">
        <v>2</v>
      </c>
      <c r="D7" s="15">
        <v>23</v>
      </c>
      <c r="E7" s="7">
        <v>44</v>
      </c>
      <c r="F7" s="354">
        <f t="shared" si="1"/>
        <v>0.47727272727272729</v>
      </c>
      <c r="G7" s="442">
        <f t="shared" si="2"/>
        <v>46</v>
      </c>
      <c r="H7" s="445">
        <f t="shared" si="3"/>
        <v>88</v>
      </c>
    </row>
    <row r="8" spans="1:8" x14ac:dyDescent="0.25">
      <c r="A8" s="314">
        <f t="shared" si="0"/>
        <v>7</v>
      </c>
      <c r="B8" s="4" t="s">
        <v>1199</v>
      </c>
      <c r="C8" s="413">
        <v>8</v>
      </c>
      <c r="D8" s="405">
        <v>2.66</v>
      </c>
      <c r="E8" s="7">
        <v>5</v>
      </c>
      <c r="F8" s="354">
        <f t="shared" si="1"/>
        <v>0.46799999999999997</v>
      </c>
      <c r="G8" s="442">
        <f t="shared" si="2"/>
        <v>21.28</v>
      </c>
      <c r="H8" s="445">
        <f t="shared" si="3"/>
        <v>40</v>
      </c>
    </row>
    <row r="9" spans="1:8" x14ac:dyDescent="0.25">
      <c r="A9" s="314">
        <f t="shared" si="0"/>
        <v>8</v>
      </c>
      <c r="B9" s="314" t="s">
        <v>965</v>
      </c>
      <c r="C9" s="340">
        <v>3</v>
      </c>
      <c r="D9" s="15">
        <v>4.5</v>
      </c>
      <c r="E9" s="10">
        <v>8</v>
      </c>
      <c r="F9" s="354">
        <f t="shared" si="1"/>
        <v>0.4375</v>
      </c>
      <c r="G9" s="442">
        <f t="shared" si="2"/>
        <v>13.5</v>
      </c>
      <c r="H9" s="445">
        <f t="shared" si="3"/>
        <v>24</v>
      </c>
    </row>
    <row r="10" spans="1:8" x14ac:dyDescent="0.25">
      <c r="A10" s="314">
        <f t="shared" si="0"/>
        <v>9</v>
      </c>
      <c r="B10" s="314" t="s">
        <v>1076</v>
      </c>
      <c r="C10" s="340">
        <v>3</v>
      </c>
      <c r="D10" s="15">
        <v>55</v>
      </c>
      <c r="E10" s="7">
        <v>109</v>
      </c>
      <c r="F10" s="354">
        <f t="shared" si="1"/>
        <v>0.49541284403669728</v>
      </c>
      <c r="G10" s="442">
        <f t="shared" si="2"/>
        <v>165</v>
      </c>
      <c r="H10" s="445">
        <f t="shared" si="3"/>
        <v>327</v>
      </c>
    </row>
    <row r="11" spans="1:8" x14ac:dyDescent="0.25">
      <c r="A11" s="314">
        <f t="shared" si="0"/>
        <v>10</v>
      </c>
      <c r="B11" s="314" t="s">
        <v>941</v>
      </c>
      <c r="C11" s="340">
        <v>5</v>
      </c>
      <c r="D11" s="15">
        <v>21</v>
      </c>
      <c r="E11" s="7">
        <v>38</v>
      </c>
      <c r="F11" s="354">
        <f t="shared" si="1"/>
        <v>0.44736842105263158</v>
      </c>
      <c r="G11" s="442">
        <f t="shared" si="2"/>
        <v>105</v>
      </c>
      <c r="H11" s="445">
        <f t="shared" si="3"/>
        <v>190</v>
      </c>
    </row>
    <row r="12" spans="1:8" x14ac:dyDescent="0.25">
      <c r="A12" s="314">
        <f t="shared" si="0"/>
        <v>11</v>
      </c>
      <c r="B12" s="4" t="s">
        <v>1470</v>
      </c>
      <c r="C12" s="340">
        <v>1</v>
      </c>
      <c r="D12" s="15">
        <v>30</v>
      </c>
      <c r="E12" s="7">
        <v>60</v>
      </c>
      <c r="F12" s="26">
        <f t="shared" si="1"/>
        <v>0.5</v>
      </c>
      <c r="G12" s="30">
        <f t="shared" si="2"/>
        <v>30</v>
      </c>
      <c r="H12" s="25">
        <f t="shared" si="3"/>
        <v>60</v>
      </c>
    </row>
    <row r="13" spans="1:8" x14ac:dyDescent="0.25">
      <c r="A13" s="314">
        <f t="shared" si="0"/>
        <v>12</v>
      </c>
      <c r="B13" s="314" t="s">
        <v>609</v>
      </c>
      <c r="C13" s="413">
        <v>4</v>
      </c>
      <c r="D13" s="404">
        <v>16.75</v>
      </c>
      <c r="E13" s="7">
        <v>30</v>
      </c>
      <c r="F13" s="354">
        <f t="shared" si="1"/>
        <v>0.44166666666666665</v>
      </c>
      <c r="G13" s="442">
        <f t="shared" si="2"/>
        <v>67</v>
      </c>
      <c r="H13" s="445">
        <f t="shared" si="3"/>
        <v>120</v>
      </c>
    </row>
    <row r="14" spans="1:8" x14ac:dyDescent="0.25">
      <c r="A14" s="314">
        <f t="shared" si="0"/>
        <v>13</v>
      </c>
      <c r="B14" s="314" t="s">
        <v>719</v>
      </c>
      <c r="C14" s="413">
        <v>2</v>
      </c>
      <c r="D14" s="15">
        <v>59.9</v>
      </c>
      <c r="E14" s="7">
        <v>92</v>
      </c>
      <c r="F14" s="354">
        <f t="shared" si="1"/>
        <v>0.34891304347826091</v>
      </c>
      <c r="G14" s="442">
        <f t="shared" si="2"/>
        <v>119.8</v>
      </c>
      <c r="H14" s="445">
        <f t="shared" si="3"/>
        <v>184</v>
      </c>
    </row>
    <row r="15" spans="1:8" x14ac:dyDescent="0.25">
      <c r="A15" s="314">
        <f t="shared" si="0"/>
        <v>14</v>
      </c>
      <c r="B15" s="314" t="s">
        <v>146</v>
      </c>
      <c r="C15" s="340">
        <v>2</v>
      </c>
      <c r="D15" s="10">
        <v>26.9</v>
      </c>
      <c r="E15" s="7">
        <v>45</v>
      </c>
      <c r="F15" s="354">
        <f t="shared" si="1"/>
        <v>0.40222222222222226</v>
      </c>
      <c r="G15" s="442">
        <f t="shared" si="2"/>
        <v>53.8</v>
      </c>
      <c r="H15" s="445">
        <f t="shared" si="3"/>
        <v>90</v>
      </c>
    </row>
    <row r="16" spans="1:8" x14ac:dyDescent="0.25">
      <c r="A16" s="314">
        <f t="shared" si="0"/>
        <v>15</v>
      </c>
      <c r="B16" s="314" t="s">
        <v>274</v>
      </c>
      <c r="C16" s="340">
        <v>2</v>
      </c>
      <c r="D16" s="15">
        <v>34</v>
      </c>
      <c r="E16" s="7">
        <v>56</v>
      </c>
      <c r="F16" s="354">
        <f t="shared" si="1"/>
        <v>0.39285714285714285</v>
      </c>
      <c r="G16" s="442">
        <f t="shared" si="2"/>
        <v>68</v>
      </c>
      <c r="H16" s="445">
        <f t="shared" si="3"/>
        <v>112</v>
      </c>
    </row>
    <row r="17" spans="1:8" x14ac:dyDescent="0.25">
      <c r="A17" s="314">
        <f t="shared" si="0"/>
        <v>16</v>
      </c>
      <c r="B17" s="314" t="s">
        <v>1077</v>
      </c>
      <c r="C17" s="340">
        <v>4</v>
      </c>
      <c r="D17" s="15">
        <v>17.75</v>
      </c>
      <c r="E17" s="7">
        <v>30</v>
      </c>
      <c r="F17" s="354">
        <f t="shared" si="1"/>
        <v>0.40833333333333333</v>
      </c>
      <c r="G17" s="442">
        <f t="shared" si="2"/>
        <v>71</v>
      </c>
      <c r="H17" s="445">
        <f t="shared" si="3"/>
        <v>120</v>
      </c>
    </row>
    <row r="18" spans="1:8" x14ac:dyDescent="0.25">
      <c r="A18" s="314">
        <f t="shared" si="0"/>
        <v>17</v>
      </c>
      <c r="B18" s="314" t="s">
        <v>683</v>
      </c>
      <c r="C18" s="340">
        <v>2</v>
      </c>
      <c r="D18" s="15">
        <v>29.99</v>
      </c>
      <c r="E18" s="7">
        <v>51</v>
      </c>
      <c r="F18" s="354">
        <f t="shared" si="1"/>
        <v>0.41196078431372551</v>
      </c>
      <c r="G18" s="442">
        <f t="shared" si="2"/>
        <v>59.98</v>
      </c>
      <c r="H18" s="445">
        <f t="shared" si="3"/>
        <v>102</v>
      </c>
    </row>
    <row r="19" spans="1:8" x14ac:dyDescent="0.25">
      <c r="A19" s="314">
        <f t="shared" si="0"/>
        <v>18</v>
      </c>
      <c r="B19" s="314" t="s">
        <v>157</v>
      </c>
      <c r="C19" s="340">
        <v>1</v>
      </c>
      <c r="D19" s="15">
        <v>17.5</v>
      </c>
      <c r="E19" s="7">
        <v>35</v>
      </c>
      <c r="F19" s="354">
        <f t="shared" si="1"/>
        <v>0.5</v>
      </c>
      <c r="G19" s="442">
        <f t="shared" si="2"/>
        <v>17.5</v>
      </c>
      <c r="H19" s="445">
        <f t="shared" si="3"/>
        <v>35</v>
      </c>
    </row>
    <row r="20" spans="1:8" x14ac:dyDescent="0.25">
      <c r="A20" s="314">
        <f t="shared" si="0"/>
        <v>19</v>
      </c>
      <c r="B20" s="4" t="s">
        <v>280</v>
      </c>
      <c r="C20" s="415">
        <v>4</v>
      </c>
      <c r="D20" s="10">
        <v>11.5</v>
      </c>
      <c r="E20" s="7">
        <v>19</v>
      </c>
      <c r="F20" s="354">
        <f t="shared" si="1"/>
        <v>0.39473684210526316</v>
      </c>
      <c r="G20" s="442">
        <f t="shared" si="2"/>
        <v>46</v>
      </c>
      <c r="H20" s="445">
        <f t="shared" si="3"/>
        <v>76</v>
      </c>
    </row>
    <row r="21" spans="1:8" x14ac:dyDescent="0.25">
      <c r="A21" s="314">
        <f t="shared" si="0"/>
        <v>20</v>
      </c>
      <c r="B21" s="314" t="s">
        <v>669</v>
      </c>
      <c r="C21" s="435">
        <v>2</v>
      </c>
      <c r="D21" s="15">
        <v>35</v>
      </c>
      <c r="E21" s="7">
        <v>57</v>
      </c>
      <c r="F21" s="354">
        <f t="shared" si="1"/>
        <v>0.38596491228070173</v>
      </c>
      <c r="G21" s="442">
        <f t="shared" si="2"/>
        <v>70</v>
      </c>
      <c r="H21" s="445">
        <f t="shared" si="3"/>
        <v>114</v>
      </c>
    </row>
    <row r="22" spans="1:8" x14ac:dyDescent="0.25">
      <c r="A22" s="314">
        <f t="shared" si="0"/>
        <v>21</v>
      </c>
      <c r="B22" s="314" t="s">
        <v>203</v>
      </c>
      <c r="C22" s="340">
        <v>6</v>
      </c>
      <c r="D22" s="15">
        <v>15</v>
      </c>
      <c r="E22" s="7">
        <v>25</v>
      </c>
      <c r="F22" s="354">
        <f t="shared" si="1"/>
        <v>0.4</v>
      </c>
      <c r="G22" s="442">
        <f t="shared" si="2"/>
        <v>90</v>
      </c>
      <c r="H22" s="445">
        <f t="shared" si="3"/>
        <v>150</v>
      </c>
    </row>
    <row r="23" spans="1:8" x14ac:dyDescent="0.25">
      <c r="A23" s="314">
        <f t="shared" si="0"/>
        <v>22</v>
      </c>
      <c r="B23" s="314" t="s">
        <v>201</v>
      </c>
      <c r="C23" s="280">
        <v>82</v>
      </c>
      <c r="D23" s="10">
        <v>0.76600000000000001</v>
      </c>
      <c r="E23" s="7">
        <v>1.5</v>
      </c>
      <c r="F23" s="354">
        <f t="shared" si="1"/>
        <v>0.48933333333333334</v>
      </c>
      <c r="G23" s="442">
        <f t="shared" si="2"/>
        <v>62.811999999999998</v>
      </c>
      <c r="H23" s="445">
        <f t="shared" si="3"/>
        <v>123</v>
      </c>
    </row>
    <row r="24" spans="1:8" x14ac:dyDescent="0.25">
      <c r="A24" s="314">
        <f t="shared" si="0"/>
        <v>23</v>
      </c>
      <c r="B24" s="314" t="s">
        <v>668</v>
      </c>
      <c r="C24" s="413">
        <v>1</v>
      </c>
      <c r="D24" s="15">
        <v>90</v>
      </c>
      <c r="E24" s="7">
        <v>138</v>
      </c>
      <c r="F24" s="354">
        <f t="shared" si="1"/>
        <v>0.34782608695652173</v>
      </c>
      <c r="G24" s="442">
        <f t="shared" si="2"/>
        <v>90</v>
      </c>
      <c r="H24" s="445">
        <f t="shared" si="3"/>
        <v>138</v>
      </c>
    </row>
    <row r="25" spans="1:8" x14ac:dyDescent="0.25">
      <c r="A25" s="314">
        <f t="shared" si="0"/>
        <v>24</v>
      </c>
      <c r="B25" s="314" t="s">
        <v>718</v>
      </c>
      <c r="C25" s="413">
        <v>8</v>
      </c>
      <c r="D25" s="15">
        <v>3.4</v>
      </c>
      <c r="E25" s="7">
        <v>5</v>
      </c>
      <c r="F25" s="354">
        <f t="shared" si="1"/>
        <v>0.32</v>
      </c>
      <c r="G25" s="442">
        <f t="shared" si="2"/>
        <v>27.2</v>
      </c>
      <c r="H25" s="445">
        <f t="shared" si="3"/>
        <v>40</v>
      </c>
    </row>
    <row r="26" spans="1:8" x14ac:dyDescent="0.25">
      <c r="A26" s="314">
        <f t="shared" si="0"/>
        <v>25</v>
      </c>
      <c r="B26" s="314" t="s">
        <v>937</v>
      </c>
      <c r="C26" s="413">
        <v>3</v>
      </c>
      <c r="D26" s="15">
        <v>51</v>
      </c>
      <c r="E26" s="7">
        <v>90</v>
      </c>
      <c r="F26" s="354">
        <f t="shared" si="1"/>
        <v>0.43333333333333335</v>
      </c>
      <c r="G26" s="442">
        <f t="shared" si="2"/>
        <v>153</v>
      </c>
      <c r="H26" s="445">
        <f t="shared" si="3"/>
        <v>270</v>
      </c>
    </row>
    <row r="27" spans="1:8" x14ac:dyDescent="0.25">
      <c r="A27" s="314">
        <f t="shared" si="0"/>
        <v>26</v>
      </c>
      <c r="B27" s="314" t="s">
        <v>689</v>
      </c>
      <c r="C27" s="413">
        <v>38</v>
      </c>
      <c r="D27" s="15">
        <v>1.1599999999999999</v>
      </c>
      <c r="E27" s="7">
        <v>2</v>
      </c>
      <c r="F27" s="354">
        <f t="shared" si="1"/>
        <v>0.42000000000000004</v>
      </c>
      <c r="G27" s="442">
        <f t="shared" si="2"/>
        <v>44.08</v>
      </c>
      <c r="H27" s="445">
        <f t="shared" si="3"/>
        <v>76</v>
      </c>
    </row>
    <row r="28" spans="1:8" x14ac:dyDescent="0.25">
      <c r="A28" s="314">
        <f t="shared" si="0"/>
        <v>27</v>
      </c>
      <c r="B28" s="314" t="s">
        <v>690</v>
      </c>
      <c r="C28" s="413">
        <v>56</v>
      </c>
      <c r="D28" s="15">
        <v>1.0900000000000001</v>
      </c>
      <c r="E28" s="7">
        <v>2</v>
      </c>
      <c r="F28" s="354">
        <f t="shared" si="1"/>
        <v>0.45499999999999996</v>
      </c>
      <c r="G28" s="442">
        <f t="shared" si="2"/>
        <v>61.040000000000006</v>
      </c>
      <c r="H28" s="445">
        <f t="shared" si="3"/>
        <v>112</v>
      </c>
    </row>
    <row r="29" spans="1:8" x14ac:dyDescent="0.25">
      <c r="A29" s="314">
        <f t="shared" si="0"/>
        <v>28</v>
      </c>
      <c r="B29" s="314" t="s">
        <v>986</v>
      </c>
      <c r="C29" s="413">
        <v>35</v>
      </c>
      <c r="D29" s="15">
        <v>1.0900000000000001</v>
      </c>
      <c r="E29" s="7">
        <v>2</v>
      </c>
      <c r="F29" s="354">
        <f t="shared" si="1"/>
        <v>0.45499999999999996</v>
      </c>
      <c r="G29" s="442">
        <f t="shared" si="2"/>
        <v>38.150000000000006</v>
      </c>
      <c r="H29" s="445">
        <f t="shared" si="3"/>
        <v>70</v>
      </c>
    </row>
    <row r="30" spans="1:8" x14ac:dyDescent="0.25">
      <c r="A30" s="314">
        <f t="shared" si="0"/>
        <v>29</v>
      </c>
      <c r="B30" s="314" t="s">
        <v>267</v>
      </c>
      <c r="C30" s="340">
        <v>3</v>
      </c>
      <c r="D30" s="15">
        <v>12.95</v>
      </c>
      <c r="E30" s="7">
        <v>23</v>
      </c>
      <c r="F30" s="354">
        <f t="shared" si="1"/>
        <v>0.43695652173913047</v>
      </c>
      <c r="G30" s="442">
        <f t="shared" si="2"/>
        <v>38.849999999999994</v>
      </c>
      <c r="H30" s="445">
        <f t="shared" si="3"/>
        <v>69</v>
      </c>
    </row>
    <row r="31" spans="1:8" x14ac:dyDescent="0.25">
      <c r="A31" s="314">
        <f t="shared" si="0"/>
        <v>30</v>
      </c>
      <c r="B31" s="314" t="s">
        <v>268</v>
      </c>
      <c r="C31" s="340">
        <v>1</v>
      </c>
      <c r="D31" s="15">
        <v>18.8</v>
      </c>
      <c r="E31" s="44">
        <v>33</v>
      </c>
      <c r="F31" s="354">
        <f t="shared" si="1"/>
        <v>0.4303030303030303</v>
      </c>
      <c r="G31" s="442">
        <f t="shared" si="2"/>
        <v>18.8</v>
      </c>
      <c r="H31" s="445">
        <f t="shared" si="3"/>
        <v>33</v>
      </c>
    </row>
    <row r="32" spans="1:8" x14ac:dyDescent="0.25">
      <c r="A32" s="314">
        <f t="shared" si="0"/>
        <v>31</v>
      </c>
      <c r="B32" s="314" t="s">
        <v>1012</v>
      </c>
      <c r="C32" s="415">
        <v>70</v>
      </c>
      <c r="D32" s="15">
        <v>0.39</v>
      </c>
      <c r="E32" s="7">
        <v>1.1499999999999999</v>
      </c>
      <c r="F32" s="354">
        <f t="shared" si="1"/>
        <v>0.66086956521739126</v>
      </c>
      <c r="G32" s="442">
        <f t="shared" si="2"/>
        <v>27.3</v>
      </c>
      <c r="H32" s="445">
        <f t="shared" si="3"/>
        <v>80.5</v>
      </c>
    </row>
    <row r="33" spans="1:17" x14ac:dyDescent="0.25">
      <c r="A33" s="314">
        <f t="shared" si="0"/>
        <v>32</v>
      </c>
      <c r="B33" s="314" t="s">
        <v>1010</v>
      </c>
      <c r="C33" s="413">
        <v>89</v>
      </c>
      <c r="D33" s="15">
        <v>0.39</v>
      </c>
      <c r="E33" s="7">
        <v>1.1499999999999999</v>
      </c>
      <c r="F33" s="354">
        <f t="shared" si="1"/>
        <v>0.66086956521739126</v>
      </c>
      <c r="G33" s="442">
        <f t="shared" si="2"/>
        <v>34.71</v>
      </c>
      <c r="H33" s="445">
        <f t="shared" si="3"/>
        <v>102.35</v>
      </c>
    </row>
    <row r="34" spans="1:17" x14ac:dyDescent="0.25">
      <c r="A34" s="314">
        <f t="shared" si="0"/>
        <v>33</v>
      </c>
      <c r="B34" s="314" t="s">
        <v>1011</v>
      </c>
      <c r="C34" s="415">
        <v>44</v>
      </c>
      <c r="D34" s="15">
        <v>0.47499999999999998</v>
      </c>
      <c r="E34" s="7">
        <v>1.1499999999999999</v>
      </c>
      <c r="F34" s="354">
        <f t="shared" si="1"/>
        <v>0.58695652173913038</v>
      </c>
      <c r="G34" s="442">
        <f t="shared" si="2"/>
        <v>20.9</v>
      </c>
      <c r="H34" s="445">
        <f t="shared" si="3"/>
        <v>50.599999999999994</v>
      </c>
    </row>
    <row r="35" spans="1:17" x14ac:dyDescent="0.25">
      <c r="A35" s="314">
        <f t="shared" si="0"/>
        <v>34</v>
      </c>
      <c r="B35" s="314" t="s">
        <v>985</v>
      </c>
      <c r="C35" s="340">
        <v>0</v>
      </c>
      <c r="D35" s="10">
        <v>22.5</v>
      </c>
      <c r="E35" s="7">
        <v>45</v>
      </c>
      <c r="F35" s="354">
        <f t="shared" ref="F35:F66" si="4">(E35-D35)/(E35)</f>
        <v>0.5</v>
      </c>
      <c r="G35" s="442">
        <f t="shared" ref="G35:G66" si="5">D35*C35</f>
        <v>0</v>
      </c>
      <c r="H35" s="445">
        <f t="shared" ref="H35:H66" si="6">E35*C35</f>
        <v>0</v>
      </c>
      <c r="J35" s="38"/>
      <c r="K35" s="38"/>
      <c r="L35" s="37"/>
      <c r="M35" s="36"/>
      <c r="N35" s="36"/>
      <c r="O35" s="35"/>
      <c r="P35" s="34"/>
      <c r="Q35" s="33"/>
    </row>
    <row r="36" spans="1:17" x14ac:dyDescent="0.25">
      <c r="A36" s="314">
        <f t="shared" si="0"/>
        <v>35</v>
      </c>
      <c r="B36" s="314" t="s">
        <v>1173</v>
      </c>
      <c r="C36" s="340">
        <v>2</v>
      </c>
      <c r="D36" s="10">
        <v>39.75</v>
      </c>
      <c r="E36" s="7">
        <v>58</v>
      </c>
      <c r="F36" s="354">
        <f t="shared" si="4"/>
        <v>0.31465517241379309</v>
      </c>
      <c r="G36" s="442">
        <f t="shared" si="5"/>
        <v>79.5</v>
      </c>
      <c r="H36" s="445">
        <f t="shared" si="6"/>
        <v>116</v>
      </c>
    </row>
    <row r="37" spans="1:17" x14ac:dyDescent="0.25">
      <c r="A37" s="314">
        <f t="shared" si="0"/>
        <v>36</v>
      </c>
      <c r="B37" s="314" t="s">
        <v>190</v>
      </c>
      <c r="C37" s="466">
        <v>10</v>
      </c>
      <c r="D37" s="15">
        <v>2.3919999999999999</v>
      </c>
      <c r="E37" s="7">
        <v>4.5</v>
      </c>
      <c r="F37" s="354">
        <f t="shared" si="4"/>
        <v>0.46844444444444444</v>
      </c>
      <c r="G37" s="442">
        <f t="shared" si="5"/>
        <v>23.919999999999998</v>
      </c>
      <c r="H37" s="445">
        <f t="shared" si="6"/>
        <v>45</v>
      </c>
    </row>
    <row r="38" spans="1:17" x14ac:dyDescent="0.25">
      <c r="A38" s="314">
        <f t="shared" si="0"/>
        <v>37</v>
      </c>
      <c r="B38" s="651" t="s">
        <v>604</v>
      </c>
      <c r="C38" s="661">
        <v>2</v>
      </c>
      <c r="D38" s="404">
        <v>9.0500000000000007</v>
      </c>
      <c r="E38" s="7">
        <v>14</v>
      </c>
      <c r="F38" s="354">
        <f t="shared" si="4"/>
        <v>0.35357142857142854</v>
      </c>
      <c r="G38" s="442">
        <f t="shared" si="5"/>
        <v>18.100000000000001</v>
      </c>
      <c r="H38" s="445">
        <f t="shared" si="6"/>
        <v>28</v>
      </c>
    </row>
    <row r="39" spans="1:17" x14ac:dyDescent="0.25">
      <c r="A39" s="314">
        <f t="shared" si="0"/>
        <v>38</v>
      </c>
      <c r="B39" s="314" t="s">
        <v>603</v>
      </c>
      <c r="C39" s="413">
        <v>1</v>
      </c>
      <c r="D39" s="404">
        <v>9.0500000000000007</v>
      </c>
      <c r="E39" s="7">
        <v>14</v>
      </c>
      <c r="F39" s="354">
        <f t="shared" si="4"/>
        <v>0.35357142857142854</v>
      </c>
      <c r="G39" s="442">
        <f t="shared" si="5"/>
        <v>9.0500000000000007</v>
      </c>
      <c r="H39" s="445">
        <f t="shared" si="6"/>
        <v>14</v>
      </c>
    </row>
    <row r="40" spans="1:17" x14ac:dyDescent="0.25">
      <c r="A40" s="314">
        <f t="shared" si="0"/>
        <v>39</v>
      </c>
      <c r="B40" s="651" t="s">
        <v>482</v>
      </c>
      <c r="C40" s="653">
        <v>24</v>
      </c>
      <c r="D40" s="15">
        <v>3.13</v>
      </c>
      <c r="E40" s="7">
        <v>6</v>
      </c>
      <c r="F40" s="354">
        <f t="shared" si="4"/>
        <v>0.47833333333333333</v>
      </c>
      <c r="G40" s="442">
        <f t="shared" si="5"/>
        <v>75.12</v>
      </c>
      <c r="H40" s="445">
        <f t="shared" si="6"/>
        <v>144</v>
      </c>
    </row>
    <row r="41" spans="1:17" x14ac:dyDescent="0.25">
      <c r="A41" s="314">
        <f t="shared" si="0"/>
        <v>40</v>
      </c>
      <c r="B41" s="314" t="s">
        <v>483</v>
      </c>
      <c r="C41" s="340">
        <v>0</v>
      </c>
      <c r="D41" s="15">
        <v>1.92</v>
      </c>
      <c r="E41" s="7">
        <v>4</v>
      </c>
      <c r="F41" s="354">
        <f t="shared" si="4"/>
        <v>0.52</v>
      </c>
      <c r="G41" s="442">
        <f t="shared" si="5"/>
        <v>0</v>
      </c>
      <c r="H41" s="445">
        <f t="shared" si="6"/>
        <v>0</v>
      </c>
    </row>
    <row r="42" spans="1:17" x14ac:dyDescent="0.25">
      <c r="A42" s="314">
        <f t="shared" si="0"/>
        <v>41</v>
      </c>
      <c r="B42" s="314" t="s">
        <v>1078</v>
      </c>
      <c r="C42" s="340">
        <v>3</v>
      </c>
      <c r="D42" s="15">
        <v>10</v>
      </c>
      <c r="E42" s="7">
        <v>18</v>
      </c>
      <c r="F42" s="354">
        <f t="shared" si="4"/>
        <v>0.44444444444444442</v>
      </c>
      <c r="G42" s="442">
        <f t="shared" si="5"/>
        <v>30</v>
      </c>
      <c r="H42" s="445">
        <f t="shared" si="6"/>
        <v>54</v>
      </c>
    </row>
    <row r="43" spans="1:17" x14ac:dyDescent="0.25">
      <c r="A43" s="314">
        <f t="shared" si="0"/>
        <v>42</v>
      </c>
      <c r="B43" s="314" t="s">
        <v>650</v>
      </c>
      <c r="C43" s="413">
        <v>8</v>
      </c>
      <c r="D43" s="406">
        <v>17.5</v>
      </c>
      <c r="E43" s="7">
        <v>50</v>
      </c>
      <c r="F43" s="354">
        <f t="shared" si="4"/>
        <v>0.65</v>
      </c>
      <c r="G43" s="442">
        <f t="shared" si="5"/>
        <v>140</v>
      </c>
      <c r="H43" s="445">
        <f t="shared" si="6"/>
        <v>400</v>
      </c>
    </row>
    <row r="44" spans="1:17" x14ac:dyDescent="0.25">
      <c r="A44" s="314">
        <f t="shared" si="0"/>
        <v>43</v>
      </c>
      <c r="B44" s="314" t="s">
        <v>1079</v>
      </c>
      <c r="C44" s="340">
        <v>4</v>
      </c>
      <c r="D44" s="10">
        <v>9</v>
      </c>
      <c r="E44" s="7">
        <v>17</v>
      </c>
      <c r="F44" s="354">
        <f t="shared" si="4"/>
        <v>0.47058823529411764</v>
      </c>
      <c r="G44" s="442">
        <f t="shared" si="5"/>
        <v>36</v>
      </c>
      <c r="H44" s="445">
        <f t="shared" si="6"/>
        <v>68</v>
      </c>
    </row>
    <row r="45" spans="1:17" x14ac:dyDescent="0.25">
      <c r="A45" s="314">
        <f t="shared" si="0"/>
        <v>44</v>
      </c>
      <c r="B45" s="314" t="s">
        <v>944</v>
      </c>
      <c r="C45" s="340">
        <v>17</v>
      </c>
      <c r="D45" s="10">
        <v>6</v>
      </c>
      <c r="E45" s="7">
        <v>10</v>
      </c>
      <c r="F45" s="354">
        <f t="shared" si="4"/>
        <v>0.4</v>
      </c>
      <c r="G45" s="442">
        <f t="shared" si="5"/>
        <v>102</v>
      </c>
      <c r="H45" s="445">
        <f t="shared" si="6"/>
        <v>170</v>
      </c>
    </row>
    <row r="46" spans="1:17" x14ac:dyDescent="0.25">
      <c r="A46" s="314">
        <f t="shared" si="0"/>
        <v>45</v>
      </c>
      <c r="B46" s="314" t="s">
        <v>1080</v>
      </c>
      <c r="C46" s="415">
        <v>2</v>
      </c>
      <c r="D46" s="15">
        <v>9.9</v>
      </c>
      <c r="E46" s="7">
        <v>19</v>
      </c>
      <c r="F46" s="354">
        <f t="shared" si="4"/>
        <v>0.47894736842105262</v>
      </c>
      <c r="G46" s="442">
        <f t="shared" si="5"/>
        <v>19.8</v>
      </c>
      <c r="H46" s="445">
        <f t="shared" si="6"/>
        <v>38</v>
      </c>
    </row>
    <row r="47" spans="1:17" x14ac:dyDescent="0.25">
      <c r="A47" s="314">
        <f t="shared" si="0"/>
        <v>46</v>
      </c>
      <c r="B47" s="314" t="s">
        <v>1081</v>
      </c>
      <c r="C47" s="340">
        <v>71</v>
      </c>
      <c r="D47" s="15">
        <v>0.16</v>
      </c>
      <c r="E47" s="7">
        <v>1</v>
      </c>
      <c r="F47" s="354">
        <f t="shared" si="4"/>
        <v>0.84</v>
      </c>
      <c r="G47" s="442">
        <f t="shared" si="5"/>
        <v>11.36</v>
      </c>
      <c r="H47" s="445">
        <f t="shared" si="6"/>
        <v>71</v>
      </c>
    </row>
    <row r="48" spans="1:17" x14ac:dyDescent="0.25">
      <c r="A48" s="314">
        <f t="shared" si="0"/>
        <v>47</v>
      </c>
      <c r="B48" s="314" t="s">
        <v>1082</v>
      </c>
      <c r="C48" s="340">
        <v>67</v>
      </c>
      <c r="D48" s="15">
        <v>0.4</v>
      </c>
      <c r="E48" s="10">
        <v>1</v>
      </c>
      <c r="F48" s="354">
        <f t="shared" si="4"/>
        <v>0.6</v>
      </c>
      <c r="G48" s="442">
        <f t="shared" si="5"/>
        <v>26.8</v>
      </c>
      <c r="H48" s="445">
        <f t="shared" si="6"/>
        <v>67</v>
      </c>
    </row>
    <row r="49" spans="1:8" x14ac:dyDescent="0.25">
      <c r="A49" s="314">
        <f t="shared" si="0"/>
        <v>48</v>
      </c>
      <c r="B49" s="314" t="s">
        <v>1083</v>
      </c>
      <c r="C49" s="340">
        <v>48</v>
      </c>
      <c r="D49" s="15">
        <v>0.4</v>
      </c>
      <c r="E49" s="7">
        <v>1</v>
      </c>
      <c r="F49" s="354">
        <f t="shared" si="4"/>
        <v>0.6</v>
      </c>
      <c r="G49" s="442">
        <f t="shared" si="5"/>
        <v>19.200000000000003</v>
      </c>
      <c r="H49" s="445">
        <f t="shared" si="6"/>
        <v>48</v>
      </c>
    </row>
    <row r="50" spans="1:8" x14ac:dyDescent="0.25">
      <c r="A50" s="314">
        <f t="shared" si="0"/>
        <v>49</v>
      </c>
      <c r="B50" s="314" t="s">
        <v>939</v>
      </c>
      <c r="C50" s="435">
        <v>1</v>
      </c>
      <c r="D50" s="404">
        <v>47</v>
      </c>
      <c r="E50" s="7">
        <v>85</v>
      </c>
      <c r="F50" s="354">
        <f t="shared" si="4"/>
        <v>0.44705882352941179</v>
      </c>
      <c r="G50" s="442">
        <f t="shared" si="5"/>
        <v>47</v>
      </c>
      <c r="H50" s="445">
        <f t="shared" si="6"/>
        <v>85</v>
      </c>
    </row>
    <row r="51" spans="1:8" x14ac:dyDescent="0.25">
      <c r="A51" s="314">
        <f t="shared" si="0"/>
        <v>50</v>
      </c>
      <c r="B51" s="314" t="s">
        <v>460</v>
      </c>
      <c r="C51" s="340">
        <v>2</v>
      </c>
      <c r="D51" s="10">
        <v>33</v>
      </c>
      <c r="E51" s="7">
        <v>53</v>
      </c>
      <c r="F51" s="354">
        <f t="shared" si="4"/>
        <v>0.37735849056603776</v>
      </c>
      <c r="G51" s="442">
        <f t="shared" si="5"/>
        <v>66</v>
      </c>
      <c r="H51" s="445">
        <f t="shared" si="6"/>
        <v>106</v>
      </c>
    </row>
    <row r="52" spans="1:8" x14ac:dyDescent="0.25">
      <c r="A52" s="314">
        <f t="shared" si="0"/>
        <v>51</v>
      </c>
      <c r="B52" s="314" t="s">
        <v>942</v>
      </c>
      <c r="C52" s="413">
        <v>0</v>
      </c>
      <c r="D52" s="404">
        <v>8.35</v>
      </c>
      <c r="E52" s="7">
        <v>14</v>
      </c>
      <c r="F52" s="354">
        <f t="shared" si="4"/>
        <v>0.40357142857142858</v>
      </c>
      <c r="G52" s="442">
        <f t="shared" si="5"/>
        <v>0</v>
      </c>
      <c r="H52" s="445">
        <f t="shared" si="6"/>
        <v>0</v>
      </c>
    </row>
    <row r="53" spans="1:8" x14ac:dyDescent="0.25">
      <c r="A53" s="314">
        <f t="shared" si="0"/>
        <v>52</v>
      </c>
      <c r="B53" s="314" t="s">
        <v>659</v>
      </c>
      <c r="C53" s="340">
        <v>13</v>
      </c>
      <c r="D53" s="15">
        <v>4.3</v>
      </c>
      <c r="E53" s="7">
        <v>9</v>
      </c>
      <c r="F53" s="354">
        <f t="shared" si="4"/>
        <v>0.52222222222222225</v>
      </c>
      <c r="G53" s="442">
        <f t="shared" si="5"/>
        <v>55.9</v>
      </c>
      <c r="H53" s="445">
        <f t="shared" si="6"/>
        <v>117</v>
      </c>
    </row>
    <row r="54" spans="1:8" x14ac:dyDescent="0.25">
      <c r="A54" s="314">
        <f t="shared" si="0"/>
        <v>53</v>
      </c>
      <c r="B54" s="314" t="s">
        <v>1178</v>
      </c>
      <c r="C54" s="413">
        <v>3</v>
      </c>
      <c r="D54" s="404">
        <v>8</v>
      </c>
      <c r="E54" s="7">
        <v>15</v>
      </c>
      <c r="F54" s="354">
        <f t="shared" si="4"/>
        <v>0.46666666666666667</v>
      </c>
      <c r="G54" s="442">
        <f t="shared" si="5"/>
        <v>24</v>
      </c>
      <c r="H54" s="445">
        <f t="shared" si="6"/>
        <v>45</v>
      </c>
    </row>
    <row r="55" spans="1:8" x14ac:dyDescent="0.25">
      <c r="A55" s="314">
        <f t="shared" si="0"/>
        <v>54</v>
      </c>
      <c r="B55" s="314" t="s">
        <v>1179</v>
      </c>
      <c r="C55" s="413">
        <v>5</v>
      </c>
      <c r="D55" s="404">
        <v>3.9</v>
      </c>
      <c r="E55" s="7">
        <v>9</v>
      </c>
      <c r="F55" s="354">
        <f t="shared" si="4"/>
        <v>0.56666666666666665</v>
      </c>
      <c r="G55" s="442">
        <f t="shared" si="5"/>
        <v>19.5</v>
      </c>
      <c r="H55" s="445">
        <f t="shared" si="6"/>
        <v>45</v>
      </c>
    </row>
    <row r="56" spans="1:8" x14ac:dyDescent="0.25">
      <c r="A56" s="314">
        <f t="shared" si="0"/>
        <v>55</v>
      </c>
      <c r="B56" s="314" t="s">
        <v>1180</v>
      </c>
      <c r="C56" s="413">
        <v>2</v>
      </c>
      <c r="D56" s="404">
        <v>8</v>
      </c>
      <c r="E56" s="7">
        <v>15</v>
      </c>
      <c r="F56" s="354">
        <f t="shared" si="4"/>
        <v>0.46666666666666667</v>
      </c>
      <c r="G56" s="442">
        <f t="shared" si="5"/>
        <v>16</v>
      </c>
      <c r="H56" s="445">
        <f t="shared" si="6"/>
        <v>30</v>
      </c>
    </row>
    <row r="57" spans="1:8" x14ac:dyDescent="0.25">
      <c r="A57" s="314">
        <f t="shared" si="0"/>
        <v>56</v>
      </c>
      <c r="B57" s="314" t="s">
        <v>1181</v>
      </c>
      <c r="C57" s="413">
        <v>4</v>
      </c>
      <c r="D57" s="404">
        <v>3.9</v>
      </c>
      <c r="E57" s="7">
        <v>9</v>
      </c>
      <c r="F57" s="354">
        <f t="shared" si="4"/>
        <v>0.56666666666666665</v>
      </c>
      <c r="G57" s="442">
        <f t="shared" si="5"/>
        <v>15.6</v>
      </c>
      <c r="H57" s="445">
        <f t="shared" si="6"/>
        <v>36</v>
      </c>
    </row>
    <row r="58" spans="1:8" x14ac:dyDescent="0.25">
      <c r="A58" s="314">
        <f t="shared" si="0"/>
        <v>57</v>
      </c>
      <c r="B58" s="4" t="s">
        <v>32</v>
      </c>
      <c r="C58" s="340">
        <v>140</v>
      </c>
      <c r="D58" s="15">
        <v>0.75</v>
      </c>
      <c r="E58" s="7">
        <v>1.4</v>
      </c>
      <c r="F58" s="354">
        <f t="shared" si="4"/>
        <v>0.46428571428571425</v>
      </c>
      <c r="G58" s="442">
        <f t="shared" si="5"/>
        <v>105</v>
      </c>
      <c r="H58" s="445">
        <f t="shared" si="6"/>
        <v>196</v>
      </c>
    </row>
    <row r="59" spans="1:8" x14ac:dyDescent="0.25">
      <c r="A59" s="314">
        <f t="shared" si="0"/>
        <v>58</v>
      </c>
      <c r="B59" s="314" t="s">
        <v>541</v>
      </c>
      <c r="C59" s="340">
        <v>13</v>
      </c>
      <c r="D59" s="15">
        <v>2</v>
      </c>
      <c r="E59" s="7">
        <v>4</v>
      </c>
      <c r="F59" s="354">
        <f t="shared" si="4"/>
        <v>0.5</v>
      </c>
      <c r="G59" s="442">
        <f t="shared" si="5"/>
        <v>26</v>
      </c>
      <c r="H59" s="445">
        <f t="shared" si="6"/>
        <v>52</v>
      </c>
    </row>
    <row r="60" spans="1:8" x14ac:dyDescent="0.25">
      <c r="A60" s="314">
        <f t="shared" si="0"/>
        <v>59</v>
      </c>
      <c r="B60" s="314" t="s">
        <v>224</v>
      </c>
      <c r="C60" s="340">
        <v>23</v>
      </c>
      <c r="D60" s="10">
        <v>10.555999999999999</v>
      </c>
      <c r="E60" s="7">
        <v>18</v>
      </c>
      <c r="F60" s="354">
        <f t="shared" si="4"/>
        <v>0.41355555555555562</v>
      </c>
      <c r="G60" s="442">
        <f t="shared" si="5"/>
        <v>242.78799999999998</v>
      </c>
      <c r="H60" s="445">
        <f t="shared" si="6"/>
        <v>414</v>
      </c>
    </row>
    <row r="61" spans="1:8" x14ac:dyDescent="0.25">
      <c r="A61" s="314">
        <f t="shared" si="0"/>
        <v>60</v>
      </c>
      <c r="B61" s="651" t="s">
        <v>1085</v>
      </c>
      <c r="C61" s="658">
        <v>6</v>
      </c>
      <c r="D61" s="15">
        <v>2.25</v>
      </c>
      <c r="E61" s="7">
        <v>4</v>
      </c>
      <c r="F61" s="354">
        <f t="shared" si="4"/>
        <v>0.4375</v>
      </c>
      <c r="G61" s="442">
        <f t="shared" si="5"/>
        <v>13.5</v>
      </c>
      <c r="H61" s="445">
        <f t="shared" si="6"/>
        <v>24</v>
      </c>
    </row>
    <row r="62" spans="1:8" x14ac:dyDescent="0.25">
      <c r="A62" s="314">
        <f t="shared" si="0"/>
        <v>61</v>
      </c>
      <c r="B62" s="314" t="s">
        <v>162</v>
      </c>
      <c r="C62" s="415">
        <v>3</v>
      </c>
      <c r="D62" s="10">
        <v>24.93</v>
      </c>
      <c r="E62" s="7">
        <v>45</v>
      </c>
      <c r="F62" s="354">
        <f t="shared" si="4"/>
        <v>0.44600000000000001</v>
      </c>
      <c r="G62" s="442">
        <f t="shared" si="5"/>
        <v>74.789999999999992</v>
      </c>
      <c r="H62" s="445">
        <f t="shared" si="6"/>
        <v>135</v>
      </c>
    </row>
    <row r="63" spans="1:8" x14ac:dyDescent="0.25">
      <c r="A63" s="314">
        <f t="shared" si="0"/>
        <v>62</v>
      </c>
      <c r="B63" s="314" t="s">
        <v>1086</v>
      </c>
      <c r="C63" s="340">
        <v>18</v>
      </c>
      <c r="D63" s="10">
        <v>1.9330000000000001</v>
      </c>
      <c r="E63" s="7">
        <v>3.3</v>
      </c>
      <c r="F63" s="354">
        <f t="shared" si="4"/>
        <v>0.41424242424242419</v>
      </c>
      <c r="G63" s="442">
        <f t="shared" si="5"/>
        <v>34.794000000000004</v>
      </c>
      <c r="H63" s="445">
        <f t="shared" si="6"/>
        <v>59.4</v>
      </c>
    </row>
    <row r="64" spans="1:8" x14ac:dyDescent="0.25">
      <c r="A64" s="314">
        <f t="shared" si="0"/>
        <v>63</v>
      </c>
      <c r="B64" s="314" t="s">
        <v>12</v>
      </c>
      <c r="C64" s="413">
        <v>5</v>
      </c>
      <c r="D64" s="404">
        <v>19</v>
      </c>
      <c r="E64" s="7">
        <v>33</v>
      </c>
      <c r="F64" s="354">
        <f t="shared" si="4"/>
        <v>0.42424242424242425</v>
      </c>
      <c r="G64" s="442">
        <f t="shared" si="5"/>
        <v>95</v>
      </c>
      <c r="H64" s="445">
        <f t="shared" si="6"/>
        <v>165</v>
      </c>
    </row>
    <row r="65" spans="1:8" x14ac:dyDescent="0.25">
      <c r="A65" s="314">
        <f t="shared" si="0"/>
        <v>64</v>
      </c>
      <c r="B65" s="314" t="s">
        <v>174</v>
      </c>
      <c r="C65" s="415">
        <v>48</v>
      </c>
      <c r="D65" s="10">
        <v>1.2</v>
      </c>
      <c r="E65" s="7">
        <v>2</v>
      </c>
      <c r="F65" s="354">
        <f t="shared" si="4"/>
        <v>0.4</v>
      </c>
      <c r="G65" s="442">
        <f t="shared" si="5"/>
        <v>57.599999999999994</v>
      </c>
      <c r="H65" s="445">
        <f t="shared" si="6"/>
        <v>96</v>
      </c>
    </row>
    <row r="66" spans="1:8" x14ac:dyDescent="0.25">
      <c r="A66" s="314">
        <f t="shared" si="0"/>
        <v>65</v>
      </c>
      <c r="B66" s="314" t="s">
        <v>936</v>
      </c>
      <c r="C66" s="415">
        <v>2</v>
      </c>
      <c r="D66" s="10">
        <v>10.45</v>
      </c>
      <c r="E66" s="7">
        <v>25</v>
      </c>
      <c r="F66" s="354">
        <f t="shared" si="4"/>
        <v>0.58200000000000007</v>
      </c>
      <c r="G66" s="442">
        <f t="shared" si="5"/>
        <v>20.9</v>
      </c>
      <c r="H66" s="445">
        <f t="shared" si="6"/>
        <v>50</v>
      </c>
    </row>
    <row r="67" spans="1:8" x14ac:dyDescent="0.25">
      <c r="A67" s="314">
        <f t="shared" si="0"/>
        <v>66</v>
      </c>
      <c r="B67" s="314" t="s">
        <v>325</v>
      </c>
      <c r="C67" s="340">
        <v>11</v>
      </c>
      <c r="D67" s="15">
        <v>1.5</v>
      </c>
      <c r="E67" s="7">
        <v>5</v>
      </c>
      <c r="F67" s="354">
        <f t="shared" ref="F67:F76" si="7">(E67-D67)/(E67)</f>
        <v>0.7</v>
      </c>
      <c r="G67" s="442">
        <f t="shared" ref="G67:G76" si="8">D67*C67</f>
        <v>16.5</v>
      </c>
      <c r="H67" s="445">
        <f t="shared" ref="H67:H76" si="9">E67*C67</f>
        <v>55</v>
      </c>
    </row>
    <row r="68" spans="1:8" x14ac:dyDescent="0.25">
      <c r="A68" s="314">
        <f t="shared" si="0"/>
        <v>67</v>
      </c>
      <c r="B68" s="314" t="s">
        <v>568</v>
      </c>
      <c r="C68" s="413">
        <v>9</v>
      </c>
      <c r="D68" s="404">
        <v>2.0499999999999998</v>
      </c>
      <c r="E68" s="7">
        <v>3.5</v>
      </c>
      <c r="F68" s="354">
        <f t="shared" si="7"/>
        <v>0.41428571428571431</v>
      </c>
      <c r="G68" s="442">
        <f t="shared" si="8"/>
        <v>18.45</v>
      </c>
      <c r="H68" s="445">
        <f t="shared" si="9"/>
        <v>31.5</v>
      </c>
    </row>
    <row r="69" spans="1:8" x14ac:dyDescent="0.25">
      <c r="A69" s="314">
        <f t="shared" si="0"/>
        <v>68</v>
      </c>
      <c r="B69" s="314" t="s">
        <v>569</v>
      </c>
      <c r="C69" s="466">
        <v>21</v>
      </c>
      <c r="D69" s="404">
        <v>2.1</v>
      </c>
      <c r="E69" s="7">
        <v>3.5</v>
      </c>
      <c r="F69" s="354">
        <f t="shared" si="7"/>
        <v>0.39999999999999997</v>
      </c>
      <c r="G69" s="442">
        <f t="shared" si="8"/>
        <v>44.1</v>
      </c>
      <c r="H69" s="445">
        <f t="shared" si="9"/>
        <v>73.5</v>
      </c>
    </row>
    <row r="70" spans="1:8" x14ac:dyDescent="0.25">
      <c r="A70" s="314">
        <f t="shared" si="0"/>
        <v>69</v>
      </c>
      <c r="B70" s="314" t="s">
        <v>1198</v>
      </c>
      <c r="C70" s="339">
        <v>6</v>
      </c>
      <c r="D70" s="15">
        <v>7.75</v>
      </c>
      <c r="E70" s="7">
        <v>14</v>
      </c>
      <c r="F70" s="354">
        <f t="shared" si="7"/>
        <v>0.44642857142857145</v>
      </c>
      <c r="G70" s="442">
        <f t="shared" si="8"/>
        <v>46.5</v>
      </c>
      <c r="H70" s="445">
        <f t="shared" si="9"/>
        <v>84</v>
      </c>
    </row>
    <row r="71" spans="1:8" x14ac:dyDescent="0.25">
      <c r="A71" s="314">
        <f t="shared" si="0"/>
        <v>70</v>
      </c>
      <c r="B71" s="651" t="s">
        <v>1099</v>
      </c>
      <c r="C71" s="652">
        <v>27</v>
      </c>
      <c r="D71" s="15">
        <v>3.3</v>
      </c>
      <c r="E71" s="7">
        <v>6.8</v>
      </c>
      <c r="F71" s="354">
        <f t="shared" si="7"/>
        <v>0.51470588235294124</v>
      </c>
      <c r="G71" s="442">
        <f t="shared" si="8"/>
        <v>89.1</v>
      </c>
      <c r="H71" s="445">
        <f t="shared" si="9"/>
        <v>183.6</v>
      </c>
    </row>
    <row r="72" spans="1:8" x14ac:dyDescent="0.25">
      <c r="A72" s="314">
        <f t="shared" si="0"/>
        <v>71</v>
      </c>
      <c r="B72" s="314" t="s">
        <v>1298</v>
      </c>
      <c r="C72" s="413">
        <v>41</v>
      </c>
      <c r="D72" s="404">
        <v>1.2230000000000001</v>
      </c>
      <c r="E72" s="7">
        <v>2</v>
      </c>
      <c r="F72" s="354">
        <f t="shared" si="7"/>
        <v>0.38849999999999996</v>
      </c>
      <c r="G72" s="442">
        <f t="shared" si="8"/>
        <v>50.143000000000001</v>
      </c>
      <c r="H72" s="445">
        <f t="shared" si="9"/>
        <v>82</v>
      </c>
    </row>
    <row r="73" spans="1:8" x14ac:dyDescent="0.25">
      <c r="A73" s="314">
        <f t="shared" si="0"/>
        <v>72</v>
      </c>
      <c r="B73" s="651" t="s">
        <v>1299</v>
      </c>
      <c r="C73" s="652">
        <v>35</v>
      </c>
      <c r="D73" s="404">
        <v>1.036</v>
      </c>
      <c r="E73" s="7">
        <v>2</v>
      </c>
      <c r="F73" s="354">
        <f t="shared" si="7"/>
        <v>0.48199999999999998</v>
      </c>
      <c r="G73" s="442">
        <f t="shared" si="8"/>
        <v>36.26</v>
      </c>
      <c r="H73" s="445">
        <f t="shared" si="9"/>
        <v>70</v>
      </c>
    </row>
    <row r="74" spans="1:8" x14ac:dyDescent="0.25">
      <c r="A74" s="314">
        <f t="shared" si="0"/>
        <v>73</v>
      </c>
      <c r="B74" s="314" t="s">
        <v>1300</v>
      </c>
      <c r="C74" s="413">
        <v>35</v>
      </c>
      <c r="D74" s="404">
        <v>1.2</v>
      </c>
      <c r="E74" s="7">
        <v>2</v>
      </c>
      <c r="F74" s="354">
        <f t="shared" si="7"/>
        <v>0.4</v>
      </c>
      <c r="G74" s="442">
        <f t="shared" si="8"/>
        <v>42</v>
      </c>
      <c r="H74" s="445">
        <f t="shared" si="9"/>
        <v>70</v>
      </c>
    </row>
    <row r="75" spans="1:8" x14ac:dyDescent="0.25">
      <c r="A75" s="314">
        <f t="shared" si="0"/>
        <v>74</v>
      </c>
      <c r="B75" s="4" t="s">
        <v>871</v>
      </c>
      <c r="C75" s="340">
        <v>1</v>
      </c>
      <c r="D75" s="404">
        <v>30</v>
      </c>
      <c r="E75" s="7">
        <v>55</v>
      </c>
      <c r="F75" s="354">
        <f t="shared" si="7"/>
        <v>0.45454545454545453</v>
      </c>
      <c r="G75" s="442">
        <f t="shared" si="8"/>
        <v>30</v>
      </c>
      <c r="H75" s="445">
        <f t="shared" si="9"/>
        <v>55</v>
      </c>
    </row>
    <row r="76" spans="1:8" x14ac:dyDescent="0.25">
      <c r="A76" s="314">
        <f t="shared" si="0"/>
        <v>75</v>
      </c>
      <c r="B76" s="314" t="s">
        <v>140</v>
      </c>
      <c r="C76" s="340">
        <v>2</v>
      </c>
      <c r="D76" s="15">
        <v>16.899999999999999</v>
      </c>
      <c r="E76" s="7">
        <v>29</v>
      </c>
      <c r="F76" s="354">
        <f t="shared" si="7"/>
        <v>0.41724137931034488</v>
      </c>
      <c r="G76" s="442">
        <f t="shared" si="8"/>
        <v>33.799999999999997</v>
      </c>
      <c r="H76" s="445">
        <f t="shared" si="9"/>
        <v>58</v>
      </c>
    </row>
    <row r="77" spans="1:8" x14ac:dyDescent="0.25">
      <c r="A77" s="314">
        <f t="shared" si="0"/>
        <v>76</v>
      </c>
      <c r="B77" s="314"/>
      <c r="C77" s="340"/>
      <c r="D77" s="15"/>
      <c r="E77" s="7"/>
      <c r="G77" s="30"/>
      <c r="H77" s="25"/>
    </row>
    <row r="78" spans="1:8" x14ac:dyDescent="0.25">
      <c r="A78" s="314">
        <f t="shared" si="0"/>
        <v>77</v>
      </c>
      <c r="B78" s="314"/>
      <c r="C78" s="340"/>
      <c r="D78" s="15"/>
      <c r="E78" s="7"/>
      <c r="G78" s="30"/>
      <c r="H78" s="25"/>
    </row>
    <row r="79" spans="1:8" x14ac:dyDescent="0.25">
      <c r="A79" s="314">
        <f t="shared" si="0"/>
        <v>78</v>
      </c>
      <c r="B79" s="314"/>
      <c r="C79" s="340"/>
      <c r="D79" s="15"/>
      <c r="E79" s="7"/>
      <c r="G79" s="30"/>
      <c r="H79" s="25"/>
    </row>
    <row r="80" spans="1:8" x14ac:dyDescent="0.25">
      <c r="A80" s="314">
        <f t="shared" si="0"/>
        <v>79</v>
      </c>
      <c r="B80" s="314"/>
      <c r="C80" s="413"/>
      <c r="D80" s="404"/>
      <c r="E80" s="7"/>
      <c r="G80" s="30"/>
      <c r="H80" s="25"/>
    </row>
    <row r="81" spans="1:8" x14ac:dyDescent="0.25">
      <c r="A81" s="314">
        <f t="shared" si="0"/>
        <v>80</v>
      </c>
      <c r="B81" s="4"/>
      <c r="C81" s="9"/>
      <c r="D81" s="15"/>
      <c r="E81" s="7"/>
      <c r="G81" s="443">
        <f>SUM(G2:G80)</f>
        <v>3762.6770000000001</v>
      </c>
      <c r="H81" s="441">
        <f>SUM(H2:H80)</f>
        <v>7062.45</v>
      </c>
    </row>
    <row r="82" spans="1:8" x14ac:dyDescent="0.25">
      <c r="A82" s="314">
        <f t="shared" si="0"/>
        <v>81</v>
      </c>
      <c r="B82" s="4"/>
      <c r="C82" s="9"/>
      <c r="D82" s="15"/>
      <c r="E82" s="7"/>
      <c r="G82" s="443"/>
      <c r="H82" s="441"/>
    </row>
    <row r="83" spans="1:8" x14ac:dyDescent="0.25">
      <c r="A83" s="314">
        <f t="shared" si="0"/>
        <v>82</v>
      </c>
      <c r="B83" s="4"/>
      <c r="C83" s="9"/>
      <c r="D83" s="15"/>
      <c r="E83" s="7"/>
      <c r="G83" s="443"/>
      <c r="H83" s="441">
        <f>H81-G81</f>
        <v>3299.7729999999997</v>
      </c>
    </row>
    <row r="84" spans="1:8" x14ac:dyDescent="0.25">
      <c r="A84" s="314">
        <f t="shared" si="0"/>
        <v>83</v>
      </c>
      <c r="B84" s="4"/>
      <c r="C84" s="9"/>
      <c r="D84" s="15"/>
      <c r="E84" s="7"/>
      <c r="G84" s="443"/>
      <c r="H84" s="217"/>
    </row>
    <row r="85" spans="1:8" x14ac:dyDescent="0.25">
      <c r="A85" s="314">
        <f t="shared" si="0"/>
        <v>84</v>
      </c>
      <c r="B85" s="4"/>
      <c r="C85" s="9"/>
      <c r="D85" s="15"/>
      <c r="E85" s="7"/>
      <c r="G85" s="443"/>
      <c r="H85" s="441"/>
    </row>
    <row r="86" spans="1:8" x14ac:dyDescent="0.25">
      <c r="A86" s="314">
        <f t="shared" si="0"/>
        <v>85</v>
      </c>
      <c r="B86" s="4"/>
      <c r="C86" s="9"/>
      <c r="D86" s="15"/>
      <c r="E86" s="7"/>
      <c r="G86" s="443"/>
      <c r="H86" s="29">
        <f>H83/H81</f>
        <v>0.46722780338267877</v>
      </c>
    </row>
    <row r="87" spans="1:8" x14ac:dyDescent="0.25">
      <c r="A87" s="314">
        <f t="shared" si="0"/>
        <v>86</v>
      </c>
      <c r="B87" s="4"/>
      <c r="C87" s="9"/>
      <c r="D87" s="15"/>
      <c r="E87" s="7"/>
      <c r="G87" s="443"/>
      <c r="H87" s="441"/>
    </row>
    <row r="88" spans="1:8" x14ac:dyDescent="0.25">
      <c r="A88" s="314">
        <f t="shared" si="0"/>
        <v>87</v>
      </c>
      <c r="B88" s="4"/>
      <c r="C88" s="9"/>
      <c r="D88" s="15"/>
      <c r="E88" s="7"/>
      <c r="G88" s="443"/>
      <c r="H88" s="441"/>
    </row>
    <row r="89" spans="1:8" x14ac:dyDescent="0.25">
      <c r="A89" s="314">
        <f t="shared" si="0"/>
        <v>88</v>
      </c>
      <c r="B89" s="4"/>
      <c r="C89" s="9"/>
      <c r="D89" s="15"/>
      <c r="E89" s="7"/>
      <c r="G89" s="443"/>
      <c r="H89" s="441"/>
    </row>
    <row r="90" spans="1:8" x14ac:dyDescent="0.25">
      <c r="B90" s="4"/>
      <c r="C90" s="9"/>
      <c r="D90" s="15"/>
      <c r="E90" s="7"/>
      <c r="G90" s="443"/>
      <c r="H90" s="441"/>
    </row>
    <row r="91" spans="1:8" x14ac:dyDescent="0.25">
      <c r="B91" s="4"/>
      <c r="C91" s="8"/>
      <c r="D91" s="15"/>
      <c r="E91" s="7"/>
      <c r="G91" s="443"/>
      <c r="H91" s="441"/>
    </row>
    <row r="92" spans="1:8" ht="14.25" customHeight="1" x14ac:dyDescent="0.25">
      <c r="B92" s="4"/>
      <c r="C92" s="8"/>
      <c r="D92" s="15"/>
      <c r="E92" s="7"/>
      <c r="G92" s="443"/>
      <c r="H92" s="441"/>
    </row>
    <row r="93" spans="1:8" x14ac:dyDescent="0.25">
      <c r="B93" s="4"/>
      <c r="C93" s="8"/>
      <c r="D93" s="15"/>
      <c r="E93" s="7"/>
      <c r="G93" s="443"/>
      <c r="H93" s="441"/>
    </row>
    <row r="94" spans="1:8" x14ac:dyDescent="0.25">
      <c r="B94" s="4"/>
      <c r="C94" s="9"/>
      <c r="D94" s="15"/>
      <c r="E94" s="7"/>
      <c r="G94" s="443"/>
      <c r="H94" s="441"/>
    </row>
    <row r="95" spans="1:8" x14ac:dyDescent="0.25">
      <c r="B95" s="3"/>
      <c r="C95" s="9"/>
      <c r="D95" s="15"/>
      <c r="E95" s="7"/>
      <c r="G95" s="443"/>
      <c r="H95" s="441"/>
    </row>
    <row r="96" spans="1:8" x14ac:dyDescent="0.25">
      <c r="B96" s="4"/>
      <c r="C96" s="9"/>
      <c r="D96" s="15"/>
      <c r="E96" s="7"/>
      <c r="G96" s="443"/>
      <c r="H96" s="441"/>
    </row>
    <row r="97" spans="2:9" x14ac:dyDescent="0.25">
      <c r="B97" s="4"/>
      <c r="C97" s="9"/>
      <c r="D97" s="15"/>
      <c r="E97" s="7"/>
      <c r="G97" s="443"/>
      <c r="H97" s="441"/>
    </row>
    <row r="98" spans="2:9" x14ac:dyDescent="0.25">
      <c r="B98" s="4"/>
      <c r="C98" s="8"/>
      <c r="D98" s="15"/>
      <c r="E98" s="7"/>
      <c r="G98" s="443"/>
      <c r="H98" s="441"/>
    </row>
    <row r="99" spans="2:9" x14ac:dyDescent="0.25">
      <c r="B99" s="4"/>
      <c r="C99" s="9"/>
      <c r="D99" s="10"/>
      <c r="E99" s="7"/>
      <c r="G99" s="443"/>
      <c r="H99" s="441"/>
      <c r="I99" s="32"/>
    </row>
    <row r="100" spans="2:9" x14ac:dyDescent="0.25">
      <c r="B100" s="4"/>
      <c r="C100" s="9"/>
      <c r="D100" s="15"/>
      <c r="E100" s="7"/>
      <c r="G100" s="443"/>
      <c r="H100" s="441"/>
      <c r="I100" s="31"/>
    </row>
    <row r="101" spans="2:9" x14ac:dyDescent="0.25">
      <c r="B101" s="4"/>
      <c r="C101" s="9"/>
      <c r="D101" s="15"/>
      <c r="E101" s="7"/>
      <c r="G101" s="443"/>
      <c r="H101" s="441"/>
      <c r="I101" s="32"/>
    </row>
    <row r="102" spans="2:9" x14ac:dyDescent="0.25">
      <c r="B102" s="4"/>
      <c r="C102" s="9"/>
      <c r="D102" s="15"/>
      <c r="E102" s="7"/>
      <c r="G102" s="443"/>
      <c r="H102" s="441"/>
      <c r="I102" s="32"/>
    </row>
    <row r="103" spans="2:9" ht="14.25" customHeight="1" x14ac:dyDescent="0.25">
      <c r="B103" s="4"/>
      <c r="C103" s="9"/>
      <c r="D103" s="15"/>
      <c r="E103" s="7"/>
      <c r="G103" s="443"/>
      <c r="H103" s="441"/>
    </row>
    <row r="104" spans="2:9" x14ac:dyDescent="0.25">
      <c r="B104" s="4"/>
      <c r="C104" s="8"/>
      <c r="D104" s="15"/>
      <c r="E104" s="7"/>
      <c r="G104" s="443"/>
      <c r="H104" s="441"/>
    </row>
    <row r="105" spans="2:9" x14ac:dyDescent="0.25">
      <c r="B105" s="4"/>
      <c r="C105" s="9"/>
      <c r="D105" s="15"/>
      <c r="E105" s="7"/>
      <c r="G105" s="443"/>
      <c r="H105" s="441"/>
      <c r="I105" s="31"/>
    </row>
    <row r="106" spans="2:9" x14ac:dyDescent="0.25">
      <c r="B106" s="4"/>
      <c r="C106" s="9"/>
      <c r="D106" s="15"/>
      <c r="E106" s="7"/>
      <c r="G106" s="443"/>
      <c r="H106" s="441"/>
    </row>
    <row r="107" spans="2:9" x14ac:dyDescent="0.25">
      <c r="B107" s="3"/>
      <c r="C107" s="9"/>
      <c r="D107" s="15"/>
      <c r="E107" s="7"/>
      <c r="G107" s="443"/>
      <c r="H107" s="441"/>
    </row>
    <row r="108" spans="2:9" x14ac:dyDescent="0.25">
      <c r="B108" s="4"/>
      <c r="C108" s="8"/>
      <c r="D108" s="15"/>
      <c r="E108" s="7"/>
      <c r="G108" s="443"/>
      <c r="H108" s="441"/>
    </row>
    <row r="109" spans="2:9" x14ac:dyDescent="0.25">
      <c r="B109" s="4"/>
      <c r="C109" s="8"/>
      <c r="D109" s="15"/>
      <c r="E109" s="7"/>
      <c r="G109" s="443"/>
      <c r="H109" s="441"/>
    </row>
    <row r="110" spans="2:9" x14ac:dyDescent="0.25">
      <c r="B110" s="4"/>
      <c r="C110" s="9"/>
      <c r="D110" s="15"/>
      <c r="E110" s="7"/>
      <c r="G110" s="443"/>
      <c r="H110" s="441"/>
    </row>
    <row r="111" spans="2:9" x14ac:dyDescent="0.25">
      <c r="B111" s="4"/>
      <c r="C111" s="9"/>
      <c r="D111" s="15"/>
      <c r="E111" s="7"/>
      <c r="G111" s="443"/>
      <c r="H111" s="441"/>
    </row>
    <row r="112" spans="2:9" x14ac:dyDescent="0.25">
      <c r="B112" s="4"/>
      <c r="C112" s="9"/>
      <c r="D112" s="15"/>
      <c r="E112" s="7"/>
      <c r="G112" s="443"/>
      <c r="H112" s="441"/>
    </row>
    <row r="113" spans="2:8" x14ac:dyDescent="0.25">
      <c r="B113" s="4"/>
      <c r="C113" s="9"/>
      <c r="D113" s="15"/>
      <c r="E113" s="7"/>
      <c r="G113" s="443"/>
      <c r="H113" s="441"/>
    </row>
    <row r="114" spans="2:8" x14ac:dyDescent="0.25">
      <c r="B114" s="3"/>
      <c r="C114" s="9"/>
      <c r="D114" s="15"/>
      <c r="E114" s="7"/>
      <c r="G114" s="443"/>
      <c r="H114" s="441"/>
    </row>
    <row r="115" spans="2:8" x14ac:dyDescent="0.25">
      <c r="B115" s="4"/>
      <c r="C115" s="9"/>
      <c r="D115" s="15"/>
      <c r="E115" s="7"/>
      <c r="G115" s="443"/>
      <c r="H115" s="441"/>
    </row>
    <row r="116" spans="2:8" x14ac:dyDescent="0.25">
      <c r="B116" s="4"/>
      <c r="C116" s="9"/>
      <c r="D116" s="15"/>
      <c r="E116" s="7"/>
      <c r="G116" s="443"/>
      <c r="H116" s="441"/>
    </row>
    <row r="117" spans="2:8" x14ac:dyDescent="0.25">
      <c r="B117" s="4"/>
      <c r="C117" s="8"/>
      <c r="D117" s="15"/>
      <c r="E117" s="7"/>
      <c r="G117" s="443"/>
      <c r="H117" s="441"/>
    </row>
    <row r="118" spans="2:8" x14ac:dyDescent="0.25">
      <c r="B118" s="4"/>
      <c r="C118" s="9"/>
      <c r="D118" s="15"/>
      <c r="E118" s="7"/>
      <c r="G118" s="443"/>
      <c r="H118" s="441"/>
    </row>
    <row r="119" spans="2:8" x14ac:dyDescent="0.25">
      <c r="B119" s="4"/>
      <c r="C119" s="9"/>
      <c r="D119" s="15"/>
      <c r="E119" s="7"/>
      <c r="G119" s="443"/>
      <c r="H119" s="441"/>
    </row>
    <row r="120" spans="2:8" x14ac:dyDescent="0.25">
      <c r="B120" s="4"/>
      <c r="C120" s="9"/>
      <c r="D120" s="15"/>
      <c r="E120" s="7"/>
      <c r="G120" s="443"/>
      <c r="H120" s="441"/>
    </row>
    <row r="121" spans="2:8" x14ac:dyDescent="0.25">
      <c r="B121" s="4"/>
      <c r="C121" s="9"/>
      <c r="D121" s="15"/>
      <c r="E121" s="7"/>
      <c r="G121" s="443"/>
      <c r="H121" s="441"/>
    </row>
    <row r="122" spans="2:8" x14ac:dyDescent="0.25">
      <c r="B122" s="4"/>
      <c r="C122" s="9"/>
      <c r="D122" s="15"/>
      <c r="E122" s="7"/>
      <c r="G122" s="443"/>
      <c r="H122" s="441"/>
    </row>
    <row r="123" spans="2:8" x14ac:dyDescent="0.25">
      <c r="B123" s="4"/>
      <c r="C123" s="9"/>
      <c r="D123" s="15"/>
      <c r="E123" s="7"/>
      <c r="G123" s="443"/>
      <c r="H123" s="441"/>
    </row>
    <row r="124" spans="2:8" x14ac:dyDescent="0.25">
      <c r="B124" s="4"/>
      <c r="C124" s="9"/>
      <c r="D124" s="15"/>
      <c r="E124" s="7"/>
      <c r="G124" s="443"/>
      <c r="H124" s="441"/>
    </row>
    <row r="125" spans="2:8" x14ac:dyDescent="0.25">
      <c r="B125" s="4"/>
      <c r="C125" s="9"/>
      <c r="D125" s="15"/>
      <c r="E125" s="7"/>
      <c r="G125" s="443"/>
      <c r="H125" s="441"/>
    </row>
    <row r="126" spans="2:8" x14ac:dyDescent="0.25">
      <c r="B126" s="4"/>
      <c r="C126" s="9"/>
      <c r="D126" s="15"/>
      <c r="E126" s="7"/>
      <c r="G126" s="443"/>
      <c r="H126" s="441"/>
    </row>
    <row r="127" spans="2:8" x14ac:dyDescent="0.25">
      <c r="B127" s="4"/>
      <c r="C127" s="9"/>
      <c r="D127" s="15"/>
      <c r="E127" s="7"/>
      <c r="G127" s="443"/>
      <c r="H127" s="441"/>
    </row>
    <row r="128" spans="2:8" x14ac:dyDescent="0.25">
      <c r="B128" s="4"/>
      <c r="C128" s="9"/>
      <c r="D128" s="10"/>
      <c r="E128" s="7"/>
      <c r="G128" s="443"/>
      <c r="H128" s="441"/>
    </row>
    <row r="129" spans="2:8" x14ac:dyDescent="0.25">
      <c r="B129" s="4"/>
      <c r="C129" s="9"/>
      <c r="D129" s="15"/>
      <c r="E129" s="7"/>
      <c r="G129" s="443"/>
      <c r="H129" s="441"/>
    </row>
    <row r="130" spans="2:8" x14ac:dyDescent="0.25">
      <c r="B130" s="4"/>
      <c r="C130" s="9"/>
      <c r="D130" s="15"/>
      <c r="E130" s="7"/>
      <c r="G130" s="443"/>
      <c r="H130" s="441"/>
    </row>
    <row r="131" spans="2:8" x14ac:dyDescent="0.25">
      <c r="B131" s="4"/>
      <c r="C131" s="9"/>
      <c r="D131" s="15"/>
      <c r="E131" s="7"/>
      <c r="G131" s="443"/>
      <c r="H131" s="441"/>
    </row>
    <row r="132" spans="2:8" x14ac:dyDescent="0.25">
      <c r="B132" s="4"/>
      <c r="C132" s="9"/>
      <c r="D132" s="15"/>
      <c r="E132" s="7"/>
      <c r="G132" s="443"/>
      <c r="H132" s="441"/>
    </row>
    <row r="133" spans="2:8" x14ac:dyDescent="0.25">
      <c r="B133" s="4"/>
      <c r="C133" s="9"/>
      <c r="D133" s="15"/>
      <c r="E133" s="7"/>
      <c r="G133" s="443"/>
      <c r="H133" s="441"/>
    </row>
    <row r="134" spans="2:8" x14ac:dyDescent="0.25">
      <c r="B134" s="4"/>
      <c r="C134" s="9"/>
      <c r="D134" s="15"/>
      <c r="E134" s="7"/>
      <c r="G134" s="443"/>
      <c r="H134" s="441"/>
    </row>
    <row r="135" spans="2:8" x14ac:dyDescent="0.25">
      <c r="B135" s="4"/>
      <c r="C135" s="9"/>
      <c r="D135" s="15"/>
      <c r="E135" s="7"/>
      <c r="G135" s="443"/>
      <c r="H135" s="441"/>
    </row>
    <row r="136" spans="2:8" x14ac:dyDescent="0.25">
      <c r="B136" s="4"/>
      <c r="C136" s="9"/>
      <c r="D136" s="15"/>
      <c r="E136" s="7"/>
      <c r="G136" s="443"/>
      <c r="H136" s="441"/>
    </row>
    <row r="137" spans="2:8" x14ac:dyDescent="0.25">
      <c r="B137" s="4"/>
      <c r="C137" s="9"/>
      <c r="D137" s="15"/>
      <c r="E137" s="7"/>
      <c r="G137" s="443"/>
      <c r="H137" s="441"/>
    </row>
    <row r="138" spans="2:8" x14ac:dyDescent="0.25">
      <c r="B138" s="4"/>
      <c r="C138" s="9"/>
      <c r="D138" s="15"/>
      <c r="E138" s="7"/>
      <c r="G138" s="443"/>
      <c r="H138" s="441"/>
    </row>
    <row r="139" spans="2:8" x14ac:dyDescent="0.25">
      <c r="B139" s="4"/>
      <c r="C139" s="9"/>
      <c r="D139" s="15"/>
      <c r="E139" s="7"/>
      <c r="G139" s="443"/>
      <c r="H139" s="441"/>
    </row>
    <row r="140" spans="2:8" x14ac:dyDescent="0.25">
      <c r="B140" s="4"/>
      <c r="C140" s="9"/>
      <c r="D140" s="15"/>
      <c r="E140" s="7"/>
      <c r="G140" s="443"/>
      <c r="H140" s="441"/>
    </row>
    <row r="141" spans="2:8" x14ac:dyDescent="0.25">
      <c r="B141" s="4"/>
      <c r="C141" s="9"/>
      <c r="D141" s="15"/>
      <c r="E141" s="7"/>
      <c r="G141" s="443"/>
      <c r="H141" s="441"/>
    </row>
    <row r="142" spans="2:8" x14ac:dyDescent="0.25">
      <c r="B142" s="4"/>
      <c r="C142" s="9"/>
      <c r="D142" s="15"/>
      <c r="E142" s="7"/>
      <c r="G142" s="443"/>
      <c r="H142" s="441"/>
    </row>
    <row r="143" spans="2:8" x14ac:dyDescent="0.25">
      <c r="B143" s="4"/>
      <c r="C143" s="9"/>
      <c r="D143" s="15"/>
      <c r="E143" s="7"/>
      <c r="G143" s="443"/>
      <c r="H143" s="441"/>
    </row>
    <row r="144" spans="2:8" x14ac:dyDescent="0.25">
      <c r="B144" s="4"/>
      <c r="C144" s="9"/>
      <c r="D144" s="15"/>
      <c r="E144" s="7"/>
      <c r="G144" s="443"/>
      <c r="H144" s="441"/>
    </row>
    <row r="145" spans="2:8" x14ac:dyDescent="0.25">
      <c r="B145" s="4"/>
      <c r="C145" s="9"/>
      <c r="D145" s="15"/>
      <c r="E145" s="7"/>
      <c r="G145" s="443"/>
      <c r="H145" s="441"/>
    </row>
    <row r="146" spans="2:8" x14ac:dyDescent="0.25">
      <c r="B146" s="4"/>
      <c r="C146" s="9"/>
      <c r="D146" s="15"/>
      <c r="E146" s="7"/>
      <c r="G146" s="443"/>
      <c r="H146" s="441"/>
    </row>
    <row r="147" spans="2:8" x14ac:dyDescent="0.25">
      <c r="B147" s="4"/>
      <c r="C147" s="8"/>
      <c r="D147" s="15"/>
      <c r="E147" s="7"/>
      <c r="G147" s="443"/>
      <c r="H147" s="441"/>
    </row>
    <row r="148" spans="2:8" x14ac:dyDescent="0.25">
      <c r="B148" s="4"/>
      <c r="C148" s="9"/>
      <c r="D148" s="15"/>
      <c r="E148" s="7"/>
      <c r="G148" s="443"/>
      <c r="H148" s="441"/>
    </row>
    <row r="149" spans="2:8" x14ac:dyDescent="0.25">
      <c r="B149" s="4"/>
      <c r="C149" s="8"/>
      <c r="D149" s="15"/>
      <c r="E149" s="7"/>
      <c r="G149" s="443"/>
      <c r="H149" s="441"/>
    </row>
    <row r="150" spans="2:8" x14ac:dyDescent="0.25">
      <c r="B150" s="4"/>
      <c r="C150" s="9"/>
      <c r="D150" s="15"/>
      <c r="E150" s="7"/>
      <c r="G150" s="443"/>
      <c r="H150" s="441"/>
    </row>
    <row r="151" spans="2:8" x14ac:dyDescent="0.25">
      <c r="B151" s="4"/>
      <c r="C151" s="9"/>
      <c r="D151" s="15"/>
      <c r="E151" s="7"/>
      <c r="G151" s="443"/>
      <c r="H151" s="441"/>
    </row>
    <row r="152" spans="2:8" x14ac:dyDescent="0.25">
      <c r="B152" s="4"/>
      <c r="C152" s="9"/>
      <c r="D152" s="15"/>
      <c r="E152" s="7"/>
      <c r="G152" s="443"/>
      <c r="H152" s="441"/>
    </row>
    <row r="153" spans="2:8" x14ac:dyDescent="0.25">
      <c r="B153" s="4"/>
      <c r="C153" s="9"/>
      <c r="D153" s="15"/>
      <c r="E153" s="7"/>
      <c r="G153" s="443"/>
      <c r="H153" s="441"/>
    </row>
    <row r="154" spans="2:8" x14ac:dyDescent="0.25">
      <c r="B154" s="4"/>
      <c r="C154" s="9"/>
      <c r="D154" s="15"/>
      <c r="E154" s="7"/>
      <c r="G154" s="443"/>
      <c r="H154" s="441"/>
    </row>
    <row r="155" spans="2:8" x14ac:dyDescent="0.25">
      <c r="B155" s="4"/>
      <c r="C155" s="9"/>
      <c r="D155" s="15"/>
      <c r="E155" s="7"/>
      <c r="G155" s="443"/>
      <c r="H155" s="441"/>
    </row>
    <row r="156" spans="2:8" x14ac:dyDescent="0.25">
      <c r="B156" s="4"/>
      <c r="C156" s="9"/>
      <c r="D156" s="15"/>
      <c r="E156" s="7"/>
      <c r="G156" s="443"/>
      <c r="H156" s="441"/>
    </row>
    <row r="157" spans="2:8" x14ac:dyDescent="0.25">
      <c r="B157" s="4"/>
      <c r="C157" s="8"/>
      <c r="D157" s="15"/>
      <c r="E157" s="7"/>
      <c r="G157" s="443"/>
      <c r="H157" s="441"/>
    </row>
    <row r="158" spans="2:8" x14ac:dyDescent="0.25">
      <c r="B158" s="4"/>
      <c r="C158" s="9"/>
      <c r="D158" s="15"/>
      <c r="E158" s="7"/>
      <c r="G158" s="443"/>
      <c r="H158" s="441"/>
    </row>
    <row r="159" spans="2:8" x14ac:dyDescent="0.25">
      <c r="B159" s="4"/>
      <c r="C159" s="9"/>
      <c r="D159" s="15"/>
      <c r="E159" s="7"/>
      <c r="G159" s="443"/>
      <c r="H159" s="441"/>
    </row>
    <row r="160" spans="2:8" x14ac:dyDescent="0.25">
      <c r="B160" s="4"/>
      <c r="C160" s="9"/>
      <c r="D160" s="15"/>
      <c r="E160" s="7"/>
      <c r="G160" s="443"/>
      <c r="H160" s="441"/>
    </row>
    <row r="161" spans="2:8" x14ac:dyDescent="0.25">
      <c r="B161" s="4"/>
      <c r="C161" s="9"/>
      <c r="D161" s="15"/>
      <c r="E161" s="7"/>
      <c r="G161" s="443"/>
      <c r="H161" s="441"/>
    </row>
    <row r="162" spans="2:8" x14ac:dyDescent="0.25">
      <c r="B162" s="4"/>
      <c r="C162" s="9"/>
      <c r="D162" s="15"/>
      <c r="E162" s="7"/>
      <c r="G162" s="443"/>
      <c r="H162" s="441"/>
    </row>
    <row r="163" spans="2:8" x14ac:dyDescent="0.25">
      <c r="B163" s="4"/>
      <c r="C163" s="9"/>
      <c r="D163" s="15"/>
      <c r="E163" s="7"/>
      <c r="G163" s="443"/>
      <c r="H163" s="441"/>
    </row>
    <row r="164" spans="2:8" x14ac:dyDescent="0.25">
      <c r="B164" s="4"/>
      <c r="C164" s="9"/>
      <c r="D164" s="15"/>
      <c r="E164" s="7"/>
      <c r="G164" s="443"/>
      <c r="H164" s="441"/>
    </row>
    <row r="165" spans="2:8" x14ac:dyDescent="0.25">
      <c r="B165" s="4"/>
      <c r="C165" s="9"/>
      <c r="D165" s="10"/>
      <c r="E165" s="7"/>
      <c r="G165" s="443"/>
      <c r="H165" s="441"/>
    </row>
    <row r="166" spans="2:8" x14ac:dyDescent="0.25">
      <c r="B166" s="3"/>
      <c r="C166" s="9"/>
      <c r="D166" s="15"/>
      <c r="E166" s="7"/>
      <c r="G166" s="443"/>
      <c r="H166" s="441"/>
    </row>
    <row r="167" spans="2:8" x14ac:dyDescent="0.25">
      <c r="B167" s="4"/>
      <c r="C167" s="9"/>
      <c r="D167" s="15"/>
      <c r="E167" s="7"/>
      <c r="G167" s="443"/>
      <c r="H167" s="441"/>
    </row>
    <row r="168" spans="2:8" x14ac:dyDescent="0.25">
      <c r="B168" s="4"/>
      <c r="C168" s="9"/>
      <c r="D168" s="15"/>
      <c r="E168" s="7"/>
      <c r="G168" s="443"/>
      <c r="H168" s="441"/>
    </row>
    <row r="169" spans="2:8" x14ac:dyDescent="0.25">
      <c r="B169" s="4"/>
      <c r="C169" s="9"/>
      <c r="D169" s="15"/>
      <c r="E169" s="7"/>
      <c r="G169" s="443"/>
      <c r="H169" s="441"/>
    </row>
    <row r="170" spans="2:8" x14ac:dyDescent="0.25">
      <c r="B170" s="3"/>
      <c r="C170" s="9"/>
      <c r="D170" s="15"/>
      <c r="E170" s="7"/>
      <c r="G170" s="443"/>
      <c r="H170" s="441"/>
    </row>
    <row r="171" spans="2:8" x14ac:dyDescent="0.25">
      <c r="B171" s="4"/>
      <c r="C171" s="9"/>
      <c r="D171" s="15"/>
      <c r="E171" s="7"/>
      <c r="G171" s="443"/>
      <c r="H171" s="441"/>
    </row>
    <row r="172" spans="2:8" x14ac:dyDescent="0.25">
      <c r="B172" s="4"/>
      <c r="C172" s="9"/>
      <c r="D172" s="15"/>
      <c r="E172" s="7"/>
      <c r="G172" s="443"/>
      <c r="H172" s="441"/>
    </row>
    <row r="173" spans="2:8" x14ac:dyDescent="0.25">
      <c r="B173" s="4"/>
      <c r="C173" s="9"/>
      <c r="D173" s="15"/>
      <c r="E173" s="7"/>
      <c r="G173" s="443"/>
      <c r="H173" s="441"/>
    </row>
    <row r="174" spans="2:8" x14ac:dyDescent="0.25">
      <c r="B174" s="4"/>
      <c r="C174" s="9"/>
      <c r="D174" s="15"/>
      <c r="E174" s="7"/>
      <c r="G174" s="443"/>
      <c r="H174" s="441"/>
    </row>
    <row r="175" spans="2:8" x14ac:dyDescent="0.25">
      <c r="B175" s="4"/>
      <c r="C175" s="9"/>
      <c r="D175" s="15"/>
      <c r="E175" s="7"/>
      <c r="G175" s="443"/>
      <c r="H175" s="441"/>
    </row>
    <row r="176" spans="2:8" x14ac:dyDescent="0.25">
      <c r="B176" s="4"/>
      <c r="C176" s="9"/>
      <c r="D176" s="15"/>
      <c r="E176" s="7"/>
      <c r="G176" s="443"/>
      <c r="H176" s="441"/>
    </row>
    <row r="177" spans="2:8" x14ac:dyDescent="0.25">
      <c r="B177" s="4"/>
      <c r="C177" s="9"/>
      <c r="D177" s="15"/>
      <c r="E177" s="7"/>
      <c r="G177" s="443"/>
      <c r="H177" s="441"/>
    </row>
    <row r="178" spans="2:8" x14ac:dyDescent="0.25">
      <c r="B178" s="4"/>
      <c r="C178" s="9"/>
      <c r="D178" s="15"/>
      <c r="E178" s="7"/>
      <c r="G178" s="443"/>
      <c r="H178" s="441"/>
    </row>
    <row r="179" spans="2:8" x14ac:dyDescent="0.25">
      <c r="B179" s="4"/>
      <c r="C179" s="9"/>
      <c r="D179" s="15"/>
      <c r="E179" s="7"/>
      <c r="G179" s="443"/>
      <c r="H179" s="441"/>
    </row>
    <row r="180" spans="2:8" x14ac:dyDescent="0.25">
      <c r="B180" s="4"/>
      <c r="C180" s="9"/>
      <c r="D180" s="15"/>
      <c r="E180" s="7"/>
      <c r="G180" s="443"/>
      <c r="H180" s="441"/>
    </row>
    <row r="181" spans="2:8" x14ac:dyDescent="0.25">
      <c r="B181" s="4"/>
      <c r="C181" s="9"/>
      <c r="D181" s="15"/>
      <c r="E181" s="7"/>
      <c r="G181" s="443"/>
      <c r="H181" s="441"/>
    </row>
    <row r="182" spans="2:8" x14ac:dyDescent="0.25">
      <c r="B182" s="4"/>
      <c r="C182" s="9"/>
      <c r="D182" s="15"/>
      <c r="E182" s="7"/>
      <c r="G182" s="443"/>
      <c r="H182" s="441"/>
    </row>
    <row r="183" spans="2:8" x14ac:dyDescent="0.25">
      <c r="B183" s="4"/>
      <c r="C183" s="9"/>
      <c r="D183" s="15"/>
      <c r="E183" s="7"/>
      <c r="G183" s="443"/>
      <c r="H183" s="441"/>
    </row>
    <row r="184" spans="2:8" x14ac:dyDescent="0.25">
      <c r="B184" s="4"/>
      <c r="C184" s="9"/>
      <c r="D184" s="15"/>
      <c r="E184" s="7"/>
      <c r="G184" s="443"/>
      <c r="H184" s="441"/>
    </row>
    <row r="185" spans="2:8" x14ac:dyDescent="0.25">
      <c r="B185" s="4"/>
      <c r="C185" s="9"/>
      <c r="D185" s="15"/>
      <c r="E185" s="7"/>
      <c r="G185" s="443"/>
      <c r="H185" s="441"/>
    </row>
    <row r="186" spans="2:8" x14ac:dyDescent="0.25">
      <c r="B186" s="4"/>
      <c r="C186" s="9"/>
      <c r="D186" s="15"/>
      <c r="E186" s="7"/>
      <c r="G186" s="443"/>
      <c r="H186" s="441"/>
    </row>
    <row r="187" spans="2:8" x14ac:dyDescent="0.25">
      <c r="B187" s="4"/>
      <c r="C187" s="9"/>
      <c r="D187" s="15"/>
      <c r="E187" s="7"/>
      <c r="G187" s="443"/>
      <c r="H187" s="441"/>
    </row>
    <row r="188" spans="2:8" x14ac:dyDescent="0.25">
      <c r="B188" s="4"/>
      <c r="C188" s="9"/>
      <c r="D188" s="15"/>
      <c r="E188" s="7"/>
      <c r="G188" s="443"/>
      <c r="H188" s="441"/>
    </row>
    <row r="189" spans="2:8" x14ac:dyDescent="0.25">
      <c r="B189" s="4"/>
      <c r="C189" s="9"/>
      <c r="D189" s="15"/>
      <c r="E189" s="7"/>
      <c r="G189" s="443"/>
      <c r="H189" s="441"/>
    </row>
    <row r="190" spans="2:8" x14ac:dyDescent="0.25">
      <c r="B190" s="4"/>
      <c r="C190" s="9"/>
      <c r="D190" s="15"/>
      <c r="E190" s="7"/>
      <c r="G190" s="443"/>
      <c r="H190" s="441"/>
    </row>
    <row r="191" spans="2:8" x14ac:dyDescent="0.25">
      <c r="B191" s="4"/>
      <c r="C191" s="9"/>
      <c r="D191" s="15"/>
      <c r="E191" s="7"/>
      <c r="G191" s="443"/>
      <c r="H191" s="441"/>
    </row>
    <row r="192" spans="2:8" x14ac:dyDescent="0.25">
      <c r="B192" s="4"/>
      <c r="C192" s="8"/>
      <c r="D192" s="15"/>
      <c r="E192" s="7"/>
      <c r="G192" s="443"/>
      <c r="H192" s="441"/>
    </row>
    <row r="193" spans="2:8" x14ac:dyDescent="0.25">
      <c r="B193" s="4"/>
      <c r="C193" s="9"/>
      <c r="D193" s="15"/>
      <c r="E193" s="7"/>
      <c r="G193" s="443"/>
      <c r="H193" s="441"/>
    </row>
    <row r="194" spans="2:8" x14ac:dyDescent="0.25">
      <c r="B194" s="4"/>
      <c r="C194" s="8"/>
      <c r="D194" s="15"/>
      <c r="E194" s="7"/>
      <c r="G194" s="443"/>
      <c r="H194" s="441"/>
    </row>
    <row r="195" spans="2:8" x14ac:dyDescent="0.25">
      <c r="B195" s="4"/>
      <c r="C195" s="9"/>
      <c r="D195" s="15"/>
      <c r="E195" s="7"/>
      <c r="G195" s="443"/>
      <c r="H195" s="441"/>
    </row>
    <row r="196" spans="2:8" x14ac:dyDescent="0.25">
      <c r="B196" s="4"/>
      <c r="C196" s="9"/>
      <c r="D196" s="15"/>
      <c r="E196" s="7"/>
      <c r="G196" s="443"/>
      <c r="H196" s="441"/>
    </row>
    <row r="197" spans="2:8" x14ac:dyDescent="0.25">
      <c r="B197" s="4"/>
      <c r="C197" s="9"/>
      <c r="D197" s="15"/>
      <c r="E197" s="7"/>
      <c r="G197" s="443"/>
      <c r="H197" s="441"/>
    </row>
    <row r="198" spans="2:8" x14ac:dyDescent="0.25">
      <c r="B198" s="4"/>
      <c r="C198" s="9"/>
      <c r="D198" s="15"/>
      <c r="E198" s="7"/>
      <c r="G198" s="443"/>
      <c r="H198" s="441"/>
    </row>
    <row r="199" spans="2:8" x14ac:dyDescent="0.25">
      <c r="B199" s="4"/>
      <c r="C199" s="9"/>
      <c r="D199" s="15"/>
      <c r="E199" s="7"/>
      <c r="G199" s="443"/>
      <c r="H199" s="441"/>
    </row>
    <row r="200" spans="2:8" x14ac:dyDescent="0.25">
      <c r="B200" s="4"/>
      <c r="C200" s="8"/>
      <c r="D200" s="15"/>
      <c r="E200" s="7"/>
      <c r="G200" s="443"/>
      <c r="H200" s="441"/>
    </row>
    <row r="201" spans="2:8" x14ac:dyDescent="0.25">
      <c r="B201" s="4"/>
      <c r="C201" s="9"/>
      <c r="D201" s="15"/>
      <c r="E201" s="7"/>
      <c r="G201" s="443"/>
      <c r="H201" s="441"/>
    </row>
    <row r="202" spans="2:8" x14ac:dyDescent="0.25">
      <c r="B202" s="4"/>
      <c r="C202" s="8"/>
      <c r="D202" s="15"/>
      <c r="E202" s="7"/>
      <c r="G202" s="443"/>
      <c r="H202" s="441"/>
    </row>
    <row r="203" spans="2:8" x14ac:dyDescent="0.25">
      <c r="B203" s="4"/>
      <c r="C203" s="9"/>
      <c r="D203" s="15"/>
      <c r="E203" s="7"/>
      <c r="G203" s="443"/>
      <c r="H203" s="441"/>
    </row>
    <row r="204" spans="2:8" x14ac:dyDescent="0.25">
      <c r="B204" s="4"/>
      <c r="C204" s="9"/>
      <c r="D204" s="15"/>
      <c r="E204" s="7"/>
      <c r="G204" s="443"/>
      <c r="H204" s="441"/>
    </row>
    <row r="205" spans="2:8" x14ac:dyDescent="0.25">
      <c r="B205" s="4"/>
      <c r="C205" s="9"/>
      <c r="D205" s="15"/>
      <c r="E205" s="7"/>
      <c r="G205" s="443"/>
      <c r="H205" s="441"/>
    </row>
    <row r="206" spans="2:8" x14ac:dyDescent="0.25">
      <c r="B206" s="3"/>
      <c r="C206" s="8"/>
      <c r="D206" s="15"/>
      <c r="E206" s="7"/>
      <c r="G206" s="443"/>
      <c r="H206" s="441"/>
    </row>
    <row r="207" spans="2:8" x14ac:dyDescent="0.25">
      <c r="B207" s="4"/>
      <c r="C207" s="9"/>
      <c r="D207" s="15"/>
      <c r="E207" s="7"/>
      <c r="G207" s="443"/>
      <c r="H207" s="441"/>
    </row>
    <row r="208" spans="2:8" x14ac:dyDescent="0.25">
      <c r="B208" s="4"/>
      <c r="C208" s="9"/>
      <c r="D208" s="15"/>
      <c r="E208" s="7"/>
      <c r="G208" s="443"/>
      <c r="H208" s="441"/>
    </row>
    <row r="209" spans="2:8" x14ac:dyDescent="0.25">
      <c r="B209" s="4"/>
      <c r="C209" s="9"/>
      <c r="D209" s="15"/>
      <c r="E209" s="7"/>
      <c r="G209" s="443"/>
      <c r="H209" s="441"/>
    </row>
    <row r="210" spans="2:8" x14ac:dyDescent="0.25">
      <c r="B210" s="4"/>
      <c r="C210" s="9"/>
      <c r="D210" s="15"/>
      <c r="E210" s="7"/>
      <c r="G210" s="443"/>
      <c r="H210" s="441"/>
    </row>
    <row r="211" spans="2:8" x14ac:dyDescent="0.25">
      <c r="B211" s="4"/>
      <c r="C211" s="8"/>
      <c r="D211" s="15"/>
      <c r="E211" s="7"/>
      <c r="G211" s="443"/>
      <c r="H211" s="441"/>
    </row>
    <row r="212" spans="2:8" x14ac:dyDescent="0.25">
      <c r="B212" s="4"/>
      <c r="C212" s="9"/>
      <c r="D212" s="15"/>
      <c r="E212" s="7"/>
      <c r="G212" s="443"/>
      <c r="H212" s="441"/>
    </row>
    <row r="213" spans="2:8" x14ac:dyDescent="0.25">
      <c r="B213" s="4"/>
      <c r="C213" s="9"/>
      <c r="D213" s="15"/>
      <c r="E213" s="7"/>
      <c r="G213" s="443"/>
      <c r="H213" s="441"/>
    </row>
    <row r="214" spans="2:8" x14ac:dyDescent="0.25">
      <c r="B214" s="4"/>
      <c r="C214" s="8"/>
      <c r="D214" s="15"/>
      <c r="E214" s="7"/>
      <c r="G214" s="443"/>
      <c r="H214" s="441"/>
    </row>
    <row r="215" spans="2:8" x14ac:dyDescent="0.25">
      <c r="B215" s="4"/>
      <c r="C215" s="8"/>
      <c r="D215" s="15"/>
      <c r="E215" s="7"/>
      <c r="G215" s="443"/>
      <c r="H215" s="441"/>
    </row>
    <row r="216" spans="2:8" x14ac:dyDescent="0.25">
      <c r="B216" s="4"/>
      <c r="C216" s="9"/>
      <c r="D216" s="15"/>
      <c r="E216" s="7"/>
      <c r="G216" s="443"/>
      <c r="H216" s="441"/>
    </row>
    <row r="217" spans="2:8" x14ac:dyDescent="0.25">
      <c r="B217" s="4"/>
      <c r="C217" s="8"/>
      <c r="D217" s="15"/>
      <c r="E217" s="7"/>
      <c r="G217" s="443"/>
      <c r="H217" s="441"/>
    </row>
    <row r="218" spans="2:8" x14ac:dyDescent="0.25">
      <c r="B218" s="4"/>
      <c r="C218" s="9"/>
      <c r="D218" s="15"/>
      <c r="E218" s="7"/>
      <c r="G218" s="443"/>
      <c r="H218" s="441"/>
    </row>
    <row r="219" spans="2:8" x14ac:dyDescent="0.25">
      <c r="B219" s="4"/>
      <c r="C219" s="9"/>
      <c r="D219" s="15"/>
      <c r="E219" s="7"/>
      <c r="G219" s="443"/>
      <c r="H219" s="441"/>
    </row>
    <row r="220" spans="2:8" x14ac:dyDescent="0.25">
      <c r="B220" s="4"/>
      <c r="C220" s="9"/>
      <c r="D220" s="15"/>
      <c r="E220" s="7"/>
      <c r="G220" s="443"/>
      <c r="H220" s="441"/>
    </row>
    <row r="221" spans="2:8" x14ac:dyDescent="0.25">
      <c r="B221" s="4"/>
      <c r="C221" s="9"/>
      <c r="D221" s="15"/>
      <c r="E221" s="7"/>
      <c r="G221" s="443"/>
      <c r="H221" s="441"/>
    </row>
    <row r="222" spans="2:8" x14ac:dyDescent="0.25">
      <c r="B222" s="4"/>
      <c r="C222" s="9"/>
      <c r="D222" s="15"/>
      <c r="E222" s="7"/>
      <c r="G222" s="443"/>
      <c r="H222" s="441"/>
    </row>
    <row r="223" spans="2:8" x14ac:dyDescent="0.25">
      <c r="B223" s="4"/>
      <c r="C223" s="8"/>
      <c r="D223" s="15"/>
      <c r="E223" s="7"/>
      <c r="G223" s="443"/>
      <c r="H223" s="441"/>
    </row>
    <row r="224" spans="2:8" x14ac:dyDescent="0.25">
      <c r="B224" s="4"/>
      <c r="C224" s="9"/>
      <c r="D224" s="15"/>
      <c r="E224" s="7"/>
      <c r="G224" s="443"/>
      <c r="H224" s="441"/>
    </row>
    <row r="225" spans="2:8" x14ac:dyDescent="0.25">
      <c r="B225" s="4"/>
      <c r="C225" s="9"/>
      <c r="D225" s="15"/>
      <c r="E225" s="7"/>
      <c r="G225" s="443"/>
      <c r="H225" s="441"/>
    </row>
    <row r="226" spans="2:8" x14ac:dyDescent="0.25">
      <c r="B226" s="4"/>
      <c r="C226" s="9"/>
      <c r="D226" s="15"/>
      <c r="E226" s="7"/>
      <c r="G226" s="443"/>
      <c r="H226" s="441"/>
    </row>
    <row r="227" spans="2:8" x14ac:dyDescent="0.25">
      <c r="B227" s="3"/>
      <c r="C227" s="8"/>
      <c r="D227" s="15"/>
      <c r="E227" s="7"/>
      <c r="G227" s="443"/>
      <c r="H227" s="441"/>
    </row>
    <row r="228" spans="2:8" x14ac:dyDescent="0.25">
      <c r="B228" s="4"/>
      <c r="C228" s="9"/>
      <c r="D228" s="15"/>
      <c r="E228" s="7"/>
      <c r="G228" s="443"/>
      <c r="H228" s="441"/>
    </row>
    <row r="229" spans="2:8" x14ac:dyDescent="0.25">
      <c r="B229" s="4"/>
      <c r="C229" s="9"/>
      <c r="D229" s="15"/>
      <c r="E229" s="7"/>
      <c r="G229" s="443"/>
      <c r="H229" s="441"/>
    </row>
    <row r="230" spans="2:8" x14ac:dyDescent="0.25">
      <c r="B230" s="4"/>
      <c r="C230" s="9"/>
      <c r="D230" s="15"/>
      <c r="E230" s="7"/>
      <c r="G230" s="443"/>
      <c r="H230" s="441"/>
    </row>
    <row r="231" spans="2:8" x14ac:dyDescent="0.25">
      <c r="B231" s="4"/>
      <c r="C231" s="9"/>
      <c r="D231" s="15"/>
      <c r="E231" s="7"/>
      <c r="G231" s="443"/>
      <c r="H231" s="441"/>
    </row>
    <row r="232" spans="2:8" x14ac:dyDescent="0.25">
      <c r="B232" s="4"/>
      <c r="C232" s="9"/>
      <c r="D232" s="15"/>
      <c r="E232" s="7"/>
      <c r="G232" s="443"/>
      <c r="H232" s="441"/>
    </row>
    <row r="233" spans="2:8" x14ac:dyDescent="0.25">
      <c r="B233" s="4"/>
      <c r="C233" s="9"/>
      <c r="D233" s="15"/>
      <c r="E233" s="7"/>
      <c r="G233" s="443"/>
      <c r="H233" s="441"/>
    </row>
    <row r="234" spans="2:8" x14ac:dyDescent="0.25">
      <c r="B234" s="4"/>
      <c r="C234" s="9"/>
      <c r="D234" s="15"/>
      <c r="E234" s="7"/>
      <c r="G234" s="443"/>
      <c r="H234" s="441"/>
    </row>
    <row r="235" spans="2:8" x14ac:dyDescent="0.25">
      <c r="B235" s="4"/>
      <c r="C235" s="8"/>
      <c r="D235" s="15"/>
      <c r="E235" s="7"/>
      <c r="G235" s="443"/>
      <c r="H235" s="441"/>
    </row>
    <row r="236" spans="2:8" x14ac:dyDescent="0.25">
      <c r="B236" s="4"/>
      <c r="C236" s="9"/>
      <c r="D236" s="15"/>
      <c r="E236" s="7"/>
      <c r="G236" s="443"/>
      <c r="H236" s="441"/>
    </row>
    <row r="237" spans="2:8" x14ac:dyDescent="0.25">
      <c r="B237" s="4"/>
      <c r="C237" s="9"/>
      <c r="D237" s="15"/>
      <c r="E237" s="7"/>
      <c r="G237" s="443"/>
      <c r="H237" s="441"/>
    </row>
    <row r="238" spans="2:8" x14ac:dyDescent="0.25">
      <c r="B238" s="4"/>
      <c r="C238" s="9"/>
      <c r="D238" s="15"/>
      <c r="E238" s="7"/>
      <c r="G238" s="443"/>
      <c r="H238" s="441"/>
    </row>
    <row r="239" spans="2:8" x14ac:dyDescent="0.25">
      <c r="B239" s="4"/>
      <c r="C239" s="9"/>
      <c r="D239" s="15"/>
      <c r="E239" s="7"/>
      <c r="G239" s="443"/>
      <c r="H239" s="441"/>
    </row>
    <row r="240" spans="2:8" x14ac:dyDescent="0.25">
      <c r="B240" s="4"/>
      <c r="C240" s="8"/>
      <c r="D240" s="15"/>
      <c r="E240" s="7"/>
      <c r="G240" s="443"/>
      <c r="H240" s="441"/>
    </row>
    <row r="241" spans="2:8" x14ac:dyDescent="0.25">
      <c r="B241" s="4"/>
      <c r="C241" s="9"/>
      <c r="D241" s="15"/>
      <c r="E241" s="7"/>
      <c r="G241" s="443"/>
      <c r="H241" s="441"/>
    </row>
    <row r="242" spans="2:8" x14ac:dyDescent="0.25">
      <c r="B242" s="4"/>
      <c r="C242" s="9"/>
      <c r="D242" s="15"/>
      <c r="E242" s="7"/>
      <c r="G242" s="443"/>
      <c r="H242" s="441"/>
    </row>
    <row r="243" spans="2:8" x14ac:dyDescent="0.25">
      <c r="B243" s="4"/>
      <c r="C243" s="9"/>
      <c r="D243" s="15"/>
      <c r="E243" s="7"/>
      <c r="G243" s="443"/>
      <c r="H243" s="441"/>
    </row>
    <row r="244" spans="2:8" x14ac:dyDescent="0.25">
      <c r="B244" s="4"/>
      <c r="C244" s="9"/>
      <c r="D244" s="15"/>
      <c r="E244" s="7"/>
      <c r="G244" s="443"/>
      <c r="H244" s="441"/>
    </row>
    <row r="245" spans="2:8" x14ac:dyDescent="0.25">
      <c r="B245" s="4"/>
      <c r="C245" s="9"/>
      <c r="D245" s="15"/>
      <c r="E245" s="7"/>
      <c r="G245" s="443"/>
      <c r="H245" s="441"/>
    </row>
    <row r="246" spans="2:8" x14ac:dyDescent="0.25">
      <c r="B246" s="4"/>
      <c r="C246" s="9"/>
      <c r="D246" s="15"/>
      <c r="E246" s="7"/>
      <c r="G246" s="443"/>
      <c r="H246" s="441"/>
    </row>
    <row r="247" spans="2:8" x14ac:dyDescent="0.25">
      <c r="B247" s="4"/>
      <c r="C247" s="8"/>
      <c r="D247" s="15"/>
      <c r="E247" s="7"/>
      <c r="G247" s="443"/>
      <c r="H247" s="441"/>
    </row>
    <row r="248" spans="2:8" x14ac:dyDescent="0.25">
      <c r="B248" s="4"/>
      <c r="C248" s="9"/>
      <c r="D248" s="15"/>
      <c r="E248" s="7"/>
      <c r="G248" s="443"/>
      <c r="H248" s="441"/>
    </row>
    <row r="249" spans="2:8" x14ac:dyDescent="0.25">
      <c r="B249" s="4"/>
      <c r="C249" s="9"/>
      <c r="D249" s="15"/>
      <c r="E249" s="7"/>
      <c r="G249" s="443"/>
      <c r="H249" s="441"/>
    </row>
    <row r="250" spans="2:8" x14ac:dyDescent="0.25">
      <c r="B250" s="4"/>
      <c r="C250" s="9"/>
      <c r="D250" s="15"/>
      <c r="E250" s="7"/>
      <c r="G250" s="443"/>
      <c r="H250" s="441"/>
    </row>
    <row r="251" spans="2:8" ht="13.5" customHeight="1" x14ac:dyDescent="0.25">
      <c r="B251" s="4"/>
      <c r="C251" s="9"/>
      <c r="D251" s="10"/>
      <c r="E251" s="7"/>
      <c r="G251" s="443"/>
      <c r="H251" s="441"/>
    </row>
    <row r="252" spans="2:8" ht="13.5" customHeight="1" x14ac:dyDescent="0.25">
      <c r="B252" s="4"/>
      <c r="C252" s="9"/>
      <c r="D252" s="15"/>
      <c r="E252" s="7"/>
      <c r="G252" s="443"/>
      <c r="H252" s="441"/>
    </row>
    <row r="253" spans="2:8" ht="13.5" customHeight="1" x14ac:dyDescent="0.25">
      <c r="B253" s="4"/>
      <c r="C253" s="9"/>
      <c r="D253" s="15"/>
      <c r="E253" s="7"/>
      <c r="G253" s="443"/>
      <c r="H253" s="441"/>
    </row>
    <row r="254" spans="2:8" ht="13.5" customHeight="1" x14ac:dyDescent="0.25">
      <c r="B254" s="4"/>
      <c r="C254" s="9"/>
      <c r="D254" s="10"/>
      <c r="E254" s="7"/>
      <c r="G254" s="443"/>
      <c r="H254" s="441"/>
    </row>
    <row r="255" spans="2:8" ht="13.5" customHeight="1" x14ac:dyDescent="0.25">
      <c r="B255" s="4"/>
      <c r="C255" s="9"/>
      <c r="D255" s="10"/>
      <c r="E255" s="7"/>
      <c r="G255" s="443"/>
      <c r="H255" s="441"/>
    </row>
    <row r="256" spans="2:8" ht="13.5" customHeight="1" x14ac:dyDescent="0.25">
      <c r="B256" s="4"/>
      <c r="C256" s="8"/>
      <c r="D256" s="15"/>
      <c r="E256" s="7"/>
      <c r="G256" s="443"/>
      <c r="H256" s="441"/>
    </row>
    <row r="257" spans="2:8" ht="13.5" customHeight="1" x14ac:dyDescent="0.25">
      <c r="G257" s="443"/>
      <c r="H257" s="441"/>
    </row>
    <row r="258" spans="2:8" ht="13.5" customHeight="1" x14ac:dyDescent="0.25">
      <c r="G258" s="443"/>
      <c r="H258" s="441"/>
    </row>
    <row r="259" spans="2:8" ht="13.5" customHeight="1" x14ac:dyDescent="0.25">
      <c r="G259" s="443"/>
      <c r="H259" s="441"/>
    </row>
    <row r="260" spans="2:8" ht="13.5" customHeight="1" x14ac:dyDescent="0.25">
      <c r="G260" s="443"/>
      <c r="H260" s="441"/>
    </row>
    <row r="261" spans="2:8" ht="13.5" customHeight="1" x14ac:dyDescent="0.25">
      <c r="B261" s="4"/>
      <c r="C261" s="9"/>
      <c r="D261" s="15"/>
      <c r="E261" s="7"/>
      <c r="G261" s="443"/>
      <c r="H261" s="441"/>
    </row>
    <row r="262" spans="2:8" ht="13.5" customHeight="1" x14ac:dyDescent="0.25">
      <c r="B262" s="4"/>
      <c r="C262" s="9"/>
      <c r="D262" s="10"/>
      <c r="E262" s="7"/>
      <c r="H262" s="441"/>
    </row>
    <row r="263" spans="2:8" ht="13.5" customHeight="1" x14ac:dyDescent="0.25">
      <c r="B263" s="4"/>
      <c r="C263" s="9"/>
      <c r="D263" s="10"/>
      <c r="E263" s="7"/>
      <c r="H263" s="441"/>
    </row>
    <row r="264" spans="2:8" ht="13.5" customHeight="1" x14ac:dyDescent="0.25">
      <c r="B264" s="4"/>
      <c r="C264" s="8"/>
      <c r="D264" s="10"/>
      <c r="E264" s="7"/>
      <c r="H264" s="441"/>
    </row>
    <row r="265" spans="2:8" ht="13.5" customHeight="1" x14ac:dyDescent="0.25">
      <c r="B265" s="4"/>
      <c r="C265" s="8"/>
      <c r="D265" s="15"/>
      <c r="E265" s="7"/>
      <c r="H265" s="441"/>
    </row>
    <row r="266" spans="2:8" ht="13.5" customHeight="1" x14ac:dyDescent="0.25">
      <c r="B266" s="4"/>
      <c r="C266" s="8"/>
      <c r="D266" s="10"/>
      <c r="E266" s="7"/>
      <c r="H266" s="441"/>
    </row>
    <row r="267" spans="2:8" ht="13.5" customHeight="1" x14ac:dyDescent="0.25">
      <c r="B267" s="4"/>
      <c r="C267" s="8"/>
      <c r="D267" s="10"/>
      <c r="E267" s="7"/>
      <c r="H267" s="441"/>
    </row>
    <row r="268" spans="2:8" ht="13.5" customHeight="1" x14ac:dyDescent="0.25">
      <c r="B268" s="4"/>
      <c r="C268" s="9"/>
      <c r="D268" s="10"/>
      <c r="E268" s="7"/>
      <c r="H268" s="441"/>
    </row>
    <row r="269" spans="2:8" ht="13.5" customHeight="1" x14ac:dyDescent="0.25">
      <c r="B269" s="4"/>
      <c r="C269" s="9"/>
      <c r="D269" s="15"/>
      <c r="E269" s="7"/>
      <c r="H269" s="441"/>
    </row>
    <row r="270" spans="2:8" ht="13.5" customHeight="1" x14ac:dyDescent="0.25">
      <c r="B270" s="4"/>
      <c r="C270" s="8"/>
      <c r="D270" s="15"/>
      <c r="E270" s="7"/>
      <c r="H270" s="441"/>
    </row>
    <row r="271" spans="2:8" ht="13.5" customHeight="1" x14ac:dyDescent="0.25">
      <c r="B271" s="4"/>
      <c r="C271" s="8"/>
      <c r="D271" s="10"/>
      <c r="E271" s="7"/>
      <c r="H271" s="441"/>
    </row>
    <row r="272" spans="2:8" ht="13.5" customHeight="1" x14ac:dyDescent="0.25">
      <c r="B272" s="4"/>
      <c r="C272" s="9"/>
      <c r="D272" s="10"/>
      <c r="E272" s="7"/>
      <c r="H272" s="441"/>
    </row>
    <row r="273" spans="2:8" ht="13.5" customHeight="1" x14ac:dyDescent="0.25">
      <c r="B273" s="4"/>
      <c r="C273" s="9"/>
      <c r="D273" s="15"/>
      <c r="E273" s="7"/>
      <c r="H273" s="441"/>
    </row>
    <row r="274" spans="2:8" x14ac:dyDescent="0.25">
      <c r="B274" s="4"/>
      <c r="C274" s="9"/>
      <c r="D274" s="10"/>
      <c r="E274" s="7"/>
      <c r="H274" s="441"/>
    </row>
    <row r="275" spans="2:8" x14ac:dyDescent="0.25">
      <c r="B275" s="4"/>
      <c r="C275" s="9"/>
      <c r="D275" s="15"/>
      <c r="E275" s="7"/>
      <c r="H275" s="441"/>
    </row>
    <row r="276" spans="2:8" x14ac:dyDescent="0.25">
      <c r="B276" s="4"/>
      <c r="C276" s="9"/>
      <c r="D276" s="10"/>
      <c r="E276" s="7"/>
      <c r="H276" s="441"/>
    </row>
    <row r="277" spans="2:8" x14ac:dyDescent="0.25">
      <c r="B277" s="4"/>
      <c r="C277" s="8"/>
      <c r="D277" s="15"/>
      <c r="E277" s="7"/>
      <c r="H277" s="441"/>
    </row>
    <row r="278" spans="2:8" x14ac:dyDescent="0.25">
      <c r="B278" s="4"/>
      <c r="C278" s="9"/>
      <c r="D278" s="15"/>
      <c r="E278" s="7"/>
      <c r="H278" s="441"/>
    </row>
    <row r="279" spans="2:8" x14ac:dyDescent="0.25">
      <c r="B279" s="4"/>
      <c r="C279" s="9"/>
      <c r="D279" s="10"/>
      <c r="E279" s="7"/>
      <c r="H279" s="441"/>
    </row>
    <row r="280" spans="2:8" x14ac:dyDescent="0.25">
      <c r="B280" s="4"/>
      <c r="C280" s="9"/>
      <c r="D280" s="15"/>
      <c r="E280" s="7"/>
      <c r="H280" s="441"/>
    </row>
    <row r="281" spans="2:8" x14ac:dyDescent="0.25">
      <c r="B281" s="4"/>
      <c r="C281" s="9"/>
      <c r="D281" s="15"/>
      <c r="E281" s="7"/>
      <c r="H281" s="441"/>
    </row>
    <row r="282" spans="2:8" x14ac:dyDescent="0.25">
      <c r="B282" s="4"/>
      <c r="C282" s="9"/>
      <c r="D282" s="10"/>
      <c r="E282" s="7"/>
      <c r="H282" s="441"/>
    </row>
    <row r="283" spans="2:8" x14ac:dyDescent="0.25">
      <c r="B283" s="4"/>
      <c r="C283" s="9"/>
      <c r="D283" s="15"/>
      <c r="E283" s="7"/>
      <c r="H283" s="441"/>
    </row>
    <row r="284" spans="2:8" x14ac:dyDescent="0.25">
      <c r="B284" s="4"/>
      <c r="C284" s="9"/>
      <c r="D284" s="10"/>
      <c r="E284" s="7"/>
      <c r="H284" s="441"/>
    </row>
    <row r="285" spans="2:8" x14ac:dyDescent="0.25">
      <c r="B285" s="4"/>
      <c r="C285" s="9"/>
      <c r="D285" s="10"/>
      <c r="E285" s="7"/>
      <c r="H285" s="441"/>
    </row>
    <row r="286" spans="2:8" x14ac:dyDescent="0.25">
      <c r="B286" s="4"/>
      <c r="C286" s="9"/>
      <c r="D286" s="15"/>
      <c r="E286" s="7"/>
      <c r="H286" s="441"/>
    </row>
    <row r="287" spans="2:8" x14ac:dyDescent="0.25">
      <c r="B287" s="4"/>
      <c r="C287" s="9"/>
      <c r="D287" s="10"/>
      <c r="E287" s="7"/>
      <c r="H287" s="441"/>
    </row>
    <row r="288" spans="2:8" x14ac:dyDescent="0.25">
      <c r="B288" s="4"/>
      <c r="C288" s="8"/>
      <c r="D288" s="10"/>
      <c r="E288" s="7"/>
      <c r="H288" s="441"/>
    </row>
    <row r="289" spans="2:8" x14ac:dyDescent="0.25">
      <c r="B289" s="4"/>
      <c r="C289" s="8"/>
      <c r="D289" s="10"/>
      <c r="E289" s="7"/>
      <c r="H289" s="441"/>
    </row>
    <row r="290" spans="2:8" x14ac:dyDescent="0.25">
      <c r="B290" s="4"/>
      <c r="C290" s="8"/>
      <c r="D290" s="10"/>
      <c r="E290" s="7"/>
      <c r="H290" s="441"/>
    </row>
    <row r="291" spans="2:8" x14ac:dyDescent="0.25">
      <c r="B291" s="4"/>
      <c r="C291" s="9"/>
      <c r="D291" s="10"/>
      <c r="E291" s="7"/>
      <c r="H291" s="441"/>
    </row>
    <row r="292" spans="2:8" x14ac:dyDescent="0.25">
      <c r="B292" s="4"/>
      <c r="C292" s="9"/>
      <c r="D292" s="15"/>
      <c r="E292" s="7"/>
      <c r="H292" s="441"/>
    </row>
    <row r="293" spans="2:8" x14ac:dyDescent="0.25">
      <c r="B293" s="4"/>
      <c r="C293" s="8"/>
      <c r="D293" s="15"/>
      <c r="E293" s="7"/>
      <c r="H293" s="441"/>
    </row>
    <row r="294" spans="2:8" x14ac:dyDescent="0.25">
      <c r="B294" s="4"/>
      <c r="C294" s="9"/>
      <c r="D294" s="10"/>
      <c r="E294" s="7"/>
      <c r="H294" s="441"/>
    </row>
    <row r="295" spans="2:8" x14ac:dyDescent="0.25">
      <c r="B295" s="4"/>
      <c r="C295" s="9"/>
      <c r="D295" s="10"/>
      <c r="E295" s="7"/>
      <c r="H295" s="441"/>
    </row>
    <row r="296" spans="2:8" x14ac:dyDescent="0.25">
      <c r="B296" s="4"/>
      <c r="C296" s="9"/>
      <c r="D296" s="10"/>
      <c r="E296" s="7"/>
      <c r="H296" s="441"/>
    </row>
    <row r="297" spans="2:8" x14ac:dyDescent="0.25">
      <c r="B297" s="4"/>
      <c r="C297" s="9"/>
      <c r="D297" s="15"/>
      <c r="E297" s="7"/>
      <c r="H297" s="441"/>
    </row>
    <row r="298" spans="2:8" x14ac:dyDescent="0.25">
      <c r="B298" s="4"/>
      <c r="C298" s="9"/>
      <c r="D298" s="15"/>
      <c r="E298" s="7"/>
      <c r="H298" s="441"/>
    </row>
    <row r="299" spans="2:8" x14ac:dyDescent="0.25">
      <c r="B299" s="4"/>
      <c r="C299" s="8"/>
      <c r="D299" s="15"/>
      <c r="E299" s="7"/>
      <c r="H299" s="441"/>
    </row>
    <row r="300" spans="2:8" x14ac:dyDescent="0.25">
      <c r="B300" s="4"/>
      <c r="C300" s="9"/>
      <c r="D300" s="10"/>
      <c r="E300" s="7"/>
      <c r="H300" s="441"/>
    </row>
    <row r="301" spans="2:8" x14ac:dyDescent="0.25">
      <c r="B301" s="4"/>
      <c r="C301" s="9"/>
      <c r="D301" s="10"/>
      <c r="E301" s="7"/>
      <c r="H301" s="441"/>
    </row>
    <row r="302" spans="2:8" x14ac:dyDescent="0.25">
      <c r="B302" s="4"/>
      <c r="C302" s="9"/>
      <c r="D302" s="10"/>
      <c r="E302" s="7"/>
      <c r="H302" s="441"/>
    </row>
    <row r="303" spans="2:8" x14ac:dyDescent="0.25">
      <c r="B303" s="4"/>
      <c r="C303" s="9"/>
      <c r="D303" s="10"/>
      <c r="E303" s="7"/>
      <c r="H303" s="441"/>
    </row>
    <row r="304" spans="2:8" x14ac:dyDescent="0.25">
      <c r="B304" s="4"/>
      <c r="C304" s="9"/>
      <c r="D304" s="10"/>
      <c r="E304" s="7"/>
      <c r="H304" s="441"/>
    </row>
    <row r="305" spans="2:8" x14ac:dyDescent="0.25">
      <c r="B305" s="4"/>
      <c r="C305" s="9"/>
      <c r="D305" s="10"/>
      <c r="E305" s="7"/>
      <c r="H305" s="441"/>
    </row>
    <row r="306" spans="2:8" x14ac:dyDescent="0.25">
      <c r="B306" s="4"/>
      <c r="C306" s="9"/>
      <c r="D306" s="15"/>
      <c r="E306" s="7"/>
      <c r="H306" s="441"/>
    </row>
    <row r="307" spans="2:8" x14ac:dyDescent="0.25">
      <c r="B307" s="4"/>
      <c r="C307" s="9"/>
      <c r="D307" s="10"/>
      <c r="E307" s="7"/>
      <c r="H307" s="441"/>
    </row>
    <row r="308" spans="2:8" x14ac:dyDescent="0.25">
      <c r="B308" s="4"/>
      <c r="C308" s="9"/>
      <c r="D308" s="10"/>
      <c r="E308" s="7"/>
      <c r="H308" s="441"/>
    </row>
    <row r="309" spans="2:8" x14ac:dyDescent="0.25">
      <c r="B309" s="4"/>
      <c r="C309" s="8"/>
      <c r="D309" s="15"/>
      <c r="E309" s="7"/>
      <c r="H309" s="441"/>
    </row>
    <row r="310" spans="2:8" x14ac:dyDescent="0.25">
      <c r="B310" s="4"/>
      <c r="C310" s="9"/>
      <c r="D310" s="10"/>
      <c r="E310" s="7"/>
      <c r="H310" s="441"/>
    </row>
    <row r="311" spans="2:8" x14ac:dyDescent="0.25">
      <c r="B311" s="4"/>
      <c r="C311" s="9"/>
      <c r="D311" s="10"/>
      <c r="E311" s="7"/>
      <c r="H311" s="441"/>
    </row>
    <row r="312" spans="2:8" x14ac:dyDescent="0.25">
      <c r="B312" s="4"/>
      <c r="C312" s="8"/>
      <c r="D312" s="10"/>
      <c r="E312" s="7"/>
      <c r="H312" s="441"/>
    </row>
    <row r="313" spans="2:8" x14ac:dyDescent="0.25">
      <c r="B313" s="4"/>
      <c r="C313" s="8"/>
      <c r="D313" s="10"/>
      <c r="E313" s="7"/>
      <c r="H313" s="441"/>
    </row>
    <row r="314" spans="2:8" x14ac:dyDescent="0.25">
      <c r="B314" s="4"/>
      <c r="C314" s="9"/>
      <c r="D314" s="10"/>
      <c r="E314" s="7"/>
      <c r="H314" s="441"/>
    </row>
    <row r="315" spans="2:8" x14ac:dyDescent="0.25">
      <c r="B315" s="4"/>
      <c r="C315" s="9"/>
      <c r="D315" s="10"/>
      <c r="E315" s="7"/>
      <c r="H315" s="441"/>
    </row>
    <row r="316" spans="2:8" x14ac:dyDescent="0.25">
      <c r="B316" s="4"/>
      <c r="C316" s="9"/>
      <c r="D316" s="10"/>
      <c r="E316" s="7"/>
      <c r="H316" s="441"/>
    </row>
    <row r="317" spans="2:8" x14ac:dyDescent="0.25">
      <c r="B317" s="4"/>
      <c r="C317" s="9"/>
      <c r="D317" s="10"/>
      <c r="E317" s="7"/>
      <c r="H317" s="441"/>
    </row>
    <row r="318" spans="2:8" x14ac:dyDescent="0.25">
      <c r="B318" s="4"/>
      <c r="C318" s="8"/>
      <c r="D318" s="10"/>
      <c r="E318" s="7"/>
      <c r="H318" s="441"/>
    </row>
    <row r="319" spans="2:8" x14ac:dyDescent="0.25">
      <c r="B319" s="4"/>
      <c r="C319" s="9"/>
      <c r="D319" s="10"/>
      <c r="E319" s="7"/>
      <c r="H319" s="441"/>
    </row>
    <row r="320" spans="2:8" x14ac:dyDescent="0.25">
      <c r="B320" s="4"/>
      <c r="C320" s="9"/>
      <c r="D320" s="15"/>
      <c r="E320" s="7"/>
      <c r="H320" s="441"/>
    </row>
    <row r="321" spans="2:8" x14ac:dyDescent="0.25">
      <c r="B321" s="4"/>
      <c r="C321" s="8"/>
      <c r="D321" s="15"/>
      <c r="E321" s="7"/>
      <c r="H321" s="441"/>
    </row>
    <row r="322" spans="2:8" x14ac:dyDescent="0.25">
      <c r="B322" s="4"/>
      <c r="C322" s="9"/>
      <c r="D322" s="10"/>
      <c r="E322" s="7"/>
      <c r="H322" s="441"/>
    </row>
    <row r="323" spans="2:8" x14ac:dyDescent="0.25">
      <c r="B323" s="4"/>
      <c r="C323" s="9"/>
      <c r="D323" s="10"/>
      <c r="E323" s="7"/>
      <c r="H323" s="441"/>
    </row>
    <row r="324" spans="2:8" x14ac:dyDescent="0.25">
      <c r="B324" s="4"/>
      <c r="C324" s="8"/>
      <c r="D324" s="10"/>
      <c r="E324" s="7"/>
      <c r="H324" s="441"/>
    </row>
    <row r="325" spans="2:8" x14ac:dyDescent="0.25">
      <c r="B325" s="4"/>
      <c r="C325" s="9"/>
      <c r="D325" s="10"/>
      <c r="E325" s="7"/>
      <c r="H325" s="441"/>
    </row>
    <row r="326" spans="2:8" x14ac:dyDescent="0.25">
      <c r="B326" s="4"/>
      <c r="C326" s="9"/>
      <c r="D326" s="10"/>
      <c r="E326" s="7"/>
      <c r="H326" s="441"/>
    </row>
    <row r="327" spans="2:8" x14ac:dyDescent="0.25">
      <c r="B327" s="4"/>
      <c r="C327" s="8"/>
      <c r="D327" s="15"/>
      <c r="E327" s="7"/>
      <c r="H327" s="441"/>
    </row>
    <row r="328" spans="2:8" x14ac:dyDescent="0.25">
      <c r="B328" s="4"/>
      <c r="C328" s="9"/>
      <c r="D328" s="15"/>
      <c r="E328" s="7"/>
      <c r="H328" s="441"/>
    </row>
    <row r="329" spans="2:8" x14ac:dyDescent="0.25">
      <c r="B329" s="4"/>
      <c r="C329" s="9"/>
      <c r="D329" s="10"/>
      <c r="E329" s="7"/>
      <c r="H329" s="441"/>
    </row>
    <row r="330" spans="2:8" x14ac:dyDescent="0.25">
      <c r="B330" s="4"/>
      <c r="C330" s="9"/>
      <c r="D330" s="15"/>
      <c r="E330" s="7"/>
      <c r="H330" s="441"/>
    </row>
    <row r="331" spans="2:8" x14ac:dyDescent="0.25">
      <c r="B331" s="4"/>
      <c r="C331" s="8"/>
      <c r="D331" s="10"/>
      <c r="E331" s="7"/>
      <c r="H331" s="441"/>
    </row>
    <row r="332" spans="2:8" x14ac:dyDescent="0.25">
      <c r="B332" s="4"/>
      <c r="C332" s="9"/>
      <c r="D332" s="15"/>
      <c r="E332" s="7"/>
      <c r="H332" s="441"/>
    </row>
    <row r="333" spans="2:8" x14ac:dyDescent="0.25">
      <c r="B333" s="4"/>
      <c r="C333" s="9"/>
      <c r="D333" s="10"/>
      <c r="E333" s="7"/>
      <c r="H333" s="441"/>
    </row>
    <row r="334" spans="2:8" x14ac:dyDescent="0.25">
      <c r="B334" s="4"/>
      <c r="C334" s="9"/>
      <c r="D334" s="15"/>
      <c r="E334" s="7"/>
      <c r="H334" s="441"/>
    </row>
    <row r="335" spans="2:8" x14ac:dyDescent="0.25">
      <c r="B335" s="4"/>
      <c r="C335" s="9"/>
      <c r="D335" s="10"/>
      <c r="E335" s="7"/>
      <c r="H335" s="441"/>
    </row>
    <row r="336" spans="2:8" x14ac:dyDescent="0.25">
      <c r="B336" s="4"/>
      <c r="C336" s="9"/>
      <c r="D336" s="10"/>
      <c r="E336" s="7"/>
      <c r="H336" s="441"/>
    </row>
    <row r="337" spans="2:8" x14ac:dyDescent="0.25">
      <c r="B337" s="4"/>
      <c r="C337" s="9"/>
      <c r="D337" s="15"/>
      <c r="E337" s="7"/>
      <c r="H337" s="441"/>
    </row>
    <row r="338" spans="2:8" x14ac:dyDescent="0.25">
      <c r="B338" s="4"/>
      <c r="C338" s="9"/>
      <c r="D338" s="15"/>
      <c r="E338" s="7"/>
      <c r="H338" s="441"/>
    </row>
    <row r="339" spans="2:8" x14ac:dyDescent="0.25">
      <c r="B339" s="4"/>
      <c r="C339" s="9"/>
      <c r="D339" s="15"/>
      <c r="E339" s="7"/>
      <c r="H339" s="441"/>
    </row>
    <row r="340" spans="2:8" x14ac:dyDescent="0.25">
      <c r="B340" s="4"/>
      <c r="C340" s="9"/>
      <c r="D340" s="15"/>
      <c r="E340" s="7"/>
      <c r="H340" s="441"/>
    </row>
    <row r="341" spans="2:8" x14ac:dyDescent="0.25">
      <c r="B341" s="4"/>
      <c r="C341" s="8"/>
      <c r="D341" s="10"/>
      <c r="E341" s="7"/>
      <c r="H341" s="441"/>
    </row>
    <row r="342" spans="2:8" x14ac:dyDescent="0.25">
      <c r="B342" s="4"/>
      <c r="C342" s="9"/>
      <c r="D342" s="15"/>
      <c r="E342" s="7"/>
      <c r="H342" s="441"/>
    </row>
    <row r="343" spans="2:8" x14ac:dyDescent="0.25">
      <c r="B343" s="4"/>
      <c r="C343" s="9"/>
      <c r="D343" s="15"/>
      <c r="E343" s="7"/>
      <c r="H343" s="441"/>
    </row>
    <row r="344" spans="2:8" x14ac:dyDescent="0.25">
      <c r="B344" s="4"/>
      <c r="C344" s="9"/>
      <c r="D344" s="10"/>
      <c r="E344" s="7"/>
      <c r="H344" s="441"/>
    </row>
    <row r="345" spans="2:8" x14ac:dyDescent="0.25">
      <c r="B345" s="4"/>
      <c r="C345" s="9"/>
      <c r="D345" s="15"/>
      <c r="E345" s="7"/>
      <c r="H345" s="441"/>
    </row>
    <row r="346" spans="2:8" x14ac:dyDescent="0.25">
      <c r="B346" s="4"/>
      <c r="C346" s="8"/>
      <c r="D346" s="15"/>
      <c r="E346" s="7"/>
      <c r="H346" s="441"/>
    </row>
    <row r="347" spans="2:8" x14ac:dyDescent="0.25">
      <c r="B347" s="4"/>
      <c r="C347" s="9"/>
      <c r="D347" s="10"/>
      <c r="E347" s="7"/>
      <c r="H347" s="441"/>
    </row>
    <row r="348" spans="2:8" x14ac:dyDescent="0.25">
      <c r="B348" s="4"/>
      <c r="C348" s="9"/>
      <c r="D348" s="10"/>
      <c r="E348" s="7"/>
      <c r="H348" s="441"/>
    </row>
    <row r="349" spans="2:8" x14ac:dyDescent="0.25">
      <c r="B349" s="4"/>
      <c r="C349" s="9"/>
      <c r="D349" s="10"/>
      <c r="E349" s="7"/>
      <c r="H349" s="441"/>
    </row>
    <row r="350" spans="2:8" x14ac:dyDescent="0.25">
      <c r="B350" s="4"/>
      <c r="C350" s="8"/>
      <c r="D350" s="15"/>
      <c r="E350" s="7"/>
      <c r="H350" s="441"/>
    </row>
    <row r="351" spans="2:8" x14ac:dyDescent="0.25">
      <c r="B351" s="4"/>
      <c r="C351" s="9"/>
      <c r="D351" s="10"/>
      <c r="E351" s="7"/>
      <c r="H351" s="441"/>
    </row>
    <row r="352" spans="2:8" x14ac:dyDescent="0.25">
      <c r="B352" s="4"/>
      <c r="C352" s="9"/>
      <c r="D352" s="15"/>
      <c r="E352" s="7"/>
      <c r="H352" s="441"/>
    </row>
    <row r="353" spans="2:8" x14ac:dyDescent="0.25">
      <c r="B353" s="4"/>
      <c r="C353" s="9"/>
      <c r="D353" s="10"/>
      <c r="E353" s="7"/>
      <c r="H353" s="441"/>
    </row>
    <row r="354" spans="2:8" x14ac:dyDescent="0.25">
      <c r="B354" s="4"/>
      <c r="C354" s="9"/>
      <c r="D354" s="10"/>
      <c r="E354" s="7"/>
      <c r="H354" s="441"/>
    </row>
    <row r="355" spans="2:8" x14ac:dyDescent="0.25">
      <c r="B355" s="4"/>
      <c r="C355" s="9"/>
      <c r="D355" s="10"/>
      <c r="E355" s="7"/>
      <c r="H355" s="441"/>
    </row>
    <row r="356" spans="2:8" x14ac:dyDescent="0.25">
      <c r="B356" s="4"/>
      <c r="C356" s="9"/>
      <c r="D356" s="15"/>
      <c r="E356" s="7"/>
      <c r="H356" s="441"/>
    </row>
    <row r="357" spans="2:8" x14ac:dyDescent="0.25">
      <c r="B357" s="4"/>
      <c r="C357" s="9"/>
      <c r="D357" s="10"/>
      <c r="E357" s="7"/>
      <c r="H357" s="441"/>
    </row>
    <row r="358" spans="2:8" x14ac:dyDescent="0.25">
      <c r="B358" s="4"/>
      <c r="C358" s="9"/>
      <c r="D358" s="10"/>
      <c r="E358" s="7"/>
      <c r="H358" s="441"/>
    </row>
    <row r="359" spans="2:8" x14ac:dyDescent="0.25">
      <c r="B359" s="4"/>
      <c r="C359" s="9"/>
      <c r="D359" s="10"/>
      <c r="E359" s="7"/>
      <c r="H359" s="441"/>
    </row>
    <row r="360" spans="2:8" x14ac:dyDescent="0.25">
      <c r="B360" s="4"/>
      <c r="C360" s="8"/>
      <c r="D360" s="10"/>
      <c r="E360" s="7"/>
      <c r="H360" s="441"/>
    </row>
    <row r="361" spans="2:8" x14ac:dyDescent="0.25">
      <c r="B361" s="4"/>
      <c r="C361" s="9"/>
      <c r="D361" s="15"/>
      <c r="E361" s="7"/>
      <c r="H361" s="441"/>
    </row>
    <row r="362" spans="2:8" x14ac:dyDescent="0.25">
      <c r="B362" s="4"/>
      <c r="C362" s="9"/>
      <c r="D362" s="10"/>
      <c r="E362" s="7"/>
      <c r="H362" s="441"/>
    </row>
    <row r="363" spans="2:8" x14ac:dyDescent="0.25">
      <c r="H363" s="441"/>
    </row>
    <row r="364" spans="2:8" x14ac:dyDescent="0.25">
      <c r="H364" s="441"/>
    </row>
    <row r="365" spans="2:8" x14ac:dyDescent="0.25">
      <c r="H365" s="441"/>
    </row>
    <row r="366" spans="2:8" x14ac:dyDescent="0.25">
      <c r="H366" s="217"/>
    </row>
  </sheetData>
  <autoFilter ref="C1:C366"/>
  <sortState ref="B3:H76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"/>
  <dimension ref="A1:AD339"/>
  <sheetViews>
    <sheetView zoomScale="95" zoomScaleNormal="95" workbookViewId="0">
      <pane ySplit="1" topLeftCell="A51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28515625" style="23" customWidth="1"/>
    <col min="2" max="2" width="51.5703125" style="20" customWidth="1"/>
    <col min="3" max="3" width="4.7109375" style="21" customWidth="1"/>
    <col min="4" max="4" width="3.5703125" style="377" customWidth="1"/>
    <col min="5" max="5" width="3.7109375" style="485" customWidth="1"/>
    <col min="6" max="6" width="3.42578125" style="377" customWidth="1"/>
    <col min="7" max="7" width="3.42578125" style="485" customWidth="1"/>
    <col min="8" max="8" width="3.42578125" style="377" customWidth="1"/>
    <col min="9" max="9" width="3.42578125" style="485" customWidth="1"/>
    <col min="10" max="10" width="3.42578125" style="377" customWidth="1"/>
    <col min="11" max="11" width="3.85546875" style="485" customWidth="1"/>
    <col min="12" max="12" width="3.140625" style="377" customWidth="1"/>
    <col min="13" max="13" width="3.7109375" style="485" customWidth="1"/>
    <col min="14" max="14" width="3.42578125" style="575" customWidth="1"/>
    <col min="15" max="15" width="5.7109375" style="22" customWidth="1"/>
    <col min="16" max="16" width="6.28515625" style="21" bestFit="1" customWidth="1"/>
    <col min="17" max="17" width="8.7109375" style="18" customWidth="1"/>
    <col min="18" max="18" width="9" style="67" customWidth="1"/>
    <col min="19" max="19" width="8.140625" style="14" bestFit="1" customWidth="1"/>
    <col min="20" max="20" width="4" style="92" customWidth="1"/>
    <col min="21" max="21" width="3.42578125" style="28" customWidth="1"/>
    <col min="22" max="22" width="7.28515625" style="14" customWidth="1"/>
    <col min="23" max="24" width="4" style="14" customWidth="1"/>
    <col min="25" max="25" width="4.140625" style="28" customWidth="1"/>
    <col min="26" max="26" width="4" style="28" customWidth="1"/>
    <col min="27" max="27" width="3.85546875" style="135" customWidth="1"/>
    <col min="28" max="28" width="4.140625" style="135" customWidth="1"/>
    <col min="29" max="29" width="2.85546875" style="137" customWidth="1"/>
    <col min="30" max="30" width="4.140625" style="135" customWidth="1"/>
  </cols>
  <sheetData>
    <row r="1" spans="1:30" ht="77.25" customHeight="1" x14ac:dyDescent="0.25">
      <c r="A1" s="116" t="s">
        <v>0</v>
      </c>
      <c r="B1" s="1" t="s">
        <v>938</v>
      </c>
      <c r="C1" s="226" t="s">
        <v>10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182" t="s">
        <v>4</v>
      </c>
      <c r="P1" s="307" t="s">
        <v>110</v>
      </c>
      <c r="Q1" s="183" t="s">
        <v>5</v>
      </c>
      <c r="R1" s="62" t="s">
        <v>111</v>
      </c>
      <c r="S1" s="553" t="s">
        <v>107</v>
      </c>
      <c r="T1" s="277" t="s">
        <v>539</v>
      </c>
      <c r="U1" s="278" t="s">
        <v>540</v>
      </c>
      <c r="V1" s="554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0" x14ac:dyDescent="0.25">
      <c r="A2" s="314">
        <v>1</v>
      </c>
      <c r="B2" s="314" t="s">
        <v>785</v>
      </c>
      <c r="C2" s="413">
        <v>3</v>
      </c>
      <c r="D2" s="363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2">
        <f t="shared" ref="O2:O33" si="0">SUM(C2-D2-E2-F2-G2-H2-I2-J2-K2-L2-M2-N2)</f>
        <v>3</v>
      </c>
      <c r="P2" s="706">
        <v>2</v>
      </c>
      <c r="Q2" s="7">
        <v>10</v>
      </c>
      <c r="R2" s="63"/>
      <c r="S2" s="315"/>
      <c r="T2" s="92">
        <v>0</v>
      </c>
      <c r="U2" s="318"/>
      <c r="V2" s="83">
        <v>45505</v>
      </c>
      <c r="W2" s="315">
        <v>1</v>
      </c>
      <c r="X2" s="315">
        <v>1</v>
      </c>
      <c r="Y2" s="315">
        <v>1</v>
      </c>
      <c r="Z2" s="315">
        <v>1</v>
      </c>
      <c r="AA2" s="184">
        <f t="shared" ref="AA2:AA33" si="1">W2+X2+Y2+Z2</f>
        <v>4</v>
      </c>
      <c r="AB2" s="185">
        <f t="shared" ref="AB2:AB33" si="2">AA2/4</f>
        <v>1</v>
      </c>
      <c r="AC2" s="185">
        <f t="shared" ref="AC2:AC33" si="3">AB2*4</f>
        <v>4</v>
      </c>
      <c r="AD2" s="185">
        <f t="shared" ref="AD2:AD33" si="4">AC2*2</f>
        <v>8</v>
      </c>
    </row>
    <row r="3" spans="1:30" x14ac:dyDescent="0.25">
      <c r="A3" s="314">
        <f t="shared" ref="A3:A66" si="5">A2+1</f>
        <v>2</v>
      </c>
      <c r="B3" s="4" t="s">
        <v>1200</v>
      </c>
      <c r="C3" s="466">
        <v>3</v>
      </c>
      <c r="D3" s="363"/>
      <c r="E3" s="479"/>
      <c r="F3" s="364"/>
      <c r="G3" s="486"/>
      <c r="H3" s="364"/>
      <c r="I3" s="486"/>
      <c r="J3" s="364"/>
      <c r="K3" s="486"/>
      <c r="L3" s="364"/>
      <c r="M3" s="486"/>
      <c r="N3" s="568"/>
      <c r="O3" s="342">
        <f t="shared" si="0"/>
        <v>3</v>
      </c>
      <c r="P3" s="692">
        <f t="shared" ref="P3:P65" si="6">AD3-O3</f>
        <v>11</v>
      </c>
      <c r="Q3" s="7">
        <v>45</v>
      </c>
      <c r="R3" s="109"/>
      <c r="S3" s="112">
        <v>46419</v>
      </c>
      <c r="T3" s="92">
        <v>6</v>
      </c>
      <c r="U3" s="322">
        <v>6</v>
      </c>
      <c r="V3" s="111">
        <v>45717</v>
      </c>
      <c r="W3" s="14">
        <v>1</v>
      </c>
      <c r="X3" s="108">
        <v>1</v>
      </c>
      <c r="Y3" s="92">
        <v>3</v>
      </c>
      <c r="Z3" s="92">
        <v>2</v>
      </c>
      <c r="AA3" s="184">
        <f t="shared" si="1"/>
        <v>7</v>
      </c>
      <c r="AB3" s="185">
        <f t="shared" si="2"/>
        <v>1.75</v>
      </c>
      <c r="AC3" s="185">
        <f t="shared" si="3"/>
        <v>7</v>
      </c>
      <c r="AD3" s="185">
        <f t="shared" si="4"/>
        <v>14</v>
      </c>
    </row>
    <row r="4" spans="1:30" x14ac:dyDescent="0.25">
      <c r="A4" s="314">
        <f t="shared" si="5"/>
        <v>3</v>
      </c>
      <c r="B4" s="314" t="s">
        <v>84</v>
      </c>
      <c r="C4" s="340">
        <v>2</v>
      </c>
      <c r="D4" s="359"/>
      <c r="E4" s="478"/>
      <c r="F4" s="359"/>
      <c r="G4" s="478"/>
      <c r="H4" s="359"/>
      <c r="I4" s="478"/>
      <c r="J4" s="359"/>
      <c r="K4" s="478"/>
      <c r="L4" s="359"/>
      <c r="M4" s="478"/>
      <c r="N4" s="561"/>
      <c r="O4" s="342">
        <f t="shared" si="0"/>
        <v>2</v>
      </c>
      <c r="P4" s="692">
        <f t="shared" si="6"/>
        <v>8</v>
      </c>
      <c r="Q4" s="7">
        <v>44</v>
      </c>
      <c r="R4" s="106"/>
      <c r="S4" s="344">
        <v>47209</v>
      </c>
      <c r="T4" s="318">
        <v>2</v>
      </c>
      <c r="U4" s="318"/>
      <c r="V4" s="344">
        <v>45689</v>
      </c>
      <c r="W4" s="309">
        <v>1</v>
      </c>
      <c r="X4" s="309">
        <v>1</v>
      </c>
      <c r="Y4" s="309">
        <v>2</v>
      </c>
      <c r="Z4" s="309">
        <v>1</v>
      </c>
      <c r="AA4" s="184">
        <f t="shared" si="1"/>
        <v>5</v>
      </c>
      <c r="AB4" s="185">
        <f t="shared" si="2"/>
        <v>1.25</v>
      </c>
      <c r="AC4" s="185">
        <f t="shared" si="3"/>
        <v>5</v>
      </c>
      <c r="AD4" s="185">
        <f t="shared" si="4"/>
        <v>10</v>
      </c>
    </row>
    <row r="5" spans="1:30" x14ac:dyDescent="0.25">
      <c r="A5" s="314">
        <f t="shared" si="5"/>
        <v>4</v>
      </c>
      <c r="B5" s="314" t="s">
        <v>627</v>
      </c>
      <c r="C5" s="413">
        <v>8</v>
      </c>
      <c r="D5" s="363"/>
      <c r="E5" s="478">
        <v>3</v>
      </c>
      <c r="F5" s="359">
        <v>2</v>
      </c>
      <c r="G5" s="478"/>
      <c r="H5" s="359"/>
      <c r="I5" s="478"/>
      <c r="J5" s="359"/>
      <c r="K5" s="478"/>
      <c r="L5" s="359"/>
      <c r="M5" s="478"/>
      <c r="N5" s="561"/>
      <c r="O5" s="342">
        <f t="shared" si="0"/>
        <v>3</v>
      </c>
      <c r="P5" s="706">
        <f t="shared" si="6"/>
        <v>11</v>
      </c>
      <c r="Q5" s="7">
        <v>6</v>
      </c>
      <c r="R5" s="64"/>
      <c r="S5" s="100">
        <v>46113</v>
      </c>
      <c r="T5" s="92">
        <v>0</v>
      </c>
      <c r="U5" s="318"/>
      <c r="V5" s="199">
        <v>45505</v>
      </c>
      <c r="W5" s="127">
        <v>3</v>
      </c>
      <c r="X5" s="318">
        <v>1</v>
      </c>
      <c r="Y5" s="318">
        <v>2</v>
      </c>
      <c r="Z5" s="318">
        <v>1</v>
      </c>
      <c r="AA5" s="184">
        <f t="shared" si="1"/>
        <v>7</v>
      </c>
      <c r="AB5" s="185">
        <f t="shared" si="2"/>
        <v>1.75</v>
      </c>
      <c r="AC5" s="185">
        <f t="shared" si="3"/>
        <v>7</v>
      </c>
      <c r="AD5" s="185">
        <f t="shared" si="4"/>
        <v>14</v>
      </c>
    </row>
    <row r="6" spans="1:30" x14ac:dyDescent="0.25">
      <c r="A6" s="314">
        <f t="shared" si="5"/>
        <v>5</v>
      </c>
      <c r="B6" s="314" t="s">
        <v>625</v>
      </c>
      <c r="C6" s="413">
        <v>2</v>
      </c>
      <c r="D6" s="363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2">
        <f t="shared" si="0"/>
        <v>2</v>
      </c>
      <c r="P6" s="692">
        <f t="shared" si="6"/>
        <v>4</v>
      </c>
      <c r="Q6" s="7">
        <v>44</v>
      </c>
      <c r="R6" s="10"/>
      <c r="S6" s="83">
        <v>46174</v>
      </c>
      <c r="T6" s="92">
        <v>0</v>
      </c>
      <c r="U6" s="318"/>
      <c r="V6" s="83">
        <v>45597</v>
      </c>
      <c r="W6" s="315"/>
      <c r="X6" s="315">
        <v>1</v>
      </c>
      <c r="Y6" s="315">
        <v>1</v>
      </c>
      <c r="Z6" s="315">
        <v>1</v>
      </c>
      <c r="AA6" s="184">
        <f t="shared" si="1"/>
        <v>3</v>
      </c>
      <c r="AB6" s="185">
        <f t="shared" si="2"/>
        <v>0.75</v>
      </c>
      <c r="AC6" s="185">
        <f t="shared" si="3"/>
        <v>3</v>
      </c>
      <c r="AD6" s="185">
        <f t="shared" si="4"/>
        <v>6</v>
      </c>
    </row>
    <row r="7" spans="1:30" x14ac:dyDescent="0.25">
      <c r="A7" s="314">
        <f t="shared" si="5"/>
        <v>6</v>
      </c>
      <c r="B7" s="314" t="s">
        <v>717</v>
      </c>
      <c r="C7" s="413">
        <v>2</v>
      </c>
      <c r="D7" s="363"/>
      <c r="E7" s="478"/>
      <c r="F7" s="360"/>
      <c r="G7" s="480"/>
      <c r="H7" s="360"/>
      <c r="I7" s="480"/>
      <c r="J7" s="360"/>
      <c r="K7" s="480"/>
      <c r="L7" s="360"/>
      <c r="M7" s="480"/>
      <c r="N7" s="562"/>
      <c r="O7" s="342">
        <f t="shared" si="0"/>
        <v>2</v>
      </c>
      <c r="P7" s="692">
        <f t="shared" si="6"/>
        <v>8</v>
      </c>
      <c r="Q7" s="7">
        <v>44</v>
      </c>
      <c r="R7" s="63"/>
      <c r="S7" s="118">
        <v>47027</v>
      </c>
      <c r="T7" s="322">
        <v>0</v>
      </c>
      <c r="U7" s="316"/>
      <c r="V7" s="344">
        <v>45505</v>
      </c>
      <c r="W7" s="309">
        <v>1</v>
      </c>
      <c r="X7" s="309">
        <v>1</v>
      </c>
      <c r="Y7" s="309">
        <v>1</v>
      </c>
      <c r="Z7" s="429">
        <v>2</v>
      </c>
      <c r="AA7" s="184">
        <f t="shared" si="1"/>
        <v>5</v>
      </c>
      <c r="AB7" s="185">
        <f t="shared" si="2"/>
        <v>1.25</v>
      </c>
      <c r="AC7" s="185">
        <f t="shared" si="3"/>
        <v>5</v>
      </c>
      <c r="AD7" s="185">
        <f t="shared" si="4"/>
        <v>10</v>
      </c>
    </row>
    <row r="8" spans="1:30" x14ac:dyDescent="0.25">
      <c r="A8" s="314">
        <f t="shared" si="5"/>
        <v>7</v>
      </c>
      <c r="B8" s="4" t="s">
        <v>1199</v>
      </c>
      <c r="C8" s="413">
        <v>8</v>
      </c>
      <c r="E8" s="478"/>
      <c r="F8" s="360"/>
      <c r="G8" s="480"/>
      <c r="H8" s="360"/>
      <c r="I8" s="480"/>
      <c r="J8" s="360"/>
      <c r="K8" s="480"/>
      <c r="L8" s="360"/>
      <c r="M8" s="480"/>
      <c r="N8" s="562"/>
      <c r="O8" s="342">
        <f t="shared" si="0"/>
        <v>8</v>
      </c>
      <c r="P8" s="692">
        <f t="shared" si="6"/>
        <v>10</v>
      </c>
      <c r="Q8" s="7">
        <v>5</v>
      </c>
      <c r="R8" s="64"/>
      <c r="S8" s="118">
        <v>45992</v>
      </c>
      <c r="T8" s="92">
        <v>2</v>
      </c>
      <c r="U8" s="318"/>
      <c r="V8" s="81">
        <v>45505</v>
      </c>
      <c r="W8" s="45">
        <v>3</v>
      </c>
      <c r="X8" s="45">
        <v>1</v>
      </c>
      <c r="Y8" s="316">
        <v>3</v>
      </c>
      <c r="Z8" s="322">
        <v>2</v>
      </c>
      <c r="AA8" s="184">
        <f t="shared" si="1"/>
        <v>9</v>
      </c>
      <c r="AB8" s="185">
        <f t="shared" si="2"/>
        <v>2.25</v>
      </c>
      <c r="AC8" s="185">
        <f t="shared" si="3"/>
        <v>9</v>
      </c>
      <c r="AD8" s="185">
        <f t="shared" si="4"/>
        <v>18</v>
      </c>
    </row>
    <row r="9" spans="1:30" x14ac:dyDescent="0.25">
      <c r="A9" s="314">
        <f t="shared" si="5"/>
        <v>8</v>
      </c>
      <c r="B9" s="314" t="s">
        <v>965</v>
      </c>
      <c r="C9" s="340">
        <v>3</v>
      </c>
      <c r="E9" s="476"/>
      <c r="F9" s="360"/>
      <c r="G9" s="480"/>
      <c r="H9" s="360"/>
      <c r="I9" s="480"/>
      <c r="J9" s="360"/>
      <c r="K9" s="480"/>
      <c r="L9" s="360"/>
      <c r="M9" s="480"/>
      <c r="N9" s="562"/>
      <c r="O9" s="342">
        <f t="shared" si="0"/>
        <v>3</v>
      </c>
      <c r="P9" s="692">
        <f t="shared" si="6"/>
        <v>5</v>
      </c>
      <c r="Q9" s="10">
        <v>8</v>
      </c>
      <c r="R9" s="63"/>
      <c r="S9" s="81">
        <v>46143</v>
      </c>
      <c r="T9" s="92">
        <v>4</v>
      </c>
      <c r="V9" s="81">
        <v>45658</v>
      </c>
      <c r="W9" s="14">
        <v>1</v>
      </c>
      <c r="X9" s="14">
        <v>1</v>
      </c>
      <c r="Y9" s="28">
        <v>1</v>
      </c>
      <c r="Z9" s="28">
        <v>1</v>
      </c>
      <c r="AA9" s="184">
        <f t="shared" si="1"/>
        <v>4</v>
      </c>
      <c r="AB9" s="185">
        <f t="shared" si="2"/>
        <v>1</v>
      </c>
      <c r="AC9" s="185">
        <f t="shared" si="3"/>
        <v>4</v>
      </c>
      <c r="AD9" s="185">
        <f t="shared" si="4"/>
        <v>8</v>
      </c>
    </row>
    <row r="10" spans="1:30" x14ac:dyDescent="0.25">
      <c r="A10" s="314">
        <f t="shared" si="5"/>
        <v>9</v>
      </c>
      <c r="B10" s="314" t="s">
        <v>1076</v>
      </c>
      <c r="C10" s="340">
        <v>3</v>
      </c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2">
        <f t="shared" si="0"/>
        <v>3</v>
      </c>
      <c r="P10" s="692">
        <f t="shared" si="6"/>
        <v>5</v>
      </c>
      <c r="Q10" s="7">
        <v>109</v>
      </c>
      <c r="R10" s="106"/>
      <c r="S10" s="344">
        <v>46296</v>
      </c>
      <c r="T10" s="310">
        <v>3</v>
      </c>
      <c r="U10" s="318"/>
      <c r="V10" s="199">
        <v>45627</v>
      </c>
      <c r="W10" s="309">
        <v>1</v>
      </c>
      <c r="X10" s="309">
        <v>1</v>
      </c>
      <c r="Y10" s="309">
        <v>2</v>
      </c>
      <c r="Z10" s="429"/>
      <c r="AA10" s="184">
        <f t="shared" si="1"/>
        <v>4</v>
      </c>
      <c r="AB10" s="185">
        <f t="shared" si="2"/>
        <v>1</v>
      </c>
      <c r="AC10" s="185">
        <f t="shared" si="3"/>
        <v>4</v>
      </c>
      <c r="AD10" s="185">
        <f t="shared" si="4"/>
        <v>8</v>
      </c>
    </row>
    <row r="11" spans="1:30" x14ac:dyDescent="0.25">
      <c r="A11" s="314">
        <f t="shared" si="5"/>
        <v>10</v>
      </c>
      <c r="B11" s="314" t="s">
        <v>941</v>
      </c>
      <c r="C11" s="340">
        <v>5</v>
      </c>
      <c r="E11" s="478"/>
      <c r="F11" s="360"/>
      <c r="G11" s="480">
        <v>1</v>
      </c>
      <c r="H11" s="360"/>
      <c r="I11" s="480"/>
      <c r="J11" s="360"/>
      <c r="K11" s="480"/>
      <c r="L11" s="360"/>
      <c r="M11" s="480"/>
      <c r="N11" s="562"/>
      <c r="O11" s="342">
        <f t="shared" si="0"/>
        <v>4</v>
      </c>
      <c r="P11" s="692">
        <f t="shared" si="6"/>
        <v>10</v>
      </c>
      <c r="Q11" s="7">
        <v>38</v>
      </c>
      <c r="R11" s="63" t="s">
        <v>883</v>
      </c>
      <c r="S11" s="335">
        <v>46419</v>
      </c>
      <c r="T11" s="316">
        <v>7</v>
      </c>
      <c r="U11" s="316">
        <v>4</v>
      </c>
      <c r="V11" s="344">
        <v>45717</v>
      </c>
      <c r="W11" s="309">
        <v>1</v>
      </c>
      <c r="X11" s="309">
        <v>1</v>
      </c>
      <c r="Y11" s="309">
        <v>1</v>
      </c>
      <c r="Z11" s="429">
        <v>4</v>
      </c>
      <c r="AA11" s="184">
        <f t="shared" si="1"/>
        <v>7</v>
      </c>
      <c r="AB11" s="185">
        <f t="shared" si="2"/>
        <v>1.75</v>
      </c>
      <c r="AC11" s="185">
        <f t="shared" si="3"/>
        <v>7</v>
      </c>
      <c r="AD11" s="185">
        <f t="shared" si="4"/>
        <v>14</v>
      </c>
    </row>
    <row r="12" spans="1:30" x14ac:dyDescent="0.25">
      <c r="A12" s="314">
        <f t="shared" si="5"/>
        <v>11</v>
      </c>
      <c r="B12" s="4" t="s">
        <v>1470</v>
      </c>
      <c r="C12" s="340">
        <v>1</v>
      </c>
      <c r="D12" s="684"/>
      <c r="E12" s="480"/>
      <c r="F12" s="360"/>
      <c r="G12" s="480"/>
      <c r="H12" s="360"/>
      <c r="I12" s="480"/>
      <c r="J12" s="360"/>
      <c r="K12" s="480"/>
      <c r="L12" s="360"/>
      <c r="M12" s="480"/>
      <c r="N12" s="562"/>
      <c r="O12" s="342">
        <f t="shared" si="0"/>
        <v>1</v>
      </c>
      <c r="P12" s="342">
        <f t="shared" si="6"/>
        <v>-1</v>
      </c>
      <c r="Q12" s="10">
        <v>60</v>
      </c>
      <c r="R12" s="63"/>
      <c r="AA12" s="184">
        <f t="shared" si="1"/>
        <v>0</v>
      </c>
      <c r="AB12" s="185">
        <f t="shared" si="2"/>
        <v>0</v>
      </c>
      <c r="AC12" s="185">
        <f t="shared" si="3"/>
        <v>0</v>
      </c>
      <c r="AD12" s="185">
        <f t="shared" si="4"/>
        <v>0</v>
      </c>
    </row>
    <row r="13" spans="1:30" x14ac:dyDescent="0.25">
      <c r="A13" s="314">
        <f t="shared" si="5"/>
        <v>12</v>
      </c>
      <c r="B13" s="314" t="s">
        <v>609</v>
      </c>
      <c r="C13" s="413">
        <v>4</v>
      </c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342">
        <f t="shared" si="0"/>
        <v>4</v>
      </c>
      <c r="P13" s="692">
        <f t="shared" si="6"/>
        <v>4</v>
      </c>
      <c r="Q13" s="7">
        <v>30</v>
      </c>
      <c r="R13" s="10"/>
      <c r="S13" s="83">
        <v>46204</v>
      </c>
      <c r="T13" s="322">
        <v>0</v>
      </c>
      <c r="U13" s="318"/>
      <c r="V13" s="83">
        <v>45383</v>
      </c>
      <c r="W13" s="321">
        <v>1</v>
      </c>
      <c r="X13" s="321">
        <v>1</v>
      </c>
      <c r="Y13" s="321">
        <v>1</v>
      </c>
      <c r="Z13" s="321">
        <v>1</v>
      </c>
      <c r="AA13" s="184">
        <f t="shared" si="1"/>
        <v>4</v>
      </c>
      <c r="AB13" s="185">
        <f t="shared" si="2"/>
        <v>1</v>
      </c>
      <c r="AC13" s="185">
        <f t="shared" si="3"/>
        <v>4</v>
      </c>
      <c r="AD13" s="185">
        <f t="shared" si="4"/>
        <v>8</v>
      </c>
    </row>
    <row r="14" spans="1:30" x14ac:dyDescent="0.25">
      <c r="A14" s="314">
        <f t="shared" si="5"/>
        <v>13</v>
      </c>
      <c r="B14" s="314" t="s">
        <v>719</v>
      </c>
      <c r="C14" s="413">
        <v>2</v>
      </c>
      <c r="E14" s="478"/>
      <c r="F14" s="360"/>
      <c r="G14" s="480"/>
      <c r="H14" s="360"/>
      <c r="I14" s="480"/>
      <c r="J14" s="360"/>
      <c r="K14" s="480"/>
      <c r="L14" s="360"/>
      <c r="M14" s="480"/>
      <c r="N14" s="562"/>
      <c r="O14" s="342">
        <f t="shared" si="0"/>
        <v>2</v>
      </c>
      <c r="P14" s="691">
        <f t="shared" si="6"/>
        <v>0</v>
      </c>
      <c r="Q14" s="7">
        <v>92</v>
      </c>
      <c r="R14" s="8"/>
      <c r="S14" s="118">
        <v>46569</v>
      </c>
      <c r="T14" s="322">
        <v>0</v>
      </c>
      <c r="U14" s="316"/>
      <c r="V14" s="344">
        <v>45444</v>
      </c>
      <c r="W14" s="309"/>
      <c r="X14" s="309"/>
      <c r="Y14" s="309">
        <v>1</v>
      </c>
      <c r="Z14" s="429"/>
      <c r="AA14" s="184">
        <f t="shared" si="1"/>
        <v>1</v>
      </c>
      <c r="AB14" s="185">
        <f t="shared" si="2"/>
        <v>0.25</v>
      </c>
      <c r="AC14" s="185">
        <f t="shared" si="3"/>
        <v>1</v>
      </c>
      <c r="AD14" s="185">
        <f t="shared" si="4"/>
        <v>2</v>
      </c>
    </row>
    <row r="15" spans="1:30" x14ac:dyDescent="0.25">
      <c r="A15" s="314">
        <f t="shared" si="5"/>
        <v>14</v>
      </c>
      <c r="B15" s="314" t="s">
        <v>146</v>
      </c>
      <c r="C15" s="340">
        <v>2</v>
      </c>
      <c r="D15" s="374"/>
      <c r="E15" s="478"/>
      <c r="F15" s="360"/>
      <c r="G15" s="480"/>
      <c r="H15" s="360"/>
      <c r="I15" s="480"/>
      <c r="J15" s="360"/>
      <c r="K15" s="480"/>
      <c r="L15" s="360"/>
      <c r="M15" s="480"/>
      <c r="N15" s="562"/>
      <c r="O15" s="342">
        <f t="shared" si="0"/>
        <v>2</v>
      </c>
      <c r="P15" s="692">
        <f t="shared" si="6"/>
        <v>4</v>
      </c>
      <c r="Q15" s="7">
        <v>45</v>
      </c>
      <c r="R15" s="63"/>
      <c r="S15" s="344">
        <v>46692</v>
      </c>
      <c r="T15" s="318">
        <v>2</v>
      </c>
      <c r="U15" s="318"/>
      <c r="V15" s="344">
        <v>45689</v>
      </c>
      <c r="W15" s="309">
        <v>1</v>
      </c>
      <c r="X15" s="309">
        <v>1</v>
      </c>
      <c r="Y15" s="309">
        <v>0</v>
      </c>
      <c r="Z15" s="309">
        <v>1</v>
      </c>
      <c r="AA15" s="184">
        <f t="shared" si="1"/>
        <v>3</v>
      </c>
      <c r="AB15" s="185">
        <f t="shared" si="2"/>
        <v>0.75</v>
      </c>
      <c r="AC15" s="185">
        <f t="shared" si="3"/>
        <v>3</v>
      </c>
      <c r="AD15" s="185">
        <f t="shared" si="4"/>
        <v>6</v>
      </c>
    </row>
    <row r="16" spans="1:30" x14ac:dyDescent="0.25">
      <c r="A16" s="314">
        <f t="shared" si="5"/>
        <v>15</v>
      </c>
      <c r="B16" s="314" t="s">
        <v>274</v>
      </c>
      <c r="C16" s="340">
        <v>2</v>
      </c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2">
        <f t="shared" si="0"/>
        <v>2</v>
      </c>
      <c r="P16" s="692">
        <f t="shared" si="6"/>
        <v>6</v>
      </c>
      <c r="Q16" s="10">
        <v>56</v>
      </c>
      <c r="R16" s="106"/>
      <c r="S16" s="344">
        <v>47453</v>
      </c>
      <c r="T16" s="318">
        <v>0</v>
      </c>
      <c r="U16" s="318">
        <v>2</v>
      </c>
      <c r="V16" s="344">
        <v>45717</v>
      </c>
      <c r="W16" s="309">
        <v>1</v>
      </c>
      <c r="X16" s="309">
        <v>1</v>
      </c>
      <c r="Y16" s="309">
        <v>1</v>
      </c>
      <c r="Z16" s="429">
        <v>1</v>
      </c>
      <c r="AA16" s="184">
        <f t="shared" si="1"/>
        <v>4</v>
      </c>
      <c r="AB16" s="185">
        <f t="shared" si="2"/>
        <v>1</v>
      </c>
      <c r="AC16" s="185">
        <f t="shared" si="3"/>
        <v>4</v>
      </c>
      <c r="AD16" s="185">
        <f t="shared" si="4"/>
        <v>8</v>
      </c>
    </row>
    <row r="17" spans="1:30" x14ac:dyDescent="0.25">
      <c r="A17" s="314">
        <f t="shared" si="5"/>
        <v>16</v>
      </c>
      <c r="B17" s="314" t="s">
        <v>1077</v>
      </c>
      <c r="C17" s="340">
        <v>4</v>
      </c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2">
        <f t="shared" si="0"/>
        <v>4</v>
      </c>
      <c r="P17" s="692">
        <f t="shared" si="6"/>
        <v>18</v>
      </c>
      <c r="Q17" s="7">
        <v>30</v>
      </c>
      <c r="R17" s="106"/>
      <c r="S17" s="344">
        <v>46753</v>
      </c>
      <c r="T17" s="318">
        <v>9</v>
      </c>
      <c r="U17" s="318">
        <v>6</v>
      </c>
      <c r="V17" s="344">
        <v>45717</v>
      </c>
      <c r="W17" s="309">
        <v>1</v>
      </c>
      <c r="X17" s="309">
        <v>4</v>
      </c>
      <c r="Y17" s="309">
        <v>4</v>
      </c>
      <c r="Z17" s="429">
        <v>2</v>
      </c>
      <c r="AA17" s="184">
        <f t="shared" si="1"/>
        <v>11</v>
      </c>
      <c r="AB17" s="185">
        <f t="shared" si="2"/>
        <v>2.75</v>
      </c>
      <c r="AC17" s="185">
        <f t="shared" si="3"/>
        <v>11</v>
      </c>
      <c r="AD17" s="185">
        <f t="shared" si="4"/>
        <v>22</v>
      </c>
    </row>
    <row r="18" spans="1:30" x14ac:dyDescent="0.25">
      <c r="A18" s="314">
        <f t="shared" si="5"/>
        <v>17</v>
      </c>
      <c r="B18" s="314" t="s">
        <v>683</v>
      </c>
      <c r="C18" s="340">
        <v>2</v>
      </c>
      <c r="E18" s="479"/>
      <c r="F18" s="367"/>
      <c r="G18" s="479"/>
      <c r="H18" s="367"/>
      <c r="I18" s="479"/>
      <c r="J18" s="367"/>
      <c r="K18" s="479"/>
      <c r="L18" s="367"/>
      <c r="M18" s="479"/>
      <c r="N18" s="570"/>
      <c r="O18" s="342">
        <f t="shared" si="0"/>
        <v>2</v>
      </c>
      <c r="P18" s="692">
        <f t="shared" si="6"/>
        <v>6</v>
      </c>
      <c r="Q18" s="7">
        <v>51</v>
      </c>
      <c r="R18" s="91" t="s">
        <v>81</v>
      </c>
      <c r="S18" s="118">
        <v>47239</v>
      </c>
      <c r="T18" s="313">
        <v>3</v>
      </c>
      <c r="U18" s="313"/>
      <c r="V18" s="112">
        <v>45689</v>
      </c>
      <c r="W18" s="92">
        <v>1</v>
      </c>
      <c r="X18" s="92">
        <v>1</v>
      </c>
      <c r="Y18" s="92">
        <v>1</v>
      </c>
      <c r="Z18" s="430">
        <v>1</v>
      </c>
      <c r="AA18" s="184">
        <f t="shared" si="1"/>
        <v>4</v>
      </c>
      <c r="AB18" s="185">
        <f t="shared" si="2"/>
        <v>1</v>
      </c>
      <c r="AC18" s="185">
        <f t="shared" si="3"/>
        <v>4</v>
      </c>
      <c r="AD18" s="185">
        <f t="shared" si="4"/>
        <v>8</v>
      </c>
    </row>
    <row r="19" spans="1:30" x14ac:dyDescent="0.25">
      <c r="A19" s="314">
        <f t="shared" si="5"/>
        <v>18</v>
      </c>
      <c r="B19" s="314" t="s">
        <v>157</v>
      </c>
      <c r="C19" s="340">
        <v>1</v>
      </c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2">
        <f t="shared" si="0"/>
        <v>1</v>
      </c>
      <c r="P19" s="692">
        <f t="shared" si="6"/>
        <v>7</v>
      </c>
      <c r="Q19" s="7">
        <v>35</v>
      </c>
      <c r="R19" s="307"/>
      <c r="S19" s="344">
        <v>46082</v>
      </c>
      <c r="T19" s="318">
        <v>2</v>
      </c>
      <c r="U19" s="318">
        <v>2</v>
      </c>
      <c r="V19" s="199">
        <v>45717</v>
      </c>
      <c r="W19" s="309">
        <v>1</v>
      </c>
      <c r="X19" s="309">
        <v>1</v>
      </c>
      <c r="Y19" s="309">
        <v>1</v>
      </c>
      <c r="Z19" s="429">
        <v>1</v>
      </c>
      <c r="AA19" s="184">
        <f t="shared" si="1"/>
        <v>4</v>
      </c>
      <c r="AB19" s="185">
        <f t="shared" si="2"/>
        <v>1</v>
      </c>
      <c r="AC19" s="185">
        <f t="shared" si="3"/>
        <v>4</v>
      </c>
      <c r="AD19" s="185">
        <f t="shared" si="4"/>
        <v>8</v>
      </c>
    </row>
    <row r="20" spans="1:30" x14ac:dyDescent="0.25">
      <c r="A20" s="314">
        <f t="shared" si="5"/>
        <v>19</v>
      </c>
      <c r="B20" s="4" t="s">
        <v>280</v>
      </c>
      <c r="C20" s="415">
        <v>4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2">
        <f t="shared" si="0"/>
        <v>4</v>
      </c>
      <c r="P20" s="692">
        <f t="shared" si="6"/>
        <v>8</v>
      </c>
      <c r="Q20" s="7">
        <v>19</v>
      </c>
      <c r="R20" s="64"/>
      <c r="S20" s="344">
        <v>46296</v>
      </c>
      <c r="T20" s="318">
        <v>3</v>
      </c>
      <c r="U20" s="318"/>
      <c r="V20" s="344">
        <v>45658</v>
      </c>
      <c r="W20" s="309">
        <v>2</v>
      </c>
      <c r="X20" s="309">
        <v>1</v>
      </c>
      <c r="Y20" s="309">
        <v>2</v>
      </c>
      <c r="Z20" s="309">
        <v>1</v>
      </c>
      <c r="AA20" s="184">
        <f t="shared" si="1"/>
        <v>6</v>
      </c>
      <c r="AB20" s="185">
        <f t="shared" si="2"/>
        <v>1.5</v>
      </c>
      <c r="AC20" s="185">
        <f t="shared" si="3"/>
        <v>6</v>
      </c>
      <c r="AD20" s="185">
        <f t="shared" si="4"/>
        <v>12</v>
      </c>
    </row>
    <row r="21" spans="1:30" x14ac:dyDescent="0.25">
      <c r="A21" s="314">
        <f t="shared" si="5"/>
        <v>20</v>
      </c>
      <c r="B21" s="314" t="s">
        <v>669</v>
      </c>
      <c r="C21" s="435">
        <v>2</v>
      </c>
      <c r="D21" s="376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2">
        <f t="shared" si="0"/>
        <v>2</v>
      </c>
      <c r="P21" s="692">
        <f t="shared" si="6"/>
        <v>14</v>
      </c>
      <c r="Q21" s="7">
        <v>57</v>
      </c>
      <c r="R21" s="109"/>
      <c r="S21" s="118">
        <v>45809</v>
      </c>
      <c r="T21" s="322">
        <v>0</v>
      </c>
      <c r="U21" s="316"/>
      <c r="V21" s="344">
        <v>45658</v>
      </c>
      <c r="W21" s="107">
        <v>1</v>
      </c>
      <c r="X21" s="107">
        <v>2</v>
      </c>
      <c r="Y21" s="309">
        <v>2</v>
      </c>
      <c r="Z21" s="309">
        <v>3</v>
      </c>
      <c r="AA21" s="184">
        <f t="shared" si="1"/>
        <v>8</v>
      </c>
      <c r="AB21" s="185">
        <f t="shared" si="2"/>
        <v>2</v>
      </c>
      <c r="AC21" s="185">
        <f t="shared" si="3"/>
        <v>8</v>
      </c>
      <c r="AD21" s="185">
        <f t="shared" si="4"/>
        <v>16</v>
      </c>
    </row>
    <row r="22" spans="1:30" x14ac:dyDescent="0.25">
      <c r="A22" s="314">
        <f t="shared" si="5"/>
        <v>21</v>
      </c>
      <c r="B22" s="314" t="s">
        <v>203</v>
      </c>
      <c r="C22" s="340">
        <v>6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2">
        <f t="shared" si="0"/>
        <v>6</v>
      </c>
      <c r="P22" s="692">
        <f t="shared" si="6"/>
        <v>22</v>
      </c>
      <c r="Q22" s="10">
        <v>25</v>
      </c>
      <c r="R22" s="63"/>
      <c r="S22" s="344">
        <v>46478</v>
      </c>
      <c r="T22" s="318">
        <v>6</v>
      </c>
      <c r="U22" s="318">
        <v>6</v>
      </c>
      <c r="V22" s="344">
        <v>45717</v>
      </c>
      <c r="W22" s="309">
        <v>4</v>
      </c>
      <c r="X22" s="309">
        <v>5</v>
      </c>
      <c r="Y22" s="309">
        <v>4</v>
      </c>
      <c r="Z22" s="429">
        <v>1</v>
      </c>
      <c r="AA22" s="184">
        <f t="shared" si="1"/>
        <v>14</v>
      </c>
      <c r="AB22" s="185">
        <f t="shared" si="2"/>
        <v>3.5</v>
      </c>
      <c r="AC22" s="185">
        <f t="shared" si="3"/>
        <v>14</v>
      </c>
      <c r="AD22" s="185">
        <f t="shared" si="4"/>
        <v>28</v>
      </c>
    </row>
    <row r="23" spans="1:30" x14ac:dyDescent="0.25">
      <c r="A23" s="314">
        <f t="shared" si="5"/>
        <v>22</v>
      </c>
      <c r="B23" s="314" t="s">
        <v>201</v>
      </c>
      <c r="C23" s="280">
        <v>82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2">
        <f t="shared" si="0"/>
        <v>82</v>
      </c>
      <c r="P23" s="342">
        <f t="shared" si="6"/>
        <v>-10</v>
      </c>
      <c r="Q23" s="7">
        <v>1.5</v>
      </c>
      <c r="R23" s="307"/>
      <c r="S23" s="129">
        <v>46143</v>
      </c>
      <c r="T23" s="316"/>
      <c r="U23" s="316"/>
      <c r="V23" s="344">
        <v>45658</v>
      </c>
      <c r="W23" s="309">
        <v>2</v>
      </c>
      <c r="X23" s="309">
        <v>12</v>
      </c>
      <c r="Y23" s="309">
        <v>2</v>
      </c>
      <c r="Z23" s="309">
        <v>20</v>
      </c>
      <c r="AA23" s="184">
        <f t="shared" si="1"/>
        <v>36</v>
      </c>
      <c r="AB23" s="185">
        <f t="shared" si="2"/>
        <v>9</v>
      </c>
      <c r="AC23" s="185">
        <f t="shared" si="3"/>
        <v>36</v>
      </c>
      <c r="AD23" s="185">
        <f t="shared" si="4"/>
        <v>72</v>
      </c>
    </row>
    <row r="24" spans="1:30" x14ac:dyDescent="0.25">
      <c r="A24" s="314">
        <f t="shared" si="5"/>
        <v>23</v>
      </c>
      <c r="B24" s="314" t="s">
        <v>668</v>
      </c>
      <c r="C24" s="413">
        <v>1</v>
      </c>
      <c r="D24" s="359"/>
      <c r="E24" s="478"/>
      <c r="F24" s="359"/>
      <c r="G24" s="478"/>
      <c r="H24" s="359"/>
      <c r="I24" s="478"/>
      <c r="J24" s="359"/>
      <c r="K24" s="478"/>
      <c r="L24" s="359"/>
      <c r="M24" s="478"/>
      <c r="N24" s="561"/>
      <c r="O24" s="342">
        <f t="shared" si="0"/>
        <v>1</v>
      </c>
      <c r="P24" s="692">
        <f t="shared" si="6"/>
        <v>3</v>
      </c>
      <c r="Q24" s="7">
        <v>138</v>
      </c>
      <c r="R24" s="109"/>
      <c r="S24" s="118">
        <v>46327</v>
      </c>
      <c r="T24" s="322">
        <v>1</v>
      </c>
      <c r="U24" s="316"/>
      <c r="V24" s="199">
        <v>45658</v>
      </c>
      <c r="W24" s="107"/>
      <c r="X24" s="107">
        <v>1</v>
      </c>
      <c r="Y24" s="309"/>
      <c r="Z24" s="309">
        <v>1</v>
      </c>
      <c r="AA24" s="184">
        <f t="shared" si="1"/>
        <v>2</v>
      </c>
      <c r="AB24" s="185">
        <f t="shared" si="2"/>
        <v>0.5</v>
      </c>
      <c r="AC24" s="185">
        <f t="shared" si="3"/>
        <v>2</v>
      </c>
      <c r="AD24" s="185">
        <f t="shared" si="4"/>
        <v>4</v>
      </c>
    </row>
    <row r="25" spans="1:30" x14ac:dyDescent="0.25">
      <c r="A25" s="314">
        <f t="shared" si="5"/>
        <v>24</v>
      </c>
      <c r="B25" s="314" t="s">
        <v>718</v>
      </c>
      <c r="C25" s="413">
        <v>8</v>
      </c>
      <c r="D25" s="359"/>
      <c r="E25" s="478"/>
      <c r="F25" s="360"/>
      <c r="G25" s="480"/>
      <c r="H25" s="360"/>
      <c r="I25" s="480"/>
      <c r="J25" s="360"/>
      <c r="K25" s="480"/>
      <c r="L25" s="360"/>
      <c r="M25" s="480"/>
      <c r="N25" s="562"/>
      <c r="O25" s="342">
        <f t="shared" si="0"/>
        <v>8</v>
      </c>
      <c r="P25" s="692">
        <f t="shared" si="6"/>
        <v>16</v>
      </c>
      <c r="Q25" s="7">
        <v>5</v>
      </c>
      <c r="R25" s="63"/>
      <c r="S25" s="118">
        <v>46478</v>
      </c>
      <c r="T25" s="322">
        <v>0</v>
      </c>
      <c r="U25" s="316"/>
      <c r="V25" s="344">
        <v>45717</v>
      </c>
      <c r="W25" s="309">
        <v>1</v>
      </c>
      <c r="X25" s="309">
        <v>3</v>
      </c>
      <c r="Y25" s="309">
        <v>6</v>
      </c>
      <c r="Z25" s="429">
        <v>2</v>
      </c>
      <c r="AA25" s="184">
        <f t="shared" si="1"/>
        <v>12</v>
      </c>
      <c r="AB25" s="185">
        <f t="shared" si="2"/>
        <v>3</v>
      </c>
      <c r="AC25" s="185">
        <f t="shared" si="3"/>
        <v>12</v>
      </c>
      <c r="AD25" s="185">
        <f t="shared" si="4"/>
        <v>24</v>
      </c>
    </row>
    <row r="26" spans="1:30" x14ac:dyDescent="0.25">
      <c r="A26" s="314">
        <f t="shared" si="5"/>
        <v>25</v>
      </c>
      <c r="B26" s="314" t="s">
        <v>937</v>
      </c>
      <c r="C26" s="413">
        <v>3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42">
        <f t="shared" si="0"/>
        <v>3</v>
      </c>
      <c r="P26" s="692">
        <f t="shared" si="6"/>
        <v>5</v>
      </c>
      <c r="Q26" s="7">
        <v>90</v>
      </c>
      <c r="R26" s="91"/>
      <c r="S26" s="118">
        <v>45992</v>
      </c>
      <c r="T26" s="322">
        <v>4</v>
      </c>
      <c r="U26" s="316"/>
      <c r="V26" s="199">
        <v>45597</v>
      </c>
      <c r="W26" s="107">
        <v>1</v>
      </c>
      <c r="X26" s="107">
        <v>1</v>
      </c>
      <c r="Y26" s="309">
        <v>1</v>
      </c>
      <c r="Z26" s="309">
        <v>1</v>
      </c>
      <c r="AA26" s="184">
        <f t="shared" si="1"/>
        <v>4</v>
      </c>
      <c r="AB26" s="185">
        <f t="shared" si="2"/>
        <v>1</v>
      </c>
      <c r="AC26" s="185">
        <f t="shared" si="3"/>
        <v>4</v>
      </c>
      <c r="AD26" s="185">
        <f t="shared" si="4"/>
        <v>8</v>
      </c>
    </row>
    <row r="27" spans="1:30" x14ac:dyDescent="0.25">
      <c r="A27" s="314">
        <f t="shared" si="5"/>
        <v>26</v>
      </c>
      <c r="B27" s="314" t="s">
        <v>689</v>
      </c>
      <c r="C27" s="413">
        <v>38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2">
        <f t="shared" si="0"/>
        <v>38</v>
      </c>
      <c r="P27" s="692">
        <f t="shared" si="6"/>
        <v>50</v>
      </c>
      <c r="Q27" s="7">
        <v>2</v>
      </c>
      <c r="R27" s="63"/>
      <c r="S27" s="129">
        <v>46113</v>
      </c>
      <c r="T27" s="347">
        <v>1</v>
      </c>
      <c r="U27" s="323">
        <v>1</v>
      </c>
      <c r="V27" s="118">
        <v>45717</v>
      </c>
      <c r="W27" s="309">
        <v>11</v>
      </c>
      <c r="X27" s="309">
        <v>23</v>
      </c>
      <c r="Y27" s="309">
        <v>7</v>
      </c>
      <c r="Z27" s="309">
        <v>3</v>
      </c>
      <c r="AA27" s="184">
        <f t="shared" si="1"/>
        <v>44</v>
      </c>
      <c r="AB27" s="185">
        <f t="shared" si="2"/>
        <v>11</v>
      </c>
      <c r="AC27" s="185">
        <f t="shared" si="3"/>
        <v>44</v>
      </c>
      <c r="AD27" s="185">
        <f t="shared" si="4"/>
        <v>88</v>
      </c>
    </row>
    <row r="28" spans="1:30" x14ac:dyDescent="0.25">
      <c r="A28" s="314">
        <f t="shared" si="5"/>
        <v>27</v>
      </c>
      <c r="B28" s="314" t="s">
        <v>690</v>
      </c>
      <c r="C28" s="413">
        <v>56</v>
      </c>
      <c r="D28" s="359"/>
      <c r="E28" s="478"/>
      <c r="F28" s="359"/>
      <c r="G28" s="478"/>
      <c r="H28" s="359"/>
      <c r="I28" s="478"/>
      <c r="J28" s="359"/>
      <c r="K28" s="478">
        <v>8</v>
      </c>
      <c r="L28" s="359"/>
      <c r="M28" s="478"/>
      <c r="N28" s="561"/>
      <c r="O28" s="342">
        <f t="shared" si="0"/>
        <v>48</v>
      </c>
      <c r="P28" s="342">
        <f t="shared" si="6"/>
        <v>0</v>
      </c>
      <c r="Q28" s="7">
        <v>2</v>
      </c>
      <c r="R28" s="63"/>
      <c r="S28" s="129">
        <v>46113</v>
      </c>
      <c r="T28" s="347">
        <v>1</v>
      </c>
      <c r="U28" s="323"/>
      <c r="V28" s="118">
        <v>45627</v>
      </c>
      <c r="W28" s="309">
        <v>8</v>
      </c>
      <c r="X28" s="309">
        <v>2</v>
      </c>
      <c r="Y28" s="309">
        <v>5</v>
      </c>
      <c r="Z28" s="309">
        <v>9</v>
      </c>
      <c r="AA28" s="184">
        <f t="shared" si="1"/>
        <v>24</v>
      </c>
      <c r="AB28" s="185">
        <f t="shared" si="2"/>
        <v>6</v>
      </c>
      <c r="AC28" s="185">
        <f t="shared" si="3"/>
        <v>24</v>
      </c>
      <c r="AD28" s="185">
        <f t="shared" si="4"/>
        <v>48</v>
      </c>
    </row>
    <row r="29" spans="1:30" x14ac:dyDescent="0.25">
      <c r="A29" s="314">
        <f t="shared" si="5"/>
        <v>28</v>
      </c>
      <c r="B29" s="314" t="s">
        <v>986</v>
      </c>
      <c r="C29" s="413">
        <v>35</v>
      </c>
      <c r="D29" s="359"/>
      <c r="E29" s="478"/>
      <c r="F29" s="359"/>
      <c r="G29" s="480"/>
      <c r="H29" s="360"/>
      <c r="I29" s="480"/>
      <c r="J29" s="360"/>
      <c r="K29" s="480"/>
      <c r="L29" s="360"/>
      <c r="M29" s="480"/>
      <c r="N29" s="562"/>
      <c r="O29" s="342">
        <f t="shared" si="0"/>
        <v>35</v>
      </c>
      <c r="P29" s="342">
        <f t="shared" si="6"/>
        <v>-17</v>
      </c>
      <c r="Q29" s="7">
        <v>2</v>
      </c>
      <c r="R29" s="63"/>
      <c r="S29" s="83">
        <v>46113</v>
      </c>
      <c r="T29" s="322">
        <v>1</v>
      </c>
      <c r="U29" s="313"/>
      <c r="V29" s="81">
        <v>45627</v>
      </c>
      <c r="W29" s="14">
        <v>3</v>
      </c>
      <c r="X29" s="28">
        <v>1</v>
      </c>
      <c r="Y29" s="28">
        <v>3</v>
      </c>
      <c r="Z29" s="28">
        <v>2</v>
      </c>
      <c r="AA29" s="184">
        <f t="shared" si="1"/>
        <v>9</v>
      </c>
      <c r="AB29" s="185">
        <f t="shared" si="2"/>
        <v>2.25</v>
      </c>
      <c r="AC29" s="185">
        <f t="shared" si="3"/>
        <v>9</v>
      </c>
      <c r="AD29" s="185">
        <f t="shared" si="4"/>
        <v>18</v>
      </c>
    </row>
    <row r="30" spans="1:30" x14ac:dyDescent="0.25">
      <c r="A30" s="314">
        <f t="shared" si="5"/>
        <v>29</v>
      </c>
      <c r="B30" s="314" t="s">
        <v>267</v>
      </c>
      <c r="C30" s="340">
        <v>3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42">
        <f t="shared" si="0"/>
        <v>3</v>
      </c>
      <c r="P30" s="692">
        <f t="shared" si="6"/>
        <v>5</v>
      </c>
      <c r="Q30" s="7">
        <v>23</v>
      </c>
      <c r="R30" s="63"/>
      <c r="S30" s="83">
        <v>46508</v>
      </c>
      <c r="T30" s="313">
        <v>3</v>
      </c>
      <c r="U30" s="313">
        <v>2</v>
      </c>
      <c r="V30" s="118">
        <v>45717</v>
      </c>
      <c r="W30" s="28">
        <v>1</v>
      </c>
      <c r="X30" s="28">
        <v>1</v>
      </c>
      <c r="Y30" s="28">
        <v>1</v>
      </c>
      <c r="Z30" s="429">
        <v>1</v>
      </c>
      <c r="AA30" s="184">
        <f t="shared" si="1"/>
        <v>4</v>
      </c>
      <c r="AB30" s="185">
        <f t="shared" si="2"/>
        <v>1</v>
      </c>
      <c r="AC30" s="185">
        <f t="shared" si="3"/>
        <v>4</v>
      </c>
      <c r="AD30" s="185">
        <f t="shared" si="4"/>
        <v>8</v>
      </c>
    </row>
    <row r="31" spans="1:30" x14ac:dyDescent="0.25">
      <c r="A31" s="314">
        <f t="shared" si="5"/>
        <v>30</v>
      </c>
      <c r="B31" s="314" t="s">
        <v>268</v>
      </c>
      <c r="C31" s="340">
        <v>1</v>
      </c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342">
        <f t="shared" si="0"/>
        <v>1</v>
      </c>
      <c r="P31" s="692">
        <f t="shared" si="6"/>
        <v>7</v>
      </c>
      <c r="Q31" s="44">
        <v>33</v>
      </c>
      <c r="R31" s="68" t="s">
        <v>81</v>
      </c>
      <c r="S31" s="83">
        <v>46174</v>
      </c>
      <c r="T31" s="313">
        <v>0</v>
      </c>
      <c r="U31" s="313"/>
      <c r="V31" s="118">
        <v>45292</v>
      </c>
      <c r="W31" s="28">
        <v>1</v>
      </c>
      <c r="X31" s="28">
        <v>1</v>
      </c>
      <c r="Y31" s="28">
        <v>1</v>
      </c>
      <c r="Z31" s="429">
        <v>1</v>
      </c>
      <c r="AA31" s="184">
        <f t="shared" si="1"/>
        <v>4</v>
      </c>
      <c r="AB31" s="185">
        <f t="shared" si="2"/>
        <v>1</v>
      </c>
      <c r="AC31" s="185">
        <f t="shared" si="3"/>
        <v>4</v>
      </c>
      <c r="AD31" s="185">
        <f t="shared" si="4"/>
        <v>8</v>
      </c>
    </row>
    <row r="32" spans="1:30" x14ac:dyDescent="0.25">
      <c r="A32" s="314">
        <f t="shared" si="5"/>
        <v>31</v>
      </c>
      <c r="B32" s="314" t="s">
        <v>1012</v>
      </c>
      <c r="C32" s="415">
        <v>70</v>
      </c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342">
        <f t="shared" si="0"/>
        <v>70</v>
      </c>
      <c r="P32" s="342">
        <f t="shared" si="6"/>
        <v>-30</v>
      </c>
      <c r="Q32" s="7">
        <v>1.1499999999999999</v>
      </c>
      <c r="R32" s="63"/>
      <c r="S32" s="344">
        <v>47178</v>
      </c>
      <c r="T32" s="310">
        <v>2</v>
      </c>
      <c r="U32" s="318">
        <v>1</v>
      </c>
      <c r="V32" s="344">
        <v>45717</v>
      </c>
      <c r="W32" s="309">
        <v>10</v>
      </c>
      <c r="X32" s="309">
        <v>2</v>
      </c>
      <c r="Y32" s="309">
        <v>6</v>
      </c>
      <c r="Z32" s="309">
        <v>2</v>
      </c>
      <c r="AA32" s="184">
        <f t="shared" si="1"/>
        <v>20</v>
      </c>
      <c r="AB32" s="185">
        <f t="shared" si="2"/>
        <v>5</v>
      </c>
      <c r="AC32" s="185">
        <f t="shared" si="3"/>
        <v>20</v>
      </c>
      <c r="AD32" s="185">
        <f t="shared" si="4"/>
        <v>40</v>
      </c>
    </row>
    <row r="33" spans="1:30" x14ac:dyDescent="0.25">
      <c r="A33" s="314">
        <f t="shared" si="5"/>
        <v>32</v>
      </c>
      <c r="B33" s="314" t="s">
        <v>1010</v>
      </c>
      <c r="C33" s="413">
        <v>89</v>
      </c>
      <c r="D33" s="359"/>
      <c r="E33" s="478"/>
      <c r="F33" s="359"/>
      <c r="G33" s="478"/>
      <c r="H33" s="359"/>
      <c r="I33" s="478">
        <v>2</v>
      </c>
      <c r="J33" s="359"/>
      <c r="K33" s="478"/>
      <c r="L33" s="359"/>
      <c r="M33" s="478">
        <v>4</v>
      </c>
      <c r="N33" s="561"/>
      <c r="O33" s="342">
        <f t="shared" si="0"/>
        <v>83</v>
      </c>
      <c r="P33" s="692">
        <f t="shared" si="6"/>
        <v>45</v>
      </c>
      <c r="Q33" s="7">
        <v>1.1499999999999999</v>
      </c>
      <c r="R33" s="109"/>
      <c r="S33" s="118">
        <v>46143</v>
      </c>
      <c r="T33" s="322">
        <v>2</v>
      </c>
      <c r="U33" s="316">
        <v>2</v>
      </c>
      <c r="V33" s="199">
        <v>45717</v>
      </c>
      <c r="W33" s="107">
        <v>14</v>
      </c>
      <c r="X33" s="107">
        <v>42</v>
      </c>
      <c r="Y33" s="309">
        <v>2</v>
      </c>
      <c r="Z33" s="309">
        <v>6</v>
      </c>
      <c r="AA33" s="184">
        <f t="shared" si="1"/>
        <v>64</v>
      </c>
      <c r="AB33" s="185">
        <f t="shared" si="2"/>
        <v>16</v>
      </c>
      <c r="AC33" s="185">
        <f t="shared" si="3"/>
        <v>64</v>
      </c>
      <c r="AD33" s="185">
        <f t="shared" si="4"/>
        <v>128</v>
      </c>
    </row>
    <row r="34" spans="1:30" x14ac:dyDescent="0.25">
      <c r="A34" s="314">
        <f t="shared" si="5"/>
        <v>33</v>
      </c>
      <c r="B34" s="314" t="s">
        <v>1011</v>
      </c>
      <c r="C34" s="415">
        <v>44</v>
      </c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342">
        <f t="shared" ref="O34:O65" si="7">SUM(C34-D34-E34-F34-G34-H34-I34-J34-K34-L34-M34-N34)</f>
        <v>44</v>
      </c>
      <c r="P34" s="342">
        <f t="shared" si="6"/>
        <v>-16</v>
      </c>
      <c r="Q34" s="7">
        <v>1.1499999999999999</v>
      </c>
      <c r="R34" s="63"/>
      <c r="S34" s="344">
        <v>46174</v>
      </c>
      <c r="T34" s="310">
        <v>2</v>
      </c>
      <c r="U34" s="318">
        <v>1</v>
      </c>
      <c r="V34" s="344">
        <v>45717</v>
      </c>
      <c r="W34" s="309">
        <v>4</v>
      </c>
      <c r="X34" s="309">
        <v>6</v>
      </c>
      <c r="Y34" s="309">
        <v>2</v>
      </c>
      <c r="Z34" s="309">
        <v>2</v>
      </c>
      <c r="AA34" s="184">
        <f t="shared" ref="AA34:AA65" si="8">W34+X34+Y34+Z34</f>
        <v>14</v>
      </c>
      <c r="AB34" s="185">
        <f t="shared" ref="AB34:AB65" si="9">AA34/4</f>
        <v>3.5</v>
      </c>
      <c r="AC34" s="185">
        <f t="shared" ref="AC34:AC65" si="10">AB34*4</f>
        <v>14</v>
      </c>
      <c r="AD34" s="185">
        <f t="shared" ref="AD34:AD65" si="11">AC34*2</f>
        <v>28</v>
      </c>
    </row>
    <row r="35" spans="1:30" x14ac:dyDescent="0.25">
      <c r="A35" s="314">
        <f t="shared" si="5"/>
        <v>34</v>
      </c>
      <c r="B35" s="314" t="s">
        <v>985</v>
      </c>
      <c r="C35" s="340">
        <v>0</v>
      </c>
      <c r="D35" s="360"/>
      <c r="E35" s="480"/>
      <c r="F35" s="360"/>
      <c r="G35" s="480"/>
      <c r="H35" s="360"/>
      <c r="I35" s="480"/>
      <c r="J35" s="360"/>
      <c r="K35" s="480"/>
      <c r="L35" s="360"/>
      <c r="M35" s="480"/>
      <c r="N35" s="562"/>
      <c r="O35" s="342">
        <f t="shared" si="7"/>
        <v>0</v>
      </c>
      <c r="P35" s="706">
        <f t="shared" si="6"/>
        <v>18</v>
      </c>
      <c r="Q35" s="10">
        <v>45</v>
      </c>
      <c r="R35" s="63" t="s">
        <v>1413</v>
      </c>
      <c r="S35" s="81">
        <v>45992</v>
      </c>
      <c r="T35" s="92">
        <v>0</v>
      </c>
      <c r="V35" s="81">
        <v>45474</v>
      </c>
      <c r="W35" s="14">
        <v>2</v>
      </c>
      <c r="X35" s="14">
        <v>4</v>
      </c>
      <c r="Y35" s="28">
        <v>1</v>
      </c>
      <c r="Z35" s="28">
        <v>2</v>
      </c>
      <c r="AA35" s="184">
        <f t="shared" si="8"/>
        <v>9</v>
      </c>
      <c r="AB35" s="185">
        <f t="shared" si="9"/>
        <v>2.25</v>
      </c>
      <c r="AC35" s="185">
        <f t="shared" si="10"/>
        <v>9</v>
      </c>
      <c r="AD35" s="185">
        <f t="shared" si="11"/>
        <v>18</v>
      </c>
    </row>
    <row r="36" spans="1:30" x14ac:dyDescent="0.25">
      <c r="A36" s="314">
        <f t="shared" si="5"/>
        <v>35</v>
      </c>
      <c r="B36" s="314" t="s">
        <v>1173</v>
      </c>
      <c r="C36" s="340">
        <v>2</v>
      </c>
      <c r="D36" s="359"/>
      <c r="E36" s="478">
        <v>1</v>
      </c>
      <c r="F36" s="359"/>
      <c r="G36" s="478"/>
      <c r="H36" s="359"/>
      <c r="I36" s="478">
        <v>1</v>
      </c>
      <c r="J36" s="359"/>
      <c r="K36" s="478"/>
      <c r="L36" s="359"/>
      <c r="M36" s="478"/>
      <c r="N36" s="561"/>
      <c r="O36" s="342">
        <f t="shared" si="7"/>
        <v>0</v>
      </c>
      <c r="P36" s="706">
        <v>3</v>
      </c>
      <c r="Q36" s="7">
        <v>58</v>
      </c>
      <c r="R36" s="63"/>
      <c r="S36" s="77">
        <v>46357</v>
      </c>
      <c r="T36" s="16">
        <v>0</v>
      </c>
      <c r="U36" s="16"/>
      <c r="V36" s="77">
        <v>45689</v>
      </c>
      <c r="W36" s="309">
        <v>1</v>
      </c>
      <c r="X36" s="309">
        <v>1</v>
      </c>
      <c r="Y36" s="309">
        <v>1</v>
      </c>
      <c r="Z36" s="309">
        <v>1</v>
      </c>
      <c r="AA36" s="184">
        <f t="shared" si="8"/>
        <v>4</v>
      </c>
      <c r="AB36" s="185">
        <f t="shared" si="9"/>
        <v>1</v>
      </c>
      <c r="AC36" s="185">
        <f t="shared" si="10"/>
        <v>4</v>
      </c>
      <c r="AD36" s="185">
        <f t="shared" si="11"/>
        <v>8</v>
      </c>
    </row>
    <row r="37" spans="1:30" ht="13.5" customHeight="1" x14ac:dyDescent="0.25">
      <c r="A37" s="314">
        <f t="shared" si="5"/>
        <v>36</v>
      </c>
      <c r="B37" s="314" t="s">
        <v>190</v>
      </c>
      <c r="C37" s="466">
        <v>10</v>
      </c>
      <c r="D37" s="367"/>
      <c r="E37" s="479"/>
      <c r="F37" s="364"/>
      <c r="G37" s="486"/>
      <c r="H37" s="364"/>
      <c r="I37" s="486"/>
      <c r="J37" s="364"/>
      <c r="K37" s="486"/>
      <c r="L37" s="364"/>
      <c r="M37" s="486"/>
      <c r="N37" s="568"/>
      <c r="O37" s="342">
        <f t="shared" si="7"/>
        <v>10</v>
      </c>
      <c r="P37" s="706">
        <v>1</v>
      </c>
      <c r="Q37" s="7">
        <v>4.5</v>
      </c>
      <c r="R37" s="109"/>
      <c r="S37" s="285">
        <v>46508</v>
      </c>
      <c r="T37" s="322">
        <v>0</v>
      </c>
      <c r="U37" s="318"/>
      <c r="V37" s="83">
        <v>45474</v>
      </c>
      <c r="W37" s="318">
        <v>1</v>
      </c>
      <c r="X37" s="310">
        <v>4</v>
      </c>
      <c r="Y37" s="310">
        <v>6</v>
      </c>
      <c r="Z37" s="310">
        <v>2</v>
      </c>
      <c r="AA37" s="184">
        <f t="shared" si="8"/>
        <v>13</v>
      </c>
      <c r="AB37" s="185">
        <f t="shared" si="9"/>
        <v>3.25</v>
      </c>
      <c r="AC37" s="185">
        <f t="shared" si="10"/>
        <v>13</v>
      </c>
      <c r="AD37" s="185">
        <f t="shared" si="11"/>
        <v>26</v>
      </c>
    </row>
    <row r="38" spans="1:30" x14ac:dyDescent="0.25">
      <c r="A38" s="314">
        <f t="shared" si="5"/>
        <v>37</v>
      </c>
      <c r="B38" s="651" t="s">
        <v>604</v>
      </c>
      <c r="C38" s="661">
        <v>2</v>
      </c>
      <c r="D38" s="363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342">
        <f t="shared" si="7"/>
        <v>2</v>
      </c>
      <c r="P38" s="692">
        <f t="shared" si="6"/>
        <v>2</v>
      </c>
      <c r="Q38" s="7">
        <v>14</v>
      </c>
      <c r="R38" s="64"/>
      <c r="S38" s="662">
        <v>45901</v>
      </c>
      <c r="T38" s="322">
        <v>3</v>
      </c>
      <c r="U38" s="316"/>
      <c r="V38" s="81">
        <v>45413</v>
      </c>
      <c r="W38" s="127">
        <v>1</v>
      </c>
      <c r="X38" s="318"/>
      <c r="Y38" s="318">
        <v>1</v>
      </c>
      <c r="Z38" s="318"/>
      <c r="AA38" s="184">
        <f t="shared" si="8"/>
        <v>2</v>
      </c>
      <c r="AB38" s="185">
        <f t="shared" si="9"/>
        <v>0.5</v>
      </c>
      <c r="AC38" s="185">
        <f t="shared" si="10"/>
        <v>2</v>
      </c>
      <c r="AD38" s="185">
        <f t="shared" si="11"/>
        <v>4</v>
      </c>
    </row>
    <row r="39" spans="1:30" x14ac:dyDescent="0.25">
      <c r="A39" s="314">
        <f t="shared" si="5"/>
        <v>38</v>
      </c>
      <c r="B39" s="314" t="s">
        <v>603</v>
      </c>
      <c r="C39" s="413">
        <v>1</v>
      </c>
      <c r="D39" s="363"/>
      <c r="E39" s="481"/>
      <c r="F39" s="369"/>
      <c r="G39" s="481"/>
      <c r="H39" s="369"/>
      <c r="I39" s="480"/>
      <c r="J39" s="360">
        <v>1</v>
      </c>
      <c r="K39" s="480"/>
      <c r="L39" s="360"/>
      <c r="M39" s="480"/>
      <c r="N39" s="562"/>
      <c r="O39" s="342">
        <f t="shared" si="7"/>
        <v>0</v>
      </c>
      <c r="P39" s="692">
        <f t="shared" si="6"/>
        <v>2</v>
      </c>
      <c r="Q39" s="7">
        <v>14</v>
      </c>
      <c r="R39" s="10"/>
      <c r="S39" s="285">
        <v>46327</v>
      </c>
      <c r="T39" s="322">
        <v>2</v>
      </c>
      <c r="U39" s="316"/>
      <c r="V39" s="118">
        <v>45413</v>
      </c>
      <c r="W39" s="127"/>
      <c r="X39" s="318">
        <v>1</v>
      </c>
      <c r="Y39" s="318"/>
      <c r="Z39" s="318"/>
      <c r="AA39" s="184">
        <f t="shared" si="8"/>
        <v>1</v>
      </c>
      <c r="AB39" s="185">
        <f t="shared" si="9"/>
        <v>0.25</v>
      </c>
      <c r="AC39" s="185">
        <f t="shared" si="10"/>
        <v>1</v>
      </c>
      <c r="AD39" s="185">
        <f t="shared" si="11"/>
        <v>2</v>
      </c>
    </row>
    <row r="40" spans="1:30" x14ac:dyDescent="0.25">
      <c r="A40" s="314">
        <f t="shared" si="5"/>
        <v>39</v>
      </c>
      <c r="B40" s="651" t="s">
        <v>482</v>
      </c>
      <c r="C40" s="653">
        <v>24</v>
      </c>
      <c r="D40" s="359"/>
      <c r="E40" s="478"/>
      <c r="F40" s="359"/>
      <c r="G40" s="478"/>
      <c r="H40" s="359"/>
      <c r="I40" s="478"/>
      <c r="J40" s="359"/>
      <c r="K40" s="478"/>
      <c r="L40" s="359"/>
      <c r="M40" s="478">
        <v>5</v>
      </c>
      <c r="N40" s="561"/>
      <c r="O40" s="342">
        <f t="shared" si="7"/>
        <v>19</v>
      </c>
      <c r="P40" s="692">
        <f t="shared" si="6"/>
        <v>43</v>
      </c>
      <c r="Q40" s="7">
        <v>6</v>
      </c>
      <c r="R40" s="68"/>
      <c r="S40" s="654">
        <v>45870</v>
      </c>
      <c r="T40" s="313">
        <v>0</v>
      </c>
      <c r="U40" s="313"/>
      <c r="V40" s="118">
        <v>45627</v>
      </c>
      <c r="W40" s="28">
        <v>1</v>
      </c>
      <c r="X40" s="28">
        <v>1</v>
      </c>
      <c r="Y40" s="28">
        <v>17</v>
      </c>
      <c r="Z40" s="429">
        <v>12</v>
      </c>
      <c r="AA40" s="184">
        <f t="shared" si="8"/>
        <v>31</v>
      </c>
      <c r="AB40" s="185">
        <f t="shared" si="9"/>
        <v>7.75</v>
      </c>
      <c r="AC40" s="185">
        <f t="shared" si="10"/>
        <v>31</v>
      </c>
      <c r="AD40" s="185">
        <f t="shared" si="11"/>
        <v>62</v>
      </c>
    </row>
    <row r="41" spans="1:30" x14ac:dyDescent="0.25">
      <c r="A41" s="314">
        <f t="shared" si="5"/>
        <v>40</v>
      </c>
      <c r="B41" s="314" t="s">
        <v>483</v>
      </c>
      <c r="C41" s="340">
        <v>0</v>
      </c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342">
        <f t="shared" si="7"/>
        <v>0</v>
      </c>
      <c r="P41" s="706">
        <f t="shared" si="6"/>
        <v>38</v>
      </c>
      <c r="Q41" s="7">
        <v>4</v>
      </c>
      <c r="R41" s="688" t="s">
        <v>883</v>
      </c>
      <c r="S41" s="83">
        <v>46143</v>
      </c>
      <c r="T41" s="313">
        <v>0</v>
      </c>
      <c r="U41" s="313"/>
      <c r="V41" s="118">
        <v>45658</v>
      </c>
      <c r="W41" s="28">
        <v>3</v>
      </c>
      <c r="X41" s="28">
        <v>2</v>
      </c>
      <c r="Y41" s="28">
        <v>9</v>
      </c>
      <c r="Z41" s="429">
        <v>5</v>
      </c>
      <c r="AA41" s="184">
        <f t="shared" si="8"/>
        <v>19</v>
      </c>
      <c r="AB41" s="185">
        <f t="shared" si="9"/>
        <v>4.75</v>
      </c>
      <c r="AC41" s="185">
        <f t="shared" si="10"/>
        <v>19</v>
      </c>
      <c r="AD41" s="185">
        <f t="shared" si="11"/>
        <v>38</v>
      </c>
    </row>
    <row r="42" spans="1:30" x14ac:dyDescent="0.25">
      <c r="A42" s="314">
        <f t="shared" si="5"/>
        <v>41</v>
      </c>
      <c r="B42" s="314" t="s">
        <v>1078</v>
      </c>
      <c r="C42" s="340">
        <v>3</v>
      </c>
      <c r="D42" s="359"/>
      <c r="E42" s="478"/>
      <c r="F42" s="359"/>
      <c r="G42" s="480"/>
      <c r="H42" s="360"/>
      <c r="I42" s="480"/>
      <c r="J42" s="360"/>
      <c r="K42" s="480"/>
      <c r="L42" s="360"/>
      <c r="M42" s="480"/>
      <c r="N42" s="562"/>
      <c r="O42" s="342">
        <f t="shared" si="7"/>
        <v>3</v>
      </c>
      <c r="P42" s="692">
        <f t="shared" si="6"/>
        <v>7</v>
      </c>
      <c r="Q42" s="7">
        <v>18</v>
      </c>
      <c r="R42" s="8"/>
      <c r="S42" s="83">
        <v>46296</v>
      </c>
      <c r="T42" s="313">
        <v>4</v>
      </c>
      <c r="U42" s="316"/>
      <c r="V42" s="81">
        <v>45627</v>
      </c>
      <c r="W42" s="14">
        <v>1</v>
      </c>
      <c r="X42" s="28">
        <v>1</v>
      </c>
      <c r="Y42" s="28">
        <v>1</v>
      </c>
      <c r="Z42" s="28">
        <v>2</v>
      </c>
      <c r="AA42" s="184">
        <f t="shared" si="8"/>
        <v>5</v>
      </c>
      <c r="AB42" s="185">
        <f t="shared" si="9"/>
        <v>1.25</v>
      </c>
      <c r="AC42" s="185">
        <f t="shared" si="10"/>
        <v>5</v>
      </c>
      <c r="AD42" s="185">
        <f t="shared" si="11"/>
        <v>10</v>
      </c>
    </row>
    <row r="43" spans="1:30" x14ac:dyDescent="0.25">
      <c r="A43" s="314">
        <f t="shared" si="5"/>
        <v>42</v>
      </c>
      <c r="B43" s="314" t="s">
        <v>650</v>
      </c>
      <c r="C43" s="413">
        <v>8</v>
      </c>
      <c r="D43" s="363"/>
      <c r="E43" s="478"/>
      <c r="F43" s="359"/>
      <c r="G43" s="478"/>
      <c r="H43" s="359"/>
      <c r="I43" s="478">
        <v>1</v>
      </c>
      <c r="J43" s="359"/>
      <c r="K43" s="478"/>
      <c r="L43" s="359"/>
      <c r="M43" s="478"/>
      <c r="N43" s="561"/>
      <c r="O43" s="342">
        <f t="shared" si="7"/>
        <v>7</v>
      </c>
      <c r="P43" s="706">
        <v>4</v>
      </c>
      <c r="Q43" s="7">
        <v>50</v>
      </c>
      <c r="R43" s="66"/>
      <c r="S43" s="83">
        <v>46143</v>
      </c>
      <c r="T43" s="92">
        <v>5</v>
      </c>
      <c r="U43" s="318"/>
      <c r="V43" s="83">
        <v>45658</v>
      </c>
      <c r="W43" s="315">
        <v>1</v>
      </c>
      <c r="X43" s="315">
        <v>2</v>
      </c>
      <c r="Y43" s="315">
        <v>3</v>
      </c>
      <c r="Z43" s="315">
        <v>1</v>
      </c>
      <c r="AA43" s="184">
        <f t="shared" si="8"/>
        <v>7</v>
      </c>
      <c r="AB43" s="185">
        <f t="shared" si="9"/>
        <v>1.75</v>
      </c>
      <c r="AC43" s="185">
        <f t="shared" si="10"/>
        <v>7</v>
      </c>
      <c r="AD43" s="185">
        <f t="shared" si="11"/>
        <v>14</v>
      </c>
    </row>
    <row r="44" spans="1:30" x14ac:dyDescent="0.25">
      <c r="A44" s="314">
        <f t="shared" si="5"/>
        <v>43</v>
      </c>
      <c r="B44" s="314" t="s">
        <v>1079</v>
      </c>
      <c r="C44" s="340">
        <v>4</v>
      </c>
      <c r="D44" s="359"/>
      <c r="E44" s="478"/>
      <c r="F44" s="359"/>
      <c r="G44" s="478"/>
      <c r="H44" s="359"/>
      <c r="I44" s="478"/>
      <c r="J44" s="361"/>
      <c r="K44" s="482"/>
      <c r="L44" s="359"/>
      <c r="M44" s="478">
        <v>3</v>
      </c>
      <c r="N44" s="561"/>
      <c r="O44" s="342">
        <f t="shared" si="7"/>
        <v>1</v>
      </c>
      <c r="P44" s="692">
        <f t="shared" si="6"/>
        <v>15</v>
      </c>
      <c r="Q44" s="7">
        <v>17</v>
      </c>
      <c r="R44" s="68"/>
      <c r="S44" s="434">
        <v>46388</v>
      </c>
      <c r="T44" s="318">
        <v>4</v>
      </c>
      <c r="U44" s="318">
        <v>4</v>
      </c>
      <c r="V44" s="344">
        <v>45717</v>
      </c>
      <c r="W44" s="309">
        <v>1</v>
      </c>
      <c r="X44" s="309">
        <v>3</v>
      </c>
      <c r="Y44" s="309">
        <v>1</v>
      </c>
      <c r="Z44" s="429">
        <v>3</v>
      </c>
      <c r="AA44" s="184">
        <f t="shared" si="8"/>
        <v>8</v>
      </c>
      <c r="AB44" s="185">
        <f t="shared" si="9"/>
        <v>2</v>
      </c>
      <c r="AC44" s="185">
        <f t="shared" si="10"/>
        <v>8</v>
      </c>
      <c r="AD44" s="185">
        <f t="shared" si="11"/>
        <v>16</v>
      </c>
    </row>
    <row r="45" spans="1:30" x14ac:dyDescent="0.25">
      <c r="A45" s="314">
        <f t="shared" si="5"/>
        <v>44</v>
      </c>
      <c r="B45" s="314" t="s">
        <v>944</v>
      </c>
      <c r="C45" s="340">
        <v>17</v>
      </c>
      <c r="D45" s="361"/>
      <c r="E45" s="482"/>
      <c r="F45" s="361"/>
      <c r="G45" s="482"/>
      <c r="H45" s="361"/>
      <c r="I45" s="482"/>
      <c r="J45" s="361"/>
      <c r="K45" s="482"/>
      <c r="L45" s="361"/>
      <c r="M45" s="482"/>
      <c r="N45" s="563"/>
      <c r="O45" s="342">
        <f t="shared" si="7"/>
        <v>17</v>
      </c>
      <c r="P45" s="692">
        <f t="shared" si="6"/>
        <v>31</v>
      </c>
      <c r="Q45" s="7">
        <v>10</v>
      </c>
      <c r="R45" s="459" t="s">
        <v>883</v>
      </c>
      <c r="S45" s="344">
        <v>46388</v>
      </c>
      <c r="T45" s="318">
        <v>5</v>
      </c>
      <c r="U45" s="318">
        <v>3</v>
      </c>
      <c r="V45" s="344">
        <v>45717</v>
      </c>
      <c r="W45" s="309">
        <v>3</v>
      </c>
      <c r="X45" s="309">
        <v>6</v>
      </c>
      <c r="Y45" s="309">
        <v>4</v>
      </c>
      <c r="Z45" s="429">
        <v>11</v>
      </c>
      <c r="AA45" s="184">
        <f t="shared" si="8"/>
        <v>24</v>
      </c>
      <c r="AB45" s="185">
        <f t="shared" si="9"/>
        <v>6</v>
      </c>
      <c r="AC45" s="185">
        <f t="shared" si="10"/>
        <v>24</v>
      </c>
      <c r="AD45" s="185">
        <f t="shared" si="11"/>
        <v>48</v>
      </c>
    </row>
    <row r="46" spans="1:30" x14ac:dyDescent="0.25">
      <c r="A46" s="314">
        <f t="shared" si="5"/>
        <v>45</v>
      </c>
      <c r="B46" s="314" t="s">
        <v>1080</v>
      </c>
      <c r="C46" s="415">
        <v>2</v>
      </c>
      <c r="D46" s="359"/>
      <c r="E46" s="478"/>
      <c r="F46" s="360"/>
      <c r="G46" s="480"/>
      <c r="H46" s="360"/>
      <c r="I46" s="480"/>
      <c r="J46" s="360"/>
      <c r="K46" s="480"/>
      <c r="L46" s="360"/>
      <c r="M46" s="480"/>
      <c r="N46" s="562"/>
      <c r="O46" s="342">
        <f t="shared" si="7"/>
        <v>2</v>
      </c>
      <c r="P46" s="692">
        <f t="shared" si="6"/>
        <v>8</v>
      </c>
      <c r="Q46" s="7">
        <v>19</v>
      </c>
      <c r="R46" s="64"/>
      <c r="S46" s="344">
        <v>46874</v>
      </c>
      <c r="T46" s="310">
        <v>4</v>
      </c>
      <c r="U46" s="318">
        <v>6</v>
      </c>
      <c r="V46" s="344">
        <v>45717</v>
      </c>
      <c r="W46" s="309">
        <v>1</v>
      </c>
      <c r="X46" s="309">
        <v>2</v>
      </c>
      <c r="Y46" s="309">
        <v>1</v>
      </c>
      <c r="Z46" s="309">
        <v>1</v>
      </c>
      <c r="AA46" s="184">
        <f t="shared" si="8"/>
        <v>5</v>
      </c>
      <c r="AB46" s="185">
        <f t="shared" si="9"/>
        <v>1.25</v>
      </c>
      <c r="AC46" s="185">
        <f t="shared" si="10"/>
        <v>5</v>
      </c>
      <c r="AD46" s="185">
        <f t="shared" si="11"/>
        <v>10</v>
      </c>
    </row>
    <row r="47" spans="1:30" x14ac:dyDescent="0.25">
      <c r="A47" s="314">
        <f t="shared" si="5"/>
        <v>46</v>
      </c>
      <c r="B47" s="314" t="s">
        <v>1081</v>
      </c>
      <c r="C47" s="340">
        <v>71</v>
      </c>
      <c r="D47" s="360">
        <v>5</v>
      </c>
      <c r="E47" s="480"/>
      <c r="F47" s="360"/>
      <c r="G47" s="480"/>
      <c r="H47" s="364"/>
      <c r="I47" s="480"/>
      <c r="J47" s="381"/>
      <c r="K47" s="480"/>
      <c r="L47" s="364">
        <v>2</v>
      </c>
      <c r="M47" s="480">
        <v>1</v>
      </c>
      <c r="N47" s="562"/>
      <c r="O47" s="342">
        <f t="shared" si="7"/>
        <v>63</v>
      </c>
      <c r="P47" s="692">
        <f t="shared" si="6"/>
        <v>29</v>
      </c>
      <c r="Q47" s="7">
        <v>1</v>
      </c>
      <c r="R47" s="63"/>
      <c r="S47" s="28"/>
      <c r="T47" s="316">
        <v>6</v>
      </c>
      <c r="U47" s="316">
        <v>5</v>
      </c>
      <c r="V47" s="344">
        <v>45717</v>
      </c>
      <c r="W47" s="309">
        <v>5</v>
      </c>
      <c r="X47" s="309">
        <v>21</v>
      </c>
      <c r="Y47" s="309">
        <v>14</v>
      </c>
      <c r="Z47" s="309">
        <v>6</v>
      </c>
      <c r="AA47" s="184">
        <f t="shared" si="8"/>
        <v>46</v>
      </c>
      <c r="AB47" s="185">
        <f t="shared" si="9"/>
        <v>11.5</v>
      </c>
      <c r="AC47" s="185">
        <f t="shared" si="10"/>
        <v>46</v>
      </c>
      <c r="AD47" s="185">
        <f t="shared" si="11"/>
        <v>92</v>
      </c>
    </row>
    <row r="48" spans="1:30" x14ac:dyDescent="0.25">
      <c r="A48" s="314">
        <f t="shared" si="5"/>
        <v>47</v>
      </c>
      <c r="B48" s="314" t="s">
        <v>1082</v>
      </c>
      <c r="C48" s="340">
        <v>67</v>
      </c>
      <c r="D48" s="359">
        <v>1</v>
      </c>
      <c r="E48" s="478"/>
      <c r="F48" s="360"/>
      <c r="G48" s="480"/>
      <c r="H48" s="364"/>
      <c r="I48" s="480"/>
      <c r="J48" s="381"/>
      <c r="K48" s="480"/>
      <c r="L48" s="364"/>
      <c r="M48" s="480">
        <v>1</v>
      </c>
      <c r="N48" s="562"/>
      <c r="O48" s="342">
        <f t="shared" si="7"/>
        <v>65</v>
      </c>
      <c r="P48" s="692">
        <f t="shared" si="6"/>
        <v>63</v>
      </c>
      <c r="Q48" s="10">
        <v>1</v>
      </c>
      <c r="R48" s="63"/>
      <c r="S48" s="28"/>
      <c r="T48" s="316">
        <v>1</v>
      </c>
      <c r="U48" s="316"/>
      <c r="V48" s="344">
        <v>45505</v>
      </c>
      <c r="W48" s="309">
        <v>54</v>
      </c>
      <c r="X48" s="309">
        <v>2</v>
      </c>
      <c r="Y48" s="309">
        <v>6</v>
      </c>
      <c r="Z48" s="309">
        <v>2</v>
      </c>
      <c r="AA48" s="184">
        <f t="shared" si="8"/>
        <v>64</v>
      </c>
      <c r="AB48" s="185">
        <f t="shared" si="9"/>
        <v>16</v>
      </c>
      <c r="AC48" s="185">
        <f t="shared" si="10"/>
        <v>64</v>
      </c>
      <c r="AD48" s="185">
        <f t="shared" si="11"/>
        <v>128</v>
      </c>
    </row>
    <row r="49" spans="1:30" x14ac:dyDescent="0.25">
      <c r="A49" s="314">
        <f t="shared" si="5"/>
        <v>48</v>
      </c>
      <c r="B49" s="314" t="s">
        <v>1083</v>
      </c>
      <c r="C49" s="340">
        <v>48</v>
      </c>
      <c r="D49" s="367"/>
      <c r="E49" s="479"/>
      <c r="F49" s="364"/>
      <c r="G49" s="486"/>
      <c r="H49" s="364"/>
      <c r="I49" s="486"/>
      <c r="J49" s="381"/>
      <c r="K49" s="487"/>
      <c r="L49" s="364"/>
      <c r="M49" s="486">
        <v>4</v>
      </c>
      <c r="N49" s="568"/>
      <c r="O49" s="342">
        <f t="shared" si="7"/>
        <v>44</v>
      </c>
      <c r="P49" s="342">
        <f t="shared" si="6"/>
        <v>-26</v>
      </c>
      <c r="Q49" s="7">
        <v>1</v>
      </c>
      <c r="R49" s="91" t="s">
        <v>847</v>
      </c>
      <c r="S49" s="112"/>
      <c r="T49" s="322">
        <v>0</v>
      </c>
      <c r="U49" s="322"/>
      <c r="V49" s="197">
        <v>45383</v>
      </c>
      <c r="W49" s="189">
        <v>2</v>
      </c>
      <c r="X49" s="189">
        <v>1</v>
      </c>
      <c r="Y49" s="189">
        <v>1</v>
      </c>
      <c r="Z49" s="189">
        <v>5</v>
      </c>
      <c r="AA49" s="184">
        <f t="shared" si="8"/>
        <v>9</v>
      </c>
      <c r="AB49" s="185">
        <f t="shared" si="9"/>
        <v>2.25</v>
      </c>
      <c r="AC49" s="185">
        <f t="shared" si="10"/>
        <v>9</v>
      </c>
      <c r="AD49" s="185">
        <f t="shared" si="11"/>
        <v>18</v>
      </c>
    </row>
    <row r="50" spans="1:30" x14ac:dyDescent="0.25">
      <c r="A50" s="314">
        <f t="shared" si="5"/>
        <v>49</v>
      </c>
      <c r="B50" s="314" t="s">
        <v>939</v>
      </c>
      <c r="C50" s="435">
        <v>1</v>
      </c>
      <c r="D50" s="363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342">
        <f t="shared" si="7"/>
        <v>1</v>
      </c>
      <c r="P50" s="692">
        <f t="shared" si="6"/>
        <v>1</v>
      </c>
      <c r="Q50" s="448">
        <v>85</v>
      </c>
      <c r="R50" s="66"/>
      <c r="S50" s="83">
        <v>46023</v>
      </c>
      <c r="T50" s="92">
        <v>2</v>
      </c>
      <c r="U50" s="318"/>
      <c r="V50" s="83">
        <v>45627</v>
      </c>
      <c r="W50" s="315">
        <v>1</v>
      </c>
      <c r="X50" s="315"/>
      <c r="Y50" s="315"/>
      <c r="Z50" s="315"/>
      <c r="AA50" s="184">
        <f t="shared" si="8"/>
        <v>1</v>
      </c>
      <c r="AB50" s="185">
        <f t="shared" si="9"/>
        <v>0.25</v>
      </c>
      <c r="AC50" s="185">
        <f t="shared" si="10"/>
        <v>1</v>
      </c>
      <c r="AD50" s="185">
        <f t="shared" si="11"/>
        <v>2</v>
      </c>
    </row>
    <row r="51" spans="1:30" x14ac:dyDescent="0.25">
      <c r="A51" s="314">
        <f t="shared" si="5"/>
        <v>50</v>
      </c>
      <c r="B51" s="314" t="s">
        <v>460</v>
      </c>
      <c r="C51" s="340">
        <v>2</v>
      </c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342">
        <f t="shared" si="7"/>
        <v>2</v>
      </c>
      <c r="P51" s="692">
        <f t="shared" si="6"/>
        <v>6</v>
      </c>
      <c r="Q51" s="7">
        <v>53</v>
      </c>
      <c r="R51" s="68"/>
      <c r="S51" s="337">
        <v>46327</v>
      </c>
      <c r="T51" s="318">
        <v>3</v>
      </c>
      <c r="U51" s="318">
        <v>3</v>
      </c>
      <c r="V51" s="199">
        <v>45717</v>
      </c>
      <c r="W51" s="309">
        <v>1</v>
      </c>
      <c r="X51" s="309">
        <v>1</v>
      </c>
      <c r="Y51" s="309">
        <v>1</v>
      </c>
      <c r="Z51" s="429">
        <v>1</v>
      </c>
      <c r="AA51" s="184">
        <f t="shared" si="8"/>
        <v>4</v>
      </c>
      <c r="AB51" s="185">
        <f t="shared" si="9"/>
        <v>1</v>
      </c>
      <c r="AC51" s="185">
        <f t="shared" si="10"/>
        <v>4</v>
      </c>
      <c r="AD51" s="185">
        <f t="shared" si="11"/>
        <v>8</v>
      </c>
    </row>
    <row r="52" spans="1:30" x14ac:dyDescent="0.25">
      <c r="A52" s="314">
        <f t="shared" si="5"/>
        <v>51</v>
      </c>
      <c r="B52" s="314" t="s">
        <v>942</v>
      </c>
      <c r="C52" s="413">
        <v>0</v>
      </c>
      <c r="D52" s="360"/>
      <c r="E52" s="480"/>
      <c r="F52" s="360"/>
      <c r="G52" s="480"/>
      <c r="H52" s="360"/>
      <c r="I52" s="480"/>
      <c r="J52" s="360"/>
      <c r="K52" s="480"/>
      <c r="L52" s="360"/>
      <c r="M52" s="480"/>
      <c r="N52" s="562"/>
      <c r="O52" s="342">
        <f t="shared" si="7"/>
        <v>0</v>
      </c>
      <c r="P52" s="692">
        <f t="shared" si="6"/>
        <v>4</v>
      </c>
      <c r="Q52" s="10">
        <v>14</v>
      </c>
      <c r="R52" s="63"/>
      <c r="S52" s="81">
        <v>46327</v>
      </c>
      <c r="T52" s="92">
        <v>4</v>
      </c>
      <c r="V52" s="81">
        <v>45627</v>
      </c>
      <c r="X52" s="14">
        <v>1</v>
      </c>
      <c r="Y52" s="28">
        <v>1</v>
      </c>
      <c r="AA52" s="184">
        <f t="shared" si="8"/>
        <v>2</v>
      </c>
      <c r="AB52" s="185">
        <f t="shared" si="9"/>
        <v>0.5</v>
      </c>
      <c r="AC52" s="185">
        <f t="shared" si="10"/>
        <v>2</v>
      </c>
      <c r="AD52" s="185">
        <f t="shared" si="11"/>
        <v>4</v>
      </c>
    </row>
    <row r="53" spans="1:30" x14ac:dyDescent="0.25">
      <c r="A53" s="314">
        <f t="shared" si="5"/>
        <v>52</v>
      </c>
      <c r="B53" s="314" t="s">
        <v>659</v>
      </c>
      <c r="C53" s="340">
        <v>13</v>
      </c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342">
        <f t="shared" si="7"/>
        <v>13</v>
      </c>
      <c r="P53" s="692">
        <f t="shared" si="6"/>
        <v>7</v>
      </c>
      <c r="Q53" s="7">
        <v>9</v>
      </c>
      <c r="R53" s="106"/>
      <c r="S53" s="99">
        <v>46174</v>
      </c>
      <c r="T53" s="273">
        <v>2</v>
      </c>
      <c r="U53" s="273"/>
      <c r="V53" s="81">
        <v>45474</v>
      </c>
      <c r="W53" s="309">
        <v>1</v>
      </c>
      <c r="X53" s="309">
        <v>6</v>
      </c>
      <c r="Y53" s="309">
        <v>2</v>
      </c>
      <c r="Z53" s="429">
        <v>1</v>
      </c>
      <c r="AA53" s="184">
        <f t="shared" si="8"/>
        <v>10</v>
      </c>
      <c r="AB53" s="185">
        <f t="shared" si="9"/>
        <v>2.5</v>
      </c>
      <c r="AC53" s="185">
        <f t="shared" si="10"/>
        <v>10</v>
      </c>
      <c r="AD53" s="185">
        <f t="shared" si="11"/>
        <v>20</v>
      </c>
    </row>
    <row r="54" spans="1:30" x14ac:dyDescent="0.25">
      <c r="A54" s="314">
        <f t="shared" si="5"/>
        <v>53</v>
      </c>
      <c r="B54" s="314" t="s">
        <v>1178</v>
      </c>
      <c r="C54" s="413">
        <v>3</v>
      </c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342">
        <f t="shared" si="7"/>
        <v>3</v>
      </c>
      <c r="P54" s="692">
        <f t="shared" si="6"/>
        <v>5</v>
      </c>
      <c r="Q54" s="448">
        <v>15</v>
      </c>
      <c r="R54" s="8"/>
      <c r="S54" s="118">
        <v>46905</v>
      </c>
      <c r="T54" s="322">
        <v>7</v>
      </c>
      <c r="U54" s="318"/>
      <c r="V54" s="344">
        <v>45627</v>
      </c>
      <c r="W54" s="309">
        <v>1</v>
      </c>
      <c r="X54" s="309">
        <v>1</v>
      </c>
      <c r="Y54" s="309">
        <v>1</v>
      </c>
      <c r="Z54" s="309">
        <v>1</v>
      </c>
      <c r="AA54" s="184">
        <f t="shared" si="8"/>
        <v>4</v>
      </c>
      <c r="AB54" s="185">
        <f t="shared" si="9"/>
        <v>1</v>
      </c>
      <c r="AC54" s="185">
        <f t="shared" si="10"/>
        <v>4</v>
      </c>
      <c r="AD54" s="185">
        <f t="shared" si="11"/>
        <v>8</v>
      </c>
    </row>
    <row r="55" spans="1:30" x14ac:dyDescent="0.25">
      <c r="A55" s="314">
        <f t="shared" si="5"/>
        <v>54</v>
      </c>
      <c r="B55" s="314" t="s">
        <v>1179</v>
      </c>
      <c r="C55" s="413">
        <v>5</v>
      </c>
      <c r="D55" s="363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342">
        <f t="shared" si="7"/>
        <v>5</v>
      </c>
      <c r="P55" s="692">
        <f t="shared" si="6"/>
        <v>7</v>
      </c>
      <c r="Q55" s="448">
        <v>9</v>
      </c>
      <c r="R55" s="66"/>
      <c r="S55" s="83">
        <v>46905</v>
      </c>
      <c r="T55" s="92">
        <v>7</v>
      </c>
      <c r="U55" s="318"/>
      <c r="V55" s="83">
        <v>45658</v>
      </c>
      <c r="W55" s="315">
        <v>1</v>
      </c>
      <c r="X55" s="315">
        <v>1</v>
      </c>
      <c r="Y55" s="315">
        <v>3</v>
      </c>
      <c r="Z55" s="315">
        <v>1</v>
      </c>
      <c r="AA55" s="184">
        <f t="shared" si="8"/>
        <v>6</v>
      </c>
      <c r="AB55" s="185">
        <f t="shared" si="9"/>
        <v>1.5</v>
      </c>
      <c r="AC55" s="185">
        <f t="shared" si="10"/>
        <v>6</v>
      </c>
      <c r="AD55" s="185">
        <f t="shared" si="11"/>
        <v>12</v>
      </c>
    </row>
    <row r="56" spans="1:30" x14ac:dyDescent="0.25">
      <c r="A56" s="314">
        <f t="shared" si="5"/>
        <v>55</v>
      </c>
      <c r="B56" s="314" t="s">
        <v>1180</v>
      </c>
      <c r="C56" s="413">
        <v>2</v>
      </c>
      <c r="D56" s="363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342">
        <f t="shared" si="7"/>
        <v>2</v>
      </c>
      <c r="P56" s="692">
        <f t="shared" si="6"/>
        <v>10</v>
      </c>
      <c r="Q56" s="448">
        <v>15</v>
      </c>
      <c r="R56" s="66"/>
      <c r="S56" s="83">
        <v>46419</v>
      </c>
      <c r="T56" s="92">
        <v>7</v>
      </c>
      <c r="U56" s="318"/>
      <c r="V56" s="83">
        <v>45597</v>
      </c>
      <c r="W56" s="315">
        <v>1</v>
      </c>
      <c r="X56" s="315">
        <v>1</v>
      </c>
      <c r="Y56" s="315">
        <v>1</v>
      </c>
      <c r="Z56" s="315">
        <v>3</v>
      </c>
      <c r="AA56" s="184">
        <f t="shared" si="8"/>
        <v>6</v>
      </c>
      <c r="AB56" s="185">
        <f t="shared" si="9"/>
        <v>1.5</v>
      </c>
      <c r="AC56" s="185">
        <f t="shared" si="10"/>
        <v>6</v>
      </c>
      <c r="AD56" s="185">
        <f t="shared" si="11"/>
        <v>12</v>
      </c>
    </row>
    <row r="57" spans="1:30" x14ac:dyDescent="0.25">
      <c r="A57" s="314">
        <f t="shared" si="5"/>
        <v>56</v>
      </c>
      <c r="B57" s="314" t="s">
        <v>1181</v>
      </c>
      <c r="C57" s="413">
        <v>4</v>
      </c>
      <c r="D57" s="363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342">
        <f t="shared" si="7"/>
        <v>4</v>
      </c>
      <c r="P57" s="692">
        <f t="shared" si="6"/>
        <v>6</v>
      </c>
      <c r="Q57" s="448">
        <v>9</v>
      </c>
      <c r="R57" s="66"/>
      <c r="S57" s="83">
        <v>46905</v>
      </c>
      <c r="T57" s="92">
        <v>9</v>
      </c>
      <c r="U57" s="318">
        <v>12</v>
      </c>
      <c r="V57" s="83">
        <v>45717</v>
      </c>
      <c r="W57" s="315">
        <v>1</v>
      </c>
      <c r="X57" s="315">
        <v>2</v>
      </c>
      <c r="Y57" s="315">
        <v>1</v>
      </c>
      <c r="Z57" s="315">
        <v>1</v>
      </c>
      <c r="AA57" s="184">
        <f t="shared" si="8"/>
        <v>5</v>
      </c>
      <c r="AB57" s="185">
        <f t="shared" si="9"/>
        <v>1.25</v>
      </c>
      <c r="AC57" s="185">
        <f t="shared" si="10"/>
        <v>5</v>
      </c>
      <c r="AD57" s="185">
        <f t="shared" si="11"/>
        <v>10</v>
      </c>
    </row>
    <row r="58" spans="1:30" x14ac:dyDescent="0.25">
      <c r="A58" s="314">
        <f t="shared" si="5"/>
        <v>57</v>
      </c>
      <c r="B58" s="4" t="s">
        <v>32</v>
      </c>
      <c r="C58" s="340">
        <v>140</v>
      </c>
      <c r="D58" s="359"/>
      <c r="E58" s="478"/>
      <c r="F58" s="360"/>
      <c r="G58" s="480"/>
      <c r="H58" s="360"/>
      <c r="I58" s="480"/>
      <c r="J58" s="360"/>
      <c r="K58" s="480">
        <v>2</v>
      </c>
      <c r="L58" s="360"/>
      <c r="M58" s="480"/>
      <c r="N58" s="562"/>
      <c r="O58" s="342">
        <f t="shared" si="7"/>
        <v>138</v>
      </c>
      <c r="P58" s="342">
        <f t="shared" si="6"/>
        <v>-88</v>
      </c>
      <c r="Q58" s="7">
        <v>1.4</v>
      </c>
      <c r="R58" s="8"/>
      <c r="S58" s="344">
        <v>47392</v>
      </c>
      <c r="T58" s="318">
        <v>0</v>
      </c>
      <c r="U58" s="318"/>
      <c r="V58" s="344">
        <v>45658</v>
      </c>
      <c r="W58" s="309">
        <v>3</v>
      </c>
      <c r="X58" s="309">
        <v>10</v>
      </c>
      <c r="Y58" s="309">
        <v>5</v>
      </c>
      <c r="Z58" s="309">
        <v>7</v>
      </c>
      <c r="AA58" s="184">
        <f t="shared" si="8"/>
        <v>25</v>
      </c>
      <c r="AB58" s="185">
        <f t="shared" si="9"/>
        <v>6.25</v>
      </c>
      <c r="AC58" s="185">
        <f t="shared" si="10"/>
        <v>25</v>
      </c>
      <c r="AD58" s="185">
        <f t="shared" si="11"/>
        <v>50</v>
      </c>
    </row>
    <row r="59" spans="1:30" x14ac:dyDescent="0.25">
      <c r="A59" s="314">
        <f t="shared" si="5"/>
        <v>58</v>
      </c>
      <c r="B59" s="314" t="s">
        <v>541</v>
      </c>
      <c r="C59" s="340">
        <v>13</v>
      </c>
      <c r="D59" s="359"/>
      <c r="E59" s="478"/>
      <c r="F59" s="359"/>
      <c r="G59" s="480"/>
      <c r="H59" s="360"/>
      <c r="I59" s="480"/>
      <c r="J59" s="360"/>
      <c r="K59" s="480"/>
      <c r="L59" s="360"/>
      <c r="M59" s="480"/>
      <c r="N59" s="562"/>
      <c r="O59" s="342">
        <f t="shared" si="7"/>
        <v>13</v>
      </c>
      <c r="P59" s="342">
        <f t="shared" si="6"/>
        <v>-3</v>
      </c>
      <c r="Q59" s="7">
        <v>5</v>
      </c>
      <c r="R59" s="8"/>
      <c r="S59" s="83">
        <v>46082</v>
      </c>
      <c r="T59" s="313">
        <v>0</v>
      </c>
      <c r="U59" s="313"/>
      <c r="V59" s="118">
        <v>45689</v>
      </c>
      <c r="W59" s="28">
        <v>1</v>
      </c>
      <c r="X59" s="28">
        <v>2</v>
      </c>
      <c r="Y59" s="28">
        <v>1</v>
      </c>
      <c r="Z59" s="429">
        <v>1</v>
      </c>
      <c r="AA59" s="184">
        <f t="shared" si="8"/>
        <v>5</v>
      </c>
      <c r="AB59" s="185">
        <f t="shared" si="9"/>
        <v>1.25</v>
      </c>
      <c r="AC59" s="185">
        <f t="shared" si="10"/>
        <v>5</v>
      </c>
      <c r="AD59" s="185">
        <f t="shared" si="11"/>
        <v>10</v>
      </c>
    </row>
    <row r="60" spans="1:30" x14ac:dyDescent="0.25">
      <c r="A60" s="314">
        <f t="shared" si="5"/>
        <v>59</v>
      </c>
      <c r="B60" s="314" t="s">
        <v>224</v>
      </c>
      <c r="C60" s="340">
        <v>23</v>
      </c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342">
        <f t="shared" si="7"/>
        <v>23</v>
      </c>
      <c r="P60" s="342">
        <f t="shared" si="6"/>
        <v>-5</v>
      </c>
      <c r="Q60" s="7">
        <v>18</v>
      </c>
      <c r="R60" s="63"/>
      <c r="S60" s="118">
        <v>46054</v>
      </c>
      <c r="T60" s="316">
        <v>1</v>
      </c>
      <c r="U60" s="316"/>
      <c r="V60" s="199">
        <v>45444</v>
      </c>
      <c r="W60" s="309">
        <v>2</v>
      </c>
      <c r="X60" s="107">
        <v>2</v>
      </c>
      <c r="Y60" s="309">
        <v>1</v>
      </c>
      <c r="Z60" s="309">
        <v>4</v>
      </c>
      <c r="AA60" s="184">
        <f t="shared" si="8"/>
        <v>9</v>
      </c>
      <c r="AB60" s="185">
        <f t="shared" si="9"/>
        <v>2.25</v>
      </c>
      <c r="AC60" s="185">
        <f t="shared" si="10"/>
        <v>9</v>
      </c>
      <c r="AD60" s="185">
        <f t="shared" si="11"/>
        <v>18</v>
      </c>
    </row>
    <row r="61" spans="1:30" x14ac:dyDescent="0.25">
      <c r="A61" s="314">
        <f t="shared" si="5"/>
        <v>60</v>
      </c>
      <c r="B61" s="651" t="s">
        <v>1085</v>
      </c>
      <c r="C61" s="658">
        <v>6</v>
      </c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342">
        <f t="shared" si="7"/>
        <v>6</v>
      </c>
      <c r="P61" s="706">
        <f t="shared" si="6"/>
        <v>148</v>
      </c>
      <c r="Q61" s="404">
        <v>4</v>
      </c>
      <c r="R61" s="106"/>
      <c r="S61" s="655">
        <v>45870</v>
      </c>
      <c r="T61" s="310">
        <v>0</v>
      </c>
      <c r="U61" s="318"/>
      <c r="V61" s="344">
        <v>45658</v>
      </c>
      <c r="W61" s="309">
        <v>5</v>
      </c>
      <c r="X61" s="309">
        <v>16</v>
      </c>
      <c r="Y61" s="309">
        <v>41</v>
      </c>
      <c r="Z61" s="429">
        <v>15</v>
      </c>
      <c r="AA61" s="184">
        <f t="shared" si="8"/>
        <v>77</v>
      </c>
      <c r="AB61" s="185">
        <f t="shared" si="9"/>
        <v>19.25</v>
      </c>
      <c r="AC61" s="185">
        <f t="shared" si="10"/>
        <v>77</v>
      </c>
      <c r="AD61" s="185">
        <f t="shared" si="11"/>
        <v>154</v>
      </c>
    </row>
    <row r="62" spans="1:30" x14ac:dyDescent="0.25">
      <c r="A62" s="314">
        <f t="shared" si="5"/>
        <v>61</v>
      </c>
      <c r="B62" s="314" t="s">
        <v>162</v>
      </c>
      <c r="C62" s="415">
        <v>3</v>
      </c>
      <c r="D62" s="361"/>
      <c r="E62" s="482"/>
      <c r="F62" s="361"/>
      <c r="G62" s="482"/>
      <c r="H62" s="361"/>
      <c r="I62" s="482"/>
      <c r="J62" s="359"/>
      <c r="K62" s="478"/>
      <c r="L62" s="361"/>
      <c r="M62" s="482"/>
      <c r="N62" s="563"/>
      <c r="O62" s="342">
        <f t="shared" si="7"/>
        <v>3</v>
      </c>
      <c r="P62" s="692">
        <f t="shared" si="6"/>
        <v>9</v>
      </c>
      <c r="Q62" s="7">
        <v>45</v>
      </c>
      <c r="R62" s="68"/>
      <c r="S62" s="199">
        <v>46478</v>
      </c>
      <c r="T62" s="318">
        <v>4</v>
      </c>
      <c r="U62" s="318"/>
      <c r="V62" s="199">
        <v>45566</v>
      </c>
      <c r="W62" s="309">
        <v>1</v>
      </c>
      <c r="X62" s="309">
        <v>3</v>
      </c>
      <c r="Y62" s="309">
        <v>1</v>
      </c>
      <c r="Z62" s="309">
        <v>1</v>
      </c>
      <c r="AA62" s="184">
        <f t="shared" si="8"/>
        <v>6</v>
      </c>
      <c r="AB62" s="185">
        <f t="shared" si="9"/>
        <v>1.5</v>
      </c>
      <c r="AC62" s="185">
        <f t="shared" si="10"/>
        <v>6</v>
      </c>
      <c r="AD62" s="185">
        <f t="shared" si="11"/>
        <v>12</v>
      </c>
    </row>
    <row r="63" spans="1:30" x14ac:dyDescent="0.25">
      <c r="A63" s="314">
        <f t="shared" si="5"/>
        <v>62</v>
      </c>
      <c r="B63" s="314" t="s">
        <v>1086</v>
      </c>
      <c r="C63" s="340">
        <v>18</v>
      </c>
      <c r="D63" s="363"/>
      <c r="E63" s="482"/>
      <c r="F63" s="359"/>
      <c r="G63" s="478"/>
      <c r="H63" s="359"/>
      <c r="I63" s="478"/>
      <c r="J63" s="359"/>
      <c r="K63" s="478"/>
      <c r="L63" s="359"/>
      <c r="M63" s="478"/>
      <c r="N63" s="561"/>
      <c r="O63" s="342">
        <f t="shared" si="7"/>
        <v>18</v>
      </c>
      <c r="P63" s="342">
        <f t="shared" si="6"/>
        <v>-3</v>
      </c>
      <c r="Q63" s="7">
        <v>3.3</v>
      </c>
      <c r="R63" s="66"/>
      <c r="S63" s="118">
        <v>46388</v>
      </c>
      <c r="T63" s="315">
        <v>1</v>
      </c>
      <c r="U63" s="318"/>
      <c r="V63" s="83">
        <v>45597</v>
      </c>
      <c r="W63" s="315">
        <v>1</v>
      </c>
      <c r="X63" s="315">
        <v>5</v>
      </c>
      <c r="Y63" s="315">
        <v>1</v>
      </c>
      <c r="Z63" s="315">
        <v>0.5</v>
      </c>
      <c r="AA63" s="184">
        <f t="shared" si="8"/>
        <v>7.5</v>
      </c>
      <c r="AB63" s="185">
        <f t="shared" si="9"/>
        <v>1.875</v>
      </c>
      <c r="AC63" s="185">
        <f t="shared" si="10"/>
        <v>7.5</v>
      </c>
      <c r="AD63" s="185">
        <f t="shared" si="11"/>
        <v>15</v>
      </c>
    </row>
    <row r="64" spans="1:30" x14ac:dyDescent="0.25">
      <c r="A64" s="314">
        <f t="shared" si="5"/>
        <v>63</v>
      </c>
      <c r="B64" s="314" t="s">
        <v>12</v>
      </c>
      <c r="C64" s="413">
        <v>5</v>
      </c>
      <c r="D64" s="359"/>
      <c r="E64" s="482"/>
      <c r="F64" s="359"/>
      <c r="G64" s="478"/>
      <c r="H64" s="359"/>
      <c r="I64" s="478"/>
      <c r="J64" s="361"/>
      <c r="K64" s="482"/>
      <c r="L64" s="359"/>
      <c r="M64" s="478"/>
      <c r="N64" s="561"/>
      <c r="O64" s="342">
        <f t="shared" si="7"/>
        <v>5</v>
      </c>
      <c r="P64" s="692">
        <f t="shared" si="6"/>
        <v>7</v>
      </c>
      <c r="Q64" s="448">
        <v>33</v>
      </c>
      <c r="R64" s="64"/>
      <c r="S64" s="344">
        <v>46388</v>
      </c>
      <c r="T64" s="322">
        <v>4</v>
      </c>
      <c r="U64" s="318"/>
      <c r="V64" s="199">
        <v>45658</v>
      </c>
      <c r="W64" s="127">
        <v>1</v>
      </c>
      <c r="X64" s="318">
        <v>3</v>
      </c>
      <c r="Y64" s="318">
        <v>1</v>
      </c>
      <c r="Z64" s="318">
        <v>1</v>
      </c>
      <c r="AA64" s="184">
        <f t="shared" si="8"/>
        <v>6</v>
      </c>
      <c r="AB64" s="185">
        <f t="shared" si="9"/>
        <v>1.5</v>
      </c>
      <c r="AC64" s="185">
        <f t="shared" si="10"/>
        <v>6</v>
      </c>
      <c r="AD64" s="185">
        <f t="shared" si="11"/>
        <v>12</v>
      </c>
    </row>
    <row r="65" spans="1:30" x14ac:dyDescent="0.25">
      <c r="A65" s="314">
        <f t="shared" si="5"/>
        <v>64</v>
      </c>
      <c r="B65" s="314" t="s">
        <v>174</v>
      </c>
      <c r="C65" s="415">
        <v>48</v>
      </c>
      <c r="D65" s="359"/>
      <c r="E65" s="478">
        <v>1</v>
      </c>
      <c r="F65" s="359"/>
      <c r="G65" s="478"/>
      <c r="H65" s="359"/>
      <c r="I65" s="478"/>
      <c r="J65" s="359">
        <v>2</v>
      </c>
      <c r="K65" s="478"/>
      <c r="L65" s="359"/>
      <c r="M65" s="478"/>
      <c r="N65" s="561"/>
      <c r="O65" s="342">
        <f t="shared" si="7"/>
        <v>45</v>
      </c>
      <c r="P65" s="692">
        <f t="shared" si="6"/>
        <v>31</v>
      </c>
      <c r="Q65" s="7">
        <v>2</v>
      </c>
      <c r="R65" s="28"/>
      <c r="S65" s="118">
        <v>46235</v>
      </c>
      <c r="T65" s="316">
        <v>1</v>
      </c>
      <c r="U65" s="316"/>
      <c r="V65" s="344">
        <v>45689</v>
      </c>
      <c r="W65" s="309">
        <v>7</v>
      </c>
      <c r="X65" s="309">
        <v>15</v>
      </c>
      <c r="Y65" s="309">
        <v>9</v>
      </c>
      <c r="Z65" s="309">
        <v>7</v>
      </c>
      <c r="AA65" s="184">
        <f t="shared" si="8"/>
        <v>38</v>
      </c>
      <c r="AB65" s="185">
        <f t="shared" si="9"/>
        <v>9.5</v>
      </c>
      <c r="AC65" s="185">
        <f t="shared" si="10"/>
        <v>38</v>
      </c>
      <c r="AD65" s="185">
        <f t="shared" si="11"/>
        <v>76</v>
      </c>
    </row>
    <row r="66" spans="1:30" x14ac:dyDescent="0.25">
      <c r="A66" s="314">
        <f t="shared" si="5"/>
        <v>65</v>
      </c>
      <c r="B66" s="314" t="s">
        <v>936</v>
      </c>
      <c r="C66" s="415">
        <v>2</v>
      </c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342">
        <f t="shared" ref="O66:O76" si="12">SUM(C66-D66-E66-F66-G66-H66-I66-J66-K66-L66-M66-N66)</f>
        <v>2</v>
      </c>
      <c r="P66" s="692">
        <f t="shared" ref="P66:P76" si="13">AD66-O66</f>
        <v>34</v>
      </c>
      <c r="Q66" s="7">
        <v>25</v>
      </c>
      <c r="R66" s="63"/>
      <c r="S66" s="77">
        <v>46235</v>
      </c>
      <c r="T66" s="16">
        <v>2</v>
      </c>
      <c r="U66" s="16"/>
      <c r="V66" s="77">
        <v>45658</v>
      </c>
      <c r="W66" s="14">
        <v>1</v>
      </c>
      <c r="X66" s="14">
        <v>2</v>
      </c>
      <c r="Y66" s="315">
        <v>14</v>
      </c>
      <c r="Z66" s="315">
        <v>1</v>
      </c>
      <c r="AA66" s="184">
        <f t="shared" ref="AA66:AA76" si="14">W66+X66+Y66+Z66</f>
        <v>18</v>
      </c>
      <c r="AB66" s="185">
        <f t="shared" ref="AB66:AB76" si="15">AA66/4</f>
        <v>4.5</v>
      </c>
      <c r="AC66" s="185">
        <f t="shared" ref="AC66:AC76" si="16">AB66*4</f>
        <v>18</v>
      </c>
      <c r="AD66" s="185">
        <f t="shared" ref="AD66:AD76" si="17">AC66*2</f>
        <v>36</v>
      </c>
    </row>
    <row r="67" spans="1:30" x14ac:dyDescent="0.25">
      <c r="A67" s="314">
        <f t="shared" ref="A67:A75" si="18">A66+1</f>
        <v>66</v>
      </c>
      <c r="B67" s="314" t="s">
        <v>325</v>
      </c>
      <c r="C67" s="340">
        <v>11</v>
      </c>
      <c r="D67" s="360"/>
      <c r="E67" s="480"/>
      <c r="F67" s="360"/>
      <c r="G67" s="480"/>
      <c r="H67" s="360"/>
      <c r="I67" s="480"/>
      <c r="J67" s="360"/>
      <c r="K67" s="480"/>
      <c r="L67" s="360"/>
      <c r="M67" s="480"/>
      <c r="N67" s="562"/>
      <c r="O67" s="342">
        <f t="shared" si="12"/>
        <v>11</v>
      </c>
      <c r="P67" s="692">
        <f t="shared" si="13"/>
        <v>1</v>
      </c>
      <c r="Q67" s="7">
        <v>5</v>
      </c>
      <c r="R67" s="63"/>
      <c r="S67" s="83">
        <v>46966</v>
      </c>
      <c r="T67" s="313">
        <v>0</v>
      </c>
      <c r="U67" s="313"/>
      <c r="V67" s="81">
        <v>45627</v>
      </c>
      <c r="W67" s="28">
        <v>1</v>
      </c>
      <c r="X67" s="28">
        <v>2</v>
      </c>
      <c r="Y67" s="28">
        <v>2</v>
      </c>
      <c r="Z67" s="429">
        <v>1</v>
      </c>
      <c r="AA67" s="184">
        <f t="shared" si="14"/>
        <v>6</v>
      </c>
      <c r="AB67" s="185">
        <f t="shared" si="15"/>
        <v>1.5</v>
      </c>
      <c r="AC67" s="185">
        <f t="shared" si="16"/>
        <v>6</v>
      </c>
      <c r="AD67" s="185">
        <f t="shared" si="17"/>
        <v>12</v>
      </c>
    </row>
    <row r="68" spans="1:30" x14ac:dyDescent="0.25">
      <c r="A68" s="314">
        <f t="shared" si="18"/>
        <v>67</v>
      </c>
      <c r="B68" s="314" t="s">
        <v>568</v>
      </c>
      <c r="C68" s="413">
        <v>9</v>
      </c>
      <c r="D68" s="359"/>
      <c r="E68" s="478"/>
      <c r="F68" s="359"/>
      <c r="G68" s="478"/>
      <c r="H68" s="359"/>
      <c r="I68" s="478">
        <v>2</v>
      </c>
      <c r="J68" s="359"/>
      <c r="K68" s="478"/>
      <c r="L68" s="359"/>
      <c r="M68" s="478"/>
      <c r="N68" s="561"/>
      <c r="O68" s="342">
        <f t="shared" si="12"/>
        <v>7</v>
      </c>
      <c r="P68" s="706">
        <v>1</v>
      </c>
      <c r="Q68" s="448">
        <v>3.5</v>
      </c>
      <c r="R68" s="63"/>
      <c r="S68" s="118">
        <v>46143</v>
      </c>
      <c r="T68" s="322">
        <v>0</v>
      </c>
      <c r="U68" s="316"/>
      <c r="V68" s="199">
        <v>45474</v>
      </c>
      <c r="W68" s="107">
        <v>3</v>
      </c>
      <c r="X68" s="309">
        <v>1</v>
      </c>
      <c r="Y68" s="309">
        <v>2</v>
      </c>
      <c r="Z68" s="309">
        <v>1</v>
      </c>
      <c r="AA68" s="184">
        <f t="shared" si="14"/>
        <v>7</v>
      </c>
      <c r="AB68" s="185">
        <f t="shared" si="15"/>
        <v>1.75</v>
      </c>
      <c r="AC68" s="185">
        <f t="shared" si="16"/>
        <v>7</v>
      </c>
      <c r="AD68" s="185">
        <f t="shared" si="17"/>
        <v>14</v>
      </c>
    </row>
    <row r="69" spans="1:30" x14ac:dyDescent="0.25">
      <c r="A69" s="314">
        <f t="shared" si="18"/>
        <v>68</v>
      </c>
      <c r="B69" s="314" t="s">
        <v>569</v>
      </c>
      <c r="C69" s="466">
        <v>21</v>
      </c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342">
        <f t="shared" si="12"/>
        <v>21</v>
      </c>
      <c r="P69" s="692">
        <f t="shared" si="13"/>
        <v>1</v>
      </c>
      <c r="Q69" s="448">
        <v>3.5</v>
      </c>
      <c r="R69" s="109"/>
      <c r="S69" s="118">
        <v>46388</v>
      </c>
      <c r="T69" s="322">
        <v>0</v>
      </c>
      <c r="U69" s="316"/>
      <c r="V69" s="199">
        <v>45597</v>
      </c>
      <c r="W69" s="107">
        <v>3</v>
      </c>
      <c r="X69" s="309">
        <v>2</v>
      </c>
      <c r="Y69" s="309">
        <v>4</v>
      </c>
      <c r="Z69" s="309">
        <v>2</v>
      </c>
      <c r="AA69" s="184">
        <f t="shared" si="14"/>
        <v>11</v>
      </c>
      <c r="AB69" s="185">
        <f t="shared" si="15"/>
        <v>2.75</v>
      </c>
      <c r="AC69" s="185">
        <f t="shared" si="16"/>
        <v>11</v>
      </c>
      <c r="AD69" s="185">
        <f t="shared" si="17"/>
        <v>22</v>
      </c>
    </row>
    <row r="70" spans="1:30" ht="14.25" customHeight="1" x14ac:dyDescent="0.25">
      <c r="A70" s="314">
        <f t="shared" si="18"/>
        <v>69</v>
      </c>
      <c r="B70" s="314" t="s">
        <v>1198</v>
      </c>
      <c r="C70" s="339">
        <v>6</v>
      </c>
      <c r="D70" s="376"/>
      <c r="E70" s="478"/>
      <c r="F70" s="359"/>
      <c r="G70" s="480"/>
      <c r="H70" s="360">
        <v>3</v>
      </c>
      <c r="I70" s="480"/>
      <c r="J70" s="360"/>
      <c r="K70" s="480"/>
      <c r="L70" s="360"/>
      <c r="M70" s="480"/>
      <c r="N70" s="562"/>
      <c r="O70" s="342">
        <f t="shared" si="12"/>
        <v>3</v>
      </c>
      <c r="P70" s="706">
        <v>10</v>
      </c>
      <c r="Q70" s="7">
        <v>14</v>
      </c>
      <c r="R70" s="63"/>
      <c r="S70" s="83">
        <v>46661</v>
      </c>
      <c r="T70" s="322">
        <v>15</v>
      </c>
      <c r="U70" s="313">
        <v>15</v>
      </c>
      <c r="V70" s="81">
        <v>45717</v>
      </c>
      <c r="W70" s="28">
        <v>4</v>
      </c>
      <c r="X70" s="28">
        <v>7</v>
      </c>
      <c r="Y70" s="28">
        <v>3</v>
      </c>
      <c r="Z70" s="429">
        <v>5</v>
      </c>
      <c r="AA70" s="184">
        <f t="shared" si="14"/>
        <v>19</v>
      </c>
      <c r="AB70" s="185">
        <f t="shared" si="15"/>
        <v>4.75</v>
      </c>
      <c r="AC70" s="185">
        <f t="shared" si="16"/>
        <v>19</v>
      </c>
      <c r="AD70" s="185">
        <f t="shared" si="17"/>
        <v>38</v>
      </c>
    </row>
    <row r="71" spans="1:30" x14ac:dyDescent="0.25">
      <c r="A71" s="314">
        <f t="shared" si="18"/>
        <v>70</v>
      </c>
      <c r="B71" s="651" t="s">
        <v>1099</v>
      </c>
      <c r="C71" s="652">
        <v>27</v>
      </c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342">
        <f t="shared" si="12"/>
        <v>27</v>
      </c>
      <c r="P71" s="692">
        <f t="shared" si="13"/>
        <v>19</v>
      </c>
      <c r="Q71" s="448">
        <v>6.8</v>
      </c>
      <c r="R71" s="64"/>
      <c r="S71" s="659">
        <v>45870</v>
      </c>
      <c r="T71" s="92">
        <v>0</v>
      </c>
      <c r="U71" s="316">
        <v>2</v>
      </c>
      <c r="V71" s="118">
        <v>45717</v>
      </c>
      <c r="W71" s="316">
        <v>3</v>
      </c>
      <c r="X71" s="316">
        <v>10</v>
      </c>
      <c r="Y71" s="316">
        <v>4</v>
      </c>
      <c r="Z71" s="316">
        <v>6</v>
      </c>
      <c r="AA71" s="184">
        <f t="shared" si="14"/>
        <v>23</v>
      </c>
      <c r="AB71" s="185">
        <f t="shared" si="15"/>
        <v>5.75</v>
      </c>
      <c r="AC71" s="185">
        <f t="shared" si="16"/>
        <v>23</v>
      </c>
      <c r="AD71" s="185">
        <f t="shared" si="17"/>
        <v>46</v>
      </c>
    </row>
    <row r="72" spans="1:30" x14ac:dyDescent="0.25">
      <c r="A72" s="314">
        <f t="shared" si="18"/>
        <v>71</v>
      </c>
      <c r="B72" s="314" t="s">
        <v>1298</v>
      </c>
      <c r="C72" s="413">
        <v>41</v>
      </c>
      <c r="D72" s="359"/>
      <c r="E72" s="478"/>
      <c r="F72" s="359"/>
      <c r="G72" s="478"/>
      <c r="H72" s="359"/>
      <c r="I72" s="478"/>
      <c r="J72" s="359"/>
      <c r="K72" s="478"/>
      <c r="L72" s="359"/>
      <c r="M72" s="478">
        <v>2</v>
      </c>
      <c r="N72" s="561"/>
      <c r="O72" s="342">
        <f t="shared" si="12"/>
        <v>39</v>
      </c>
      <c r="P72" s="692">
        <f t="shared" si="13"/>
        <v>21</v>
      </c>
      <c r="Q72" s="7">
        <v>2</v>
      </c>
      <c r="R72" s="8"/>
      <c r="S72" s="118">
        <v>45931</v>
      </c>
      <c r="T72" s="315">
        <v>0</v>
      </c>
      <c r="U72" s="316"/>
      <c r="V72" s="199">
        <v>45658</v>
      </c>
      <c r="W72" s="107">
        <v>13</v>
      </c>
      <c r="X72" s="107">
        <v>4</v>
      </c>
      <c r="Y72" s="309">
        <v>10</v>
      </c>
      <c r="Z72" s="309">
        <v>3</v>
      </c>
      <c r="AA72" s="184">
        <f t="shared" si="14"/>
        <v>30</v>
      </c>
      <c r="AB72" s="185">
        <f t="shared" si="15"/>
        <v>7.5</v>
      </c>
      <c r="AC72" s="185">
        <f t="shared" si="16"/>
        <v>30</v>
      </c>
      <c r="AD72" s="185">
        <f t="shared" si="17"/>
        <v>60</v>
      </c>
    </row>
    <row r="73" spans="1:30" x14ac:dyDescent="0.25">
      <c r="A73" s="314">
        <f t="shared" si="18"/>
        <v>72</v>
      </c>
      <c r="B73" s="651" t="s">
        <v>1299</v>
      </c>
      <c r="C73" s="652">
        <v>35</v>
      </c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342">
        <f t="shared" si="12"/>
        <v>35</v>
      </c>
      <c r="P73" s="692">
        <f t="shared" si="13"/>
        <v>5</v>
      </c>
      <c r="Q73" s="7">
        <v>2</v>
      </c>
      <c r="R73" s="63" t="s">
        <v>1374</v>
      </c>
      <c r="S73" s="659">
        <v>45839</v>
      </c>
      <c r="T73" s="315">
        <v>1</v>
      </c>
      <c r="U73" s="316"/>
      <c r="V73" s="344">
        <v>45474</v>
      </c>
      <c r="W73" s="309">
        <v>2</v>
      </c>
      <c r="X73" s="309">
        <v>7</v>
      </c>
      <c r="Y73" s="309">
        <v>2</v>
      </c>
      <c r="Z73" s="309">
        <v>9</v>
      </c>
      <c r="AA73" s="184">
        <f t="shared" si="14"/>
        <v>20</v>
      </c>
      <c r="AB73" s="185">
        <f t="shared" si="15"/>
        <v>5</v>
      </c>
      <c r="AC73" s="185">
        <f t="shared" si="16"/>
        <v>20</v>
      </c>
      <c r="AD73" s="185">
        <f t="shared" si="17"/>
        <v>40</v>
      </c>
    </row>
    <row r="74" spans="1:30" x14ac:dyDescent="0.25">
      <c r="A74" s="314">
        <f t="shared" si="18"/>
        <v>73</v>
      </c>
      <c r="B74" s="314" t="s">
        <v>1300</v>
      </c>
      <c r="C74" s="413">
        <v>30</v>
      </c>
      <c r="D74" s="359"/>
      <c r="E74" s="478">
        <v>6</v>
      </c>
      <c r="F74" s="359"/>
      <c r="G74" s="478"/>
      <c r="H74" s="359"/>
      <c r="I74" s="478"/>
      <c r="J74" s="359"/>
      <c r="K74" s="478"/>
      <c r="L74" s="359"/>
      <c r="M74" s="478">
        <v>18</v>
      </c>
      <c r="N74" s="561"/>
      <c r="O74" s="342">
        <f t="shared" si="12"/>
        <v>6</v>
      </c>
      <c r="P74" s="342">
        <f t="shared" si="13"/>
        <v>26</v>
      </c>
      <c r="Q74" s="7">
        <v>2</v>
      </c>
      <c r="R74" s="63" t="s">
        <v>1374</v>
      </c>
      <c r="S74" s="118">
        <v>46631</v>
      </c>
      <c r="T74" s="315">
        <v>0</v>
      </c>
      <c r="U74" s="316"/>
      <c r="V74" s="199">
        <v>45597</v>
      </c>
      <c r="W74" s="107">
        <v>1</v>
      </c>
      <c r="X74" s="107">
        <v>2</v>
      </c>
      <c r="Y74" s="309">
        <v>5</v>
      </c>
      <c r="Z74" s="309">
        <v>8</v>
      </c>
      <c r="AA74" s="184">
        <f t="shared" si="14"/>
        <v>16</v>
      </c>
      <c r="AB74" s="185">
        <f t="shared" si="15"/>
        <v>4</v>
      </c>
      <c r="AC74" s="185">
        <f t="shared" si="16"/>
        <v>16</v>
      </c>
      <c r="AD74" s="185">
        <f t="shared" si="17"/>
        <v>32</v>
      </c>
    </row>
    <row r="75" spans="1:30" x14ac:dyDescent="0.25">
      <c r="A75" s="314">
        <f t="shared" si="18"/>
        <v>74</v>
      </c>
      <c r="B75" s="4" t="s">
        <v>871</v>
      </c>
      <c r="C75" s="340">
        <v>1</v>
      </c>
      <c r="D75" s="359"/>
      <c r="E75" s="478"/>
      <c r="F75" s="359">
        <v>1</v>
      </c>
      <c r="G75" s="478"/>
      <c r="H75" s="359"/>
      <c r="I75" s="478"/>
      <c r="J75" s="359"/>
      <c r="K75" s="478"/>
      <c r="L75" s="359"/>
      <c r="M75" s="478"/>
      <c r="N75" s="561"/>
      <c r="O75" s="342">
        <f t="shared" si="12"/>
        <v>0</v>
      </c>
      <c r="P75" s="706">
        <v>1</v>
      </c>
      <c r="Q75" s="10">
        <v>55</v>
      </c>
      <c r="R75" s="63"/>
      <c r="T75" s="14">
        <v>0</v>
      </c>
      <c r="U75" s="14"/>
      <c r="V75" s="81">
        <v>45444</v>
      </c>
      <c r="W75" s="315"/>
      <c r="X75" s="315"/>
      <c r="Y75" s="315">
        <v>1</v>
      </c>
      <c r="Z75" s="315"/>
      <c r="AA75" s="184">
        <f t="shared" si="14"/>
        <v>1</v>
      </c>
      <c r="AB75" s="185">
        <f t="shared" si="15"/>
        <v>0.25</v>
      </c>
      <c r="AC75" s="185">
        <f t="shared" si="16"/>
        <v>1</v>
      </c>
      <c r="AD75" s="185">
        <f t="shared" si="17"/>
        <v>2</v>
      </c>
    </row>
    <row r="76" spans="1:30" x14ac:dyDescent="0.25">
      <c r="A76" s="314">
        <f t="shared" ref="A76:A83" si="19">A75+1</f>
        <v>75</v>
      </c>
      <c r="B76" s="314" t="s">
        <v>140</v>
      </c>
      <c r="C76" s="340">
        <v>2</v>
      </c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342">
        <f t="shared" si="12"/>
        <v>2</v>
      </c>
      <c r="P76" s="692">
        <f t="shared" si="13"/>
        <v>6</v>
      </c>
      <c r="Q76" s="7">
        <v>29</v>
      </c>
      <c r="R76" s="73"/>
      <c r="S76" s="344">
        <v>46296</v>
      </c>
      <c r="T76" s="318">
        <v>10</v>
      </c>
      <c r="U76" s="318"/>
      <c r="V76" s="199">
        <v>45627</v>
      </c>
      <c r="W76" s="309">
        <v>1</v>
      </c>
      <c r="X76" s="309">
        <v>1</v>
      </c>
      <c r="Y76" s="309">
        <v>1</v>
      </c>
      <c r="Z76" s="429">
        <v>1</v>
      </c>
      <c r="AA76" s="184">
        <f t="shared" si="14"/>
        <v>4</v>
      </c>
      <c r="AB76" s="185">
        <f t="shared" si="15"/>
        <v>1</v>
      </c>
      <c r="AC76" s="185">
        <f t="shared" si="16"/>
        <v>4</v>
      </c>
      <c r="AD76" s="185">
        <f t="shared" si="17"/>
        <v>8</v>
      </c>
    </row>
    <row r="77" spans="1:30" x14ac:dyDescent="0.25">
      <c r="A77" s="314">
        <f t="shared" si="19"/>
        <v>76</v>
      </c>
      <c r="B77" s="4"/>
      <c r="C77" s="9"/>
      <c r="D77" s="389"/>
      <c r="E77" s="476"/>
      <c r="F77" s="360"/>
      <c r="G77" s="480"/>
      <c r="H77" s="360"/>
      <c r="I77" s="480"/>
      <c r="J77" s="360"/>
      <c r="K77" s="480"/>
      <c r="L77" s="360"/>
      <c r="M77" s="480"/>
      <c r="N77" s="562"/>
      <c r="O77" s="6"/>
      <c r="P77" s="338"/>
      <c r="Q77" s="10"/>
      <c r="R77" s="63"/>
      <c r="AA77" s="184">
        <f>W77+X77+Y77+Z77</f>
        <v>0</v>
      </c>
      <c r="AB77" s="185">
        <f>AA77/4</f>
        <v>0</v>
      </c>
      <c r="AC77" s="185">
        <f>AB77*4</f>
        <v>0</v>
      </c>
      <c r="AD77" s="185">
        <f>AC77*2</f>
        <v>0</v>
      </c>
    </row>
    <row r="78" spans="1:30" x14ac:dyDescent="0.25">
      <c r="A78" s="314">
        <f t="shared" si="19"/>
        <v>77</v>
      </c>
      <c r="B78" s="4"/>
      <c r="C78" s="9"/>
      <c r="D78" s="360"/>
      <c r="E78" s="480"/>
      <c r="F78" s="360"/>
      <c r="G78" s="480"/>
      <c r="H78" s="360"/>
      <c r="I78" s="480"/>
      <c r="J78" s="360"/>
      <c r="K78" s="480"/>
      <c r="L78" s="360"/>
      <c r="M78" s="480"/>
      <c r="N78" s="562"/>
      <c r="O78" s="6"/>
      <c r="P78" s="338"/>
      <c r="Q78" s="10"/>
      <c r="R78" s="63"/>
    </row>
    <row r="79" spans="1:30" x14ac:dyDescent="0.25">
      <c r="A79" s="314">
        <f t="shared" si="19"/>
        <v>78</v>
      </c>
      <c r="B79" s="4"/>
      <c r="C79" s="9"/>
      <c r="D79" s="360"/>
      <c r="E79" s="480"/>
      <c r="F79" s="360"/>
      <c r="G79" s="480"/>
      <c r="H79" s="360"/>
      <c r="I79" s="480"/>
      <c r="J79" s="360"/>
      <c r="K79" s="480"/>
      <c r="L79" s="360"/>
      <c r="M79" s="480"/>
      <c r="N79" s="562"/>
      <c r="O79" s="6"/>
      <c r="P79" s="338"/>
      <c r="Q79" s="10"/>
      <c r="R79" s="63"/>
    </row>
    <row r="80" spans="1:30" x14ac:dyDescent="0.25">
      <c r="A80" s="314">
        <f t="shared" si="19"/>
        <v>79</v>
      </c>
      <c r="B80" s="4"/>
      <c r="C80" s="9"/>
      <c r="D80" s="360"/>
      <c r="E80" s="480"/>
      <c r="F80" s="360"/>
      <c r="G80" s="480"/>
      <c r="H80" s="360"/>
      <c r="I80" s="480"/>
      <c r="J80" s="360"/>
      <c r="K80" s="480"/>
      <c r="L80" s="360"/>
      <c r="M80" s="480"/>
      <c r="N80" s="562"/>
      <c r="O80" s="6"/>
      <c r="P80" s="338"/>
      <c r="Q80" s="10"/>
      <c r="R80" s="63"/>
    </row>
    <row r="81" spans="1:18" x14ac:dyDescent="0.25">
      <c r="A81" s="314">
        <f t="shared" si="19"/>
        <v>80</v>
      </c>
      <c r="B81" s="4"/>
      <c r="C81" s="9"/>
      <c r="D81" s="360"/>
      <c r="E81" s="480"/>
      <c r="F81" s="360"/>
      <c r="G81" s="480"/>
      <c r="H81" s="360"/>
      <c r="I81" s="480"/>
      <c r="J81" s="360"/>
      <c r="K81" s="480"/>
      <c r="L81" s="360"/>
      <c r="M81" s="480"/>
      <c r="N81" s="562"/>
      <c r="O81" s="6"/>
      <c r="P81" s="338"/>
      <c r="Q81" s="10"/>
      <c r="R81" s="63"/>
    </row>
    <row r="82" spans="1:18" x14ac:dyDescent="0.25">
      <c r="A82" s="314">
        <f t="shared" si="19"/>
        <v>81</v>
      </c>
      <c r="B82" s="4"/>
      <c r="C82" s="9"/>
      <c r="D82" s="389"/>
      <c r="E82" s="476"/>
      <c r="F82" s="360"/>
      <c r="G82" s="480"/>
      <c r="H82" s="360"/>
      <c r="I82" s="480"/>
      <c r="J82" s="360"/>
      <c r="K82" s="480"/>
      <c r="L82" s="360"/>
      <c r="M82" s="480"/>
      <c r="N82" s="562"/>
      <c r="O82" s="6"/>
      <c r="P82" s="338"/>
      <c r="Q82" s="10"/>
      <c r="R82" s="63"/>
    </row>
    <row r="83" spans="1:18" x14ac:dyDescent="0.25">
      <c r="A83" s="314">
        <f t="shared" si="19"/>
        <v>82</v>
      </c>
      <c r="B83" s="4"/>
      <c r="C83" s="9"/>
      <c r="D83" s="360"/>
      <c r="E83" s="480"/>
      <c r="F83" s="360"/>
      <c r="G83" s="480"/>
      <c r="H83" s="360"/>
      <c r="I83" s="480"/>
      <c r="J83" s="360"/>
      <c r="K83" s="480"/>
      <c r="L83" s="360"/>
      <c r="M83" s="480"/>
      <c r="N83" s="562"/>
      <c r="O83" s="6"/>
      <c r="P83" s="338"/>
      <c r="Q83" s="10"/>
      <c r="R83" s="63"/>
    </row>
    <row r="84" spans="1:18" x14ac:dyDescent="0.25">
      <c r="A84" s="3"/>
      <c r="B84" s="4"/>
      <c r="C84" s="9"/>
      <c r="D84" s="360"/>
      <c r="E84" s="480"/>
      <c r="F84" s="360"/>
      <c r="G84" s="480"/>
      <c r="H84" s="360"/>
      <c r="I84" s="480"/>
      <c r="J84" s="360"/>
      <c r="K84" s="480"/>
      <c r="L84" s="360"/>
      <c r="M84" s="480"/>
      <c r="N84" s="562"/>
      <c r="O84" s="6"/>
      <c r="P84" s="338"/>
      <c r="Q84" s="10"/>
      <c r="R84" s="63"/>
    </row>
    <row r="85" spans="1:18" x14ac:dyDescent="0.25">
      <c r="A85" s="3"/>
      <c r="B85" s="4"/>
      <c r="C85" s="9"/>
      <c r="D85" s="360"/>
      <c r="E85" s="480"/>
      <c r="F85" s="360"/>
      <c r="G85" s="480"/>
      <c r="H85" s="360"/>
      <c r="I85" s="480"/>
      <c r="J85" s="360"/>
      <c r="K85" s="480"/>
      <c r="L85" s="360"/>
      <c r="M85" s="480"/>
      <c r="N85" s="562"/>
      <c r="O85" s="6"/>
      <c r="P85" s="338"/>
      <c r="Q85" s="10"/>
      <c r="R85" s="63"/>
    </row>
    <row r="86" spans="1:18" x14ac:dyDescent="0.25">
      <c r="A86" s="3"/>
      <c r="B86" s="4"/>
      <c r="C86" s="9"/>
      <c r="D86" s="360"/>
      <c r="E86" s="480"/>
      <c r="F86" s="360"/>
      <c r="G86" s="480"/>
      <c r="H86" s="360"/>
      <c r="I86" s="480"/>
      <c r="J86" s="360"/>
      <c r="K86" s="480"/>
      <c r="L86" s="360"/>
      <c r="M86" s="480"/>
      <c r="N86" s="562"/>
      <c r="O86" s="6"/>
      <c r="P86" s="338"/>
      <c r="Q86" s="10"/>
      <c r="R86" s="63"/>
    </row>
    <row r="87" spans="1:18" x14ac:dyDescent="0.25">
      <c r="A87" s="3"/>
      <c r="B87" s="4"/>
      <c r="C87" s="9"/>
      <c r="D87" s="389"/>
      <c r="E87" s="476"/>
      <c r="F87" s="360"/>
      <c r="G87" s="480"/>
      <c r="H87" s="360"/>
      <c r="I87" s="480"/>
      <c r="J87" s="360"/>
      <c r="K87" s="480"/>
      <c r="L87" s="360"/>
      <c r="M87" s="480"/>
      <c r="N87" s="562"/>
      <c r="O87" s="6"/>
      <c r="P87" s="338"/>
      <c r="Q87" s="10"/>
      <c r="R87" s="64"/>
    </row>
    <row r="88" spans="1:18" x14ac:dyDescent="0.25">
      <c r="A88" s="3"/>
      <c r="B88" s="4"/>
      <c r="C88" s="9"/>
      <c r="D88" s="360"/>
      <c r="E88" s="480"/>
      <c r="F88" s="360"/>
      <c r="G88" s="480"/>
      <c r="H88" s="360"/>
      <c r="I88" s="480"/>
      <c r="J88" s="360"/>
      <c r="K88" s="480"/>
      <c r="L88" s="360"/>
      <c r="M88" s="480"/>
      <c r="N88" s="562"/>
      <c r="O88" s="6"/>
      <c r="P88" s="338"/>
      <c r="Q88" s="10"/>
      <c r="R88" s="63"/>
    </row>
    <row r="89" spans="1:18" x14ac:dyDescent="0.25">
      <c r="A89" s="3"/>
      <c r="B89" s="4"/>
      <c r="C89" s="9"/>
      <c r="D89" s="360"/>
      <c r="E89" s="480"/>
      <c r="F89" s="360"/>
      <c r="G89" s="480"/>
      <c r="H89" s="360"/>
      <c r="I89" s="480"/>
      <c r="J89" s="360"/>
      <c r="K89" s="480"/>
      <c r="L89" s="360"/>
      <c r="M89" s="480"/>
      <c r="N89" s="562"/>
      <c r="O89" s="6"/>
      <c r="P89" s="338"/>
      <c r="Q89" s="10"/>
      <c r="R89" s="63"/>
    </row>
    <row r="90" spans="1:18" x14ac:dyDescent="0.25">
      <c r="A90" s="3"/>
      <c r="B90" s="4"/>
      <c r="C90" s="9"/>
      <c r="D90" s="360"/>
      <c r="E90" s="480"/>
      <c r="F90" s="360"/>
      <c r="G90" s="480"/>
      <c r="H90" s="360"/>
      <c r="I90" s="480"/>
      <c r="J90" s="360"/>
      <c r="K90" s="480"/>
      <c r="L90" s="360"/>
      <c r="M90" s="480"/>
      <c r="N90" s="562"/>
      <c r="O90" s="6"/>
      <c r="P90" s="338"/>
      <c r="Q90" s="10"/>
      <c r="R90" s="63"/>
    </row>
    <row r="91" spans="1:18" x14ac:dyDescent="0.25">
      <c r="A91" s="3"/>
      <c r="B91" s="4"/>
      <c r="C91" s="9"/>
      <c r="D91" s="360"/>
      <c r="E91" s="480"/>
      <c r="F91" s="360"/>
      <c r="G91" s="480"/>
      <c r="H91" s="360"/>
      <c r="I91" s="480"/>
      <c r="J91" s="360"/>
      <c r="K91" s="480"/>
      <c r="L91" s="360"/>
      <c r="M91" s="480"/>
      <c r="N91" s="562"/>
      <c r="O91" s="6"/>
      <c r="P91" s="338"/>
      <c r="Q91" s="10"/>
      <c r="R91" s="63"/>
    </row>
    <row r="92" spans="1:18" x14ac:dyDescent="0.25">
      <c r="A92" s="3"/>
      <c r="B92" s="4"/>
      <c r="C92" s="9"/>
      <c r="D92" s="389"/>
      <c r="E92" s="476"/>
      <c r="F92" s="360"/>
      <c r="G92" s="480"/>
      <c r="H92" s="360"/>
      <c r="I92" s="480"/>
      <c r="J92" s="360"/>
      <c r="K92" s="480"/>
      <c r="L92" s="360"/>
      <c r="M92" s="480"/>
      <c r="N92" s="562"/>
      <c r="O92" s="6"/>
      <c r="P92" s="338"/>
      <c r="Q92" s="10"/>
      <c r="R92" s="63"/>
    </row>
    <row r="93" spans="1:18" x14ac:dyDescent="0.25">
      <c r="A93" s="3"/>
      <c r="B93" s="4"/>
      <c r="C93" s="9"/>
      <c r="D93" s="389"/>
      <c r="E93" s="476"/>
      <c r="F93" s="360"/>
      <c r="G93" s="480"/>
      <c r="H93" s="360"/>
      <c r="I93" s="480"/>
      <c r="J93" s="360"/>
      <c r="K93" s="480"/>
      <c r="L93" s="360"/>
      <c r="M93" s="480"/>
      <c r="N93" s="562"/>
      <c r="O93" s="6"/>
      <c r="P93" s="338"/>
      <c r="Q93" s="10"/>
      <c r="R93" s="63"/>
    </row>
    <row r="94" spans="1:18" x14ac:dyDescent="0.25">
      <c r="A94" s="3"/>
      <c r="B94" s="4"/>
      <c r="C94" s="9"/>
      <c r="D94" s="389"/>
      <c r="E94" s="476"/>
      <c r="F94" s="360"/>
      <c r="G94" s="480"/>
      <c r="H94" s="360"/>
      <c r="I94" s="480"/>
      <c r="J94" s="360"/>
      <c r="K94" s="480"/>
      <c r="L94" s="360"/>
      <c r="M94" s="480"/>
      <c r="N94" s="562"/>
      <c r="O94" s="6"/>
      <c r="P94" s="338"/>
      <c r="Q94" s="10"/>
      <c r="R94" s="63"/>
    </row>
    <row r="95" spans="1:18" x14ac:dyDescent="0.25">
      <c r="A95" s="3"/>
      <c r="B95" s="4"/>
      <c r="C95" s="9"/>
      <c r="D95" s="389"/>
      <c r="E95" s="476"/>
      <c r="F95" s="360"/>
      <c r="G95" s="480"/>
      <c r="H95" s="360"/>
      <c r="I95" s="480"/>
      <c r="J95" s="360"/>
      <c r="K95" s="480"/>
      <c r="L95" s="360"/>
      <c r="M95" s="480"/>
      <c r="N95" s="562"/>
      <c r="O95" s="6"/>
      <c r="P95" s="338"/>
      <c r="Q95" s="10"/>
      <c r="R95" s="63"/>
    </row>
    <row r="96" spans="1:18" x14ac:dyDescent="0.25">
      <c r="A96" s="3"/>
      <c r="B96" s="4"/>
      <c r="C96" s="9"/>
      <c r="D96" s="360"/>
      <c r="E96" s="480"/>
      <c r="F96" s="360"/>
      <c r="G96" s="480"/>
      <c r="H96" s="360"/>
      <c r="I96" s="480"/>
      <c r="J96" s="360"/>
      <c r="K96" s="480"/>
      <c r="L96" s="360"/>
      <c r="M96" s="480"/>
      <c r="N96" s="562"/>
      <c r="O96" s="6"/>
      <c r="P96" s="338"/>
      <c r="Q96" s="10"/>
      <c r="R96" s="63"/>
    </row>
    <row r="97" spans="1:18" x14ac:dyDescent="0.25">
      <c r="A97" s="3"/>
      <c r="B97" s="4"/>
      <c r="C97" s="9"/>
      <c r="D97" s="389"/>
      <c r="E97" s="476"/>
      <c r="F97" s="360"/>
      <c r="G97" s="480"/>
      <c r="H97" s="360"/>
      <c r="I97" s="480"/>
      <c r="J97" s="360"/>
      <c r="K97" s="480"/>
      <c r="L97" s="360"/>
      <c r="M97" s="480"/>
      <c r="N97" s="562"/>
      <c r="O97" s="6"/>
      <c r="P97" s="338"/>
      <c r="Q97" s="10"/>
      <c r="R97" s="63"/>
    </row>
    <row r="98" spans="1:18" x14ac:dyDescent="0.25">
      <c r="A98" s="3"/>
      <c r="B98" s="4"/>
      <c r="C98" s="9"/>
      <c r="D98" s="360"/>
      <c r="E98" s="480"/>
      <c r="F98" s="360"/>
      <c r="G98" s="480"/>
      <c r="H98" s="360"/>
      <c r="I98" s="480"/>
      <c r="J98" s="360"/>
      <c r="K98" s="480"/>
      <c r="L98" s="360"/>
      <c r="M98" s="480"/>
      <c r="N98" s="562"/>
      <c r="O98" s="6"/>
      <c r="P98" s="338"/>
      <c r="Q98" s="10"/>
      <c r="R98" s="63"/>
    </row>
    <row r="99" spans="1:18" x14ac:dyDescent="0.25">
      <c r="A99" s="3"/>
      <c r="B99" s="4"/>
      <c r="C99" s="9"/>
      <c r="D99" s="360"/>
      <c r="E99" s="480"/>
      <c r="F99" s="360"/>
      <c r="G99" s="480"/>
      <c r="H99" s="360"/>
      <c r="I99" s="480"/>
      <c r="J99" s="360"/>
      <c r="K99" s="480"/>
      <c r="L99" s="360"/>
      <c r="M99" s="480"/>
      <c r="N99" s="562"/>
      <c r="O99" s="6"/>
      <c r="P99" s="338"/>
      <c r="Q99" s="10"/>
      <c r="R99" s="63"/>
    </row>
    <row r="100" spans="1:18" x14ac:dyDescent="0.25">
      <c r="A100" s="3"/>
      <c r="B100" s="4"/>
      <c r="C100" s="9"/>
      <c r="D100" s="389"/>
      <c r="E100" s="476"/>
      <c r="F100" s="360"/>
      <c r="G100" s="480"/>
      <c r="H100" s="360"/>
      <c r="I100" s="480"/>
      <c r="J100" s="360"/>
      <c r="K100" s="480"/>
      <c r="L100" s="360"/>
      <c r="M100" s="480"/>
      <c r="N100" s="562"/>
      <c r="O100" s="6"/>
      <c r="P100" s="338"/>
      <c r="Q100" s="10"/>
      <c r="R100" s="63"/>
    </row>
    <row r="101" spans="1:18" x14ac:dyDescent="0.25">
      <c r="A101" s="3"/>
      <c r="B101" s="4"/>
      <c r="C101" s="9"/>
      <c r="D101" s="389"/>
      <c r="E101" s="476"/>
      <c r="F101" s="360"/>
      <c r="G101" s="480"/>
      <c r="H101" s="360"/>
      <c r="I101" s="480"/>
      <c r="J101" s="360"/>
      <c r="K101" s="480"/>
      <c r="L101" s="360"/>
      <c r="M101" s="480"/>
      <c r="N101" s="562"/>
      <c r="O101" s="6"/>
      <c r="P101" s="338"/>
      <c r="Q101" s="10"/>
      <c r="R101" s="63"/>
    </row>
    <row r="102" spans="1:18" x14ac:dyDescent="0.25">
      <c r="A102" s="3"/>
      <c r="B102" s="4"/>
      <c r="C102" s="9"/>
      <c r="D102" s="360"/>
      <c r="E102" s="480"/>
      <c r="F102" s="360"/>
      <c r="G102" s="480"/>
      <c r="H102" s="360"/>
      <c r="I102" s="480"/>
      <c r="J102" s="360"/>
      <c r="K102" s="480"/>
      <c r="L102" s="360"/>
      <c r="M102" s="480"/>
      <c r="N102" s="562"/>
      <c r="O102" s="6"/>
      <c r="P102" s="338"/>
      <c r="Q102" s="10"/>
      <c r="R102" s="63"/>
    </row>
    <row r="103" spans="1:18" x14ac:dyDescent="0.25">
      <c r="A103" s="3"/>
      <c r="B103" s="4"/>
      <c r="C103" s="9"/>
      <c r="D103" s="360"/>
      <c r="E103" s="480"/>
      <c r="F103" s="360"/>
      <c r="G103" s="480"/>
      <c r="H103" s="360"/>
      <c r="I103" s="480"/>
      <c r="J103" s="360"/>
      <c r="K103" s="480"/>
      <c r="L103" s="360"/>
      <c r="M103" s="480"/>
      <c r="N103" s="562"/>
      <c r="O103" s="6"/>
      <c r="P103" s="338"/>
      <c r="Q103" s="10"/>
      <c r="R103" s="63"/>
    </row>
    <row r="104" spans="1:18" x14ac:dyDescent="0.25">
      <c r="A104" s="3"/>
      <c r="B104" s="4"/>
      <c r="C104" s="8"/>
      <c r="D104" s="360"/>
      <c r="E104" s="480"/>
      <c r="F104" s="360"/>
      <c r="G104" s="480"/>
      <c r="H104" s="360"/>
      <c r="I104" s="480"/>
      <c r="J104" s="360"/>
      <c r="K104" s="480"/>
      <c r="L104" s="360"/>
      <c r="M104" s="480"/>
      <c r="N104" s="562"/>
      <c r="O104" s="6"/>
      <c r="P104" s="338"/>
      <c r="Q104" s="10"/>
      <c r="R104" s="63"/>
    </row>
    <row r="105" spans="1:18" x14ac:dyDescent="0.25">
      <c r="A105" s="3"/>
      <c r="B105" s="4"/>
      <c r="C105" s="9"/>
      <c r="D105" s="360"/>
      <c r="E105" s="480"/>
      <c r="F105" s="360"/>
      <c r="G105" s="480"/>
      <c r="H105" s="360"/>
      <c r="I105" s="480"/>
      <c r="J105" s="360"/>
      <c r="K105" s="480"/>
      <c r="L105" s="360"/>
      <c r="M105" s="480"/>
      <c r="N105" s="562"/>
      <c r="O105" s="6"/>
      <c r="P105" s="338"/>
      <c r="Q105" s="10"/>
      <c r="R105" s="63"/>
    </row>
    <row r="106" spans="1:18" x14ac:dyDescent="0.25">
      <c r="A106" s="3"/>
      <c r="B106" s="4"/>
      <c r="C106" s="8"/>
      <c r="D106" s="360"/>
      <c r="E106" s="480"/>
      <c r="F106" s="360"/>
      <c r="G106" s="480"/>
      <c r="H106" s="360"/>
      <c r="I106" s="480"/>
      <c r="J106" s="360"/>
      <c r="K106" s="480"/>
      <c r="L106" s="360"/>
      <c r="M106" s="480"/>
      <c r="N106" s="562"/>
      <c r="O106" s="6"/>
      <c r="P106" s="338"/>
      <c r="Q106" s="10"/>
      <c r="R106" s="63"/>
    </row>
    <row r="107" spans="1:18" x14ac:dyDescent="0.25">
      <c r="A107" s="3"/>
      <c r="B107" s="4"/>
      <c r="C107" s="9"/>
      <c r="D107" s="360"/>
      <c r="E107" s="480"/>
      <c r="F107" s="360"/>
      <c r="G107" s="480"/>
      <c r="H107" s="360"/>
      <c r="I107" s="480"/>
      <c r="J107" s="360"/>
      <c r="K107" s="480"/>
      <c r="L107" s="360"/>
      <c r="M107" s="480"/>
      <c r="N107" s="562"/>
      <c r="O107" s="6"/>
      <c r="P107" s="338"/>
      <c r="Q107" s="10"/>
      <c r="R107" s="63"/>
    </row>
    <row r="108" spans="1:18" x14ac:dyDescent="0.25">
      <c r="A108" s="3"/>
      <c r="B108" s="4"/>
      <c r="C108" s="9"/>
      <c r="D108" s="360"/>
      <c r="E108" s="480"/>
      <c r="F108" s="360"/>
      <c r="G108" s="480"/>
      <c r="H108" s="360"/>
      <c r="I108" s="480"/>
      <c r="J108" s="360"/>
      <c r="K108" s="480"/>
      <c r="L108" s="360"/>
      <c r="M108" s="480"/>
      <c r="N108" s="562"/>
      <c r="O108" s="6"/>
      <c r="P108" s="338"/>
      <c r="Q108" s="10"/>
      <c r="R108" s="63"/>
    </row>
    <row r="109" spans="1:18" x14ac:dyDescent="0.25">
      <c r="A109" s="3"/>
      <c r="B109" s="4"/>
      <c r="C109" s="9"/>
      <c r="D109" s="360"/>
      <c r="E109" s="480"/>
      <c r="F109" s="360"/>
      <c r="G109" s="480"/>
      <c r="H109" s="360"/>
      <c r="I109" s="480"/>
      <c r="J109" s="360"/>
      <c r="K109" s="480"/>
      <c r="L109" s="360"/>
      <c r="M109" s="480"/>
      <c r="N109" s="562"/>
      <c r="O109" s="6"/>
      <c r="P109" s="338"/>
      <c r="Q109" s="10"/>
      <c r="R109" s="63"/>
    </row>
    <row r="110" spans="1:18" x14ac:dyDescent="0.25">
      <c r="A110" s="3"/>
      <c r="B110" s="4"/>
      <c r="C110" s="9"/>
      <c r="D110" s="360"/>
      <c r="E110" s="480"/>
      <c r="F110" s="360"/>
      <c r="G110" s="480"/>
      <c r="H110" s="360"/>
      <c r="I110" s="480"/>
      <c r="J110" s="360"/>
      <c r="K110" s="480"/>
      <c r="L110" s="360"/>
      <c r="M110" s="480"/>
      <c r="N110" s="562"/>
      <c r="O110" s="6"/>
      <c r="P110" s="338"/>
      <c r="Q110" s="10"/>
      <c r="R110" s="63"/>
    </row>
    <row r="111" spans="1:18" x14ac:dyDescent="0.25">
      <c r="A111" s="3"/>
      <c r="B111" s="4"/>
      <c r="C111" s="9"/>
      <c r="D111" s="389"/>
      <c r="E111" s="476"/>
      <c r="F111" s="360"/>
      <c r="G111" s="480"/>
      <c r="H111" s="360"/>
      <c r="I111" s="480"/>
      <c r="J111" s="360"/>
      <c r="K111" s="480"/>
      <c r="L111" s="360"/>
      <c r="M111" s="480"/>
      <c r="N111" s="562"/>
      <c r="O111" s="6"/>
      <c r="P111" s="338"/>
      <c r="Q111" s="10"/>
      <c r="R111" s="63"/>
    </row>
    <row r="112" spans="1:18" x14ac:dyDescent="0.25">
      <c r="A112" s="3"/>
      <c r="B112" s="4"/>
      <c r="C112" s="9"/>
      <c r="D112" s="360"/>
      <c r="E112" s="480"/>
      <c r="F112" s="360"/>
      <c r="G112" s="480"/>
      <c r="H112" s="360"/>
      <c r="I112" s="480"/>
      <c r="J112" s="360"/>
      <c r="K112" s="480"/>
      <c r="L112" s="360"/>
      <c r="M112" s="480"/>
      <c r="N112" s="562"/>
      <c r="O112" s="6"/>
      <c r="P112" s="338"/>
      <c r="Q112" s="10"/>
      <c r="R112" s="63"/>
    </row>
    <row r="113" spans="1:18" x14ac:dyDescent="0.25">
      <c r="A113" s="3"/>
      <c r="B113" s="4"/>
      <c r="C113" s="9"/>
      <c r="D113" s="360"/>
      <c r="E113" s="480"/>
      <c r="F113" s="360"/>
      <c r="G113" s="480"/>
      <c r="H113" s="360"/>
      <c r="I113" s="480"/>
      <c r="J113" s="360"/>
      <c r="K113" s="480"/>
      <c r="L113" s="360"/>
      <c r="M113" s="480"/>
      <c r="N113" s="562"/>
      <c r="O113" s="6"/>
      <c r="P113" s="338"/>
      <c r="Q113" s="10"/>
      <c r="R113" s="63"/>
    </row>
    <row r="114" spans="1:18" x14ac:dyDescent="0.25">
      <c r="A114" s="3"/>
      <c r="B114" s="4"/>
      <c r="C114" s="8"/>
      <c r="D114" s="389"/>
      <c r="E114" s="476"/>
      <c r="F114" s="360"/>
      <c r="G114" s="480"/>
      <c r="H114" s="360"/>
      <c r="I114" s="480"/>
      <c r="J114" s="360"/>
      <c r="K114" s="480"/>
      <c r="L114" s="360"/>
      <c r="M114" s="480"/>
      <c r="N114" s="562"/>
      <c r="O114" s="6"/>
      <c r="P114" s="338"/>
      <c r="Q114" s="10"/>
      <c r="R114" s="63"/>
    </row>
    <row r="115" spans="1:18" x14ac:dyDescent="0.25">
      <c r="A115" s="3"/>
      <c r="B115" s="4"/>
      <c r="C115" s="9"/>
      <c r="D115" s="360"/>
      <c r="E115" s="480"/>
      <c r="F115" s="360"/>
      <c r="G115" s="480"/>
      <c r="H115" s="360"/>
      <c r="I115" s="480"/>
      <c r="J115" s="360"/>
      <c r="K115" s="480"/>
      <c r="L115" s="360"/>
      <c r="M115" s="480"/>
      <c r="N115" s="562"/>
      <c r="O115" s="6"/>
      <c r="P115" s="338"/>
      <c r="Q115" s="10"/>
      <c r="R115" s="63"/>
    </row>
    <row r="116" spans="1:18" x14ac:dyDescent="0.25">
      <c r="A116" s="3"/>
      <c r="B116" s="4"/>
      <c r="C116" s="9"/>
      <c r="D116" s="389"/>
      <c r="E116" s="476"/>
      <c r="F116" s="360"/>
      <c r="G116" s="480"/>
      <c r="H116" s="360"/>
      <c r="I116" s="480"/>
      <c r="J116" s="360"/>
      <c r="K116" s="480"/>
      <c r="L116" s="360"/>
      <c r="M116" s="480"/>
      <c r="N116" s="562"/>
      <c r="O116" s="6"/>
      <c r="P116" s="338"/>
      <c r="Q116" s="10"/>
      <c r="R116" s="63"/>
    </row>
    <row r="117" spans="1:18" x14ac:dyDescent="0.25">
      <c r="A117" s="3"/>
      <c r="B117" s="4"/>
      <c r="C117" s="9"/>
      <c r="D117" s="360"/>
      <c r="E117" s="480"/>
      <c r="F117" s="360"/>
      <c r="G117" s="480"/>
      <c r="H117" s="360"/>
      <c r="I117" s="480"/>
      <c r="J117" s="360"/>
      <c r="K117" s="480"/>
      <c r="L117" s="360"/>
      <c r="M117" s="480"/>
      <c r="N117" s="562"/>
      <c r="O117" s="6"/>
      <c r="P117" s="338"/>
      <c r="Q117" s="10"/>
      <c r="R117" s="63"/>
    </row>
    <row r="118" spans="1:18" x14ac:dyDescent="0.25">
      <c r="A118" s="3"/>
      <c r="B118" s="4"/>
      <c r="C118" s="9"/>
      <c r="D118" s="360"/>
      <c r="E118" s="480"/>
      <c r="F118" s="360"/>
      <c r="G118" s="480"/>
      <c r="H118" s="360"/>
      <c r="I118" s="480"/>
      <c r="J118" s="360"/>
      <c r="K118" s="480"/>
      <c r="L118" s="360"/>
      <c r="M118" s="480"/>
      <c r="N118" s="562"/>
      <c r="O118" s="6"/>
      <c r="P118" s="338"/>
      <c r="Q118" s="10"/>
      <c r="R118" s="63"/>
    </row>
    <row r="119" spans="1:18" x14ac:dyDescent="0.25">
      <c r="A119" s="3"/>
      <c r="B119" s="4"/>
      <c r="C119" s="9"/>
      <c r="D119" s="360"/>
      <c r="E119" s="480"/>
      <c r="F119" s="360"/>
      <c r="G119" s="480"/>
      <c r="H119" s="360"/>
      <c r="I119" s="480"/>
      <c r="J119" s="360"/>
      <c r="K119" s="480"/>
      <c r="L119" s="360"/>
      <c r="M119" s="480"/>
      <c r="N119" s="562"/>
      <c r="O119" s="6"/>
      <c r="P119" s="338"/>
      <c r="Q119" s="10"/>
      <c r="R119" s="63"/>
    </row>
    <row r="120" spans="1:18" x14ac:dyDescent="0.25">
      <c r="A120" s="3"/>
      <c r="B120" s="4"/>
      <c r="C120" s="9"/>
      <c r="D120" s="360"/>
      <c r="E120" s="480"/>
      <c r="F120" s="360"/>
      <c r="G120" s="480"/>
      <c r="H120" s="360"/>
      <c r="I120" s="480"/>
      <c r="J120" s="360"/>
      <c r="K120" s="480"/>
      <c r="L120" s="360"/>
      <c r="M120" s="480"/>
      <c r="N120" s="562"/>
      <c r="O120" s="6"/>
      <c r="P120" s="338"/>
      <c r="Q120" s="10"/>
      <c r="R120" s="63"/>
    </row>
    <row r="121" spans="1:18" x14ac:dyDescent="0.25">
      <c r="A121" s="3"/>
      <c r="B121" s="4"/>
      <c r="C121" s="9"/>
      <c r="D121" s="389"/>
      <c r="E121" s="476"/>
      <c r="F121" s="360"/>
      <c r="G121" s="480"/>
      <c r="H121" s="360"/>
      <c r="I121" s="480"/>
      <c r="J121" s="360"/>
      <c r="K121" s="480"/>
      <c r="L121" s="360"/>
      <c r="M121" s="480"/>
      <c r="N121" s="562"/>
      <c r="O121" s="6"/>
      <c r="P121" s="338"/>
      <c r="Q121" s="10"/>
      <c r="R121" s="63"/>
    </row>
    <row r="122" spans="1:18" x14ac:dyDescent="0.25">
      <c r="A122" s="3"/>
      <c r="B122" s="4"/>
      <c r="C122" s="9"/>
      <c r="D122" s="389"/>
      <c r="E122" s="476"/>
      <c r="F122" s="360"/>
      <c r="G122" s="480"/>
      <c r="H122" s="360"/>
      <c r="I122" s="480"/>
      <c r="J122" s="360"/>
      <c r="K122" s="480"/>
      <c r="L122" s="360"/>
      <c r="M122" s="480"/>
      <c r="N122" s="562"/>
      <c r="O122" s="6"/>
      <c r="P122" s="338"/>
      <c r="Q122" s="10"/>
      <c r="R122" s="63"/>
    </row>
    <row r="123" spans="1:18" x14ac:dyDescent="0.25">
      <c r="A123" s="3"/>
      <c r="B123" s="3"/>
      <c r="C123" s="9"/>
      <c r="D123" s="360"/>
      <c r="E123" s="480"/>
      <c r="F123" s="360"/>
      <c r="G123" s="480"/>
      <c r="H123" s="360"/>
      <c r="I123" s="480"/>
      <c r="J123" s="360"/>
      <c r="K123" s="480"/>
      <c r="L123" s="360"/>
      <c r="M123" s="480"/>
      <c r="N123" s="562"/>
      <c r="O123" s="6"/>
      <c r="P123" s="338"/>
      <c r="Q123" s="10"/>
      <c r="R123" s="63"/>
    </row>
    <row r="124" spans="1:18" x14ac:dyDescent="0.25">
      <c r="A124" s="3"/>
      <c r="B124" s="4"/>
      <c r="C124" s="9"/>
      <c r="D124" s="389"/>
      <c r="E124" s="476"/>
      <c r="F124" s="360"/>
      <c r="G124" s="480"/>
      <c r="H124" s="360"/>
      <c r="I124" s="480"/>
      <c r="J124" s="360"/>
      <c r="K124" s="480"/>
      <c r="L124" s="360"/>
      <c r="M124" s="480"/>
      <c r="N124" s="562"/>
      <c r="O124" s="6"/>
      <c r="P124" s="338"/>
      <c r="Q124" s="10"/>
      <c r="R124" s="63"/>
    </row>
    <row r="125" spans="1:18" x14ac:dyDescent="0.25">
      <c r="A125" s="3"/>
      <c r="B125" s="4"/>
      <c r="C125" s="9"/>
      <c r="D125" s="389"/>
      <c r="E125" s="476"/>
      <c r="F125" s="360"/>
      <c r="G125" s="480"/>
      <c r="H125" s="360"/>
      <c r="I125" s="480"/>
      <c r="J125" s="360"/>
      <c r="K125" s="480"/>
      <c r="L125" s="360"/>
      <c r="M125" s="480"/>
      <c r="N125" s="562"/>
      <c r="O125" s="6"/>
      <c r="P125" s="338"/>
      <c r="Q125" s="10"/>
      <c r="R125" s="64"/>
    </row>
    <row r="126" spans="1:18" x14ac:dyDescent="0.25">
      <c r="A126" s="3"/>
      <c r="B126" s="4"/>
      <c r="C126" s="9"/>
      <c r="D126" s="360"/>
      <c r="E126" s="480"/>
      <c r="F126" s="360"/>
      <c r="G126" s="480"/>
      <c r="H126" s="360"/>
      <c r="I126" s="480"/>
      <c r="J126" s="360"/>
      <c r="K126" s="480"/>
      <c r="L126" s="360"/>
      <c r="M126" s="480"/>
      <c r="N126" s="562"/>
      <c r="O126" s="6"/>
      <c r="P126" s="338"/>
      <c r="Q126" s="10"/>
      <c r="R126" s="63"/>
    </row>
    <row r="127" spans="1:18" x14ac:dyDescent="0.25">
      <c r="A127" s="3"/>
      <c r="B127" s="3"/>
      <c r="C127" s="9"/>
      <c r="D127" s="389"/>
      <c r="E127" s="476"/>
      <c r="F127" s="360"/>
      <c r="G127" s="480"/>
      <c r="H127" s="360"/>
      <c r="I127" s="480"/>
      <c r="J127" s="360"/>
      <c r="K127" s="480"/>
      <c r="L127" s="360"/>
      <c r="M127" s="480"/>
      <c r="N127" s="562"/>
      <c r="O127" s="6"/>
      <c r="P127" s="338"/>
      <c r="Q127" s="10"/>
      <c r="R127" s="63"/>
    </row>
    <row r="128" spans="1:18" x14ac:dyDescent="0.25">
      <c r="A128" s="3"/>
      <c r="B128" s="4"/>
      <c r="C128" s="9"/>
      <c r="D128" s="389"/>
      <c r="E128" s="476"/>
      <c r="F128" s="360"/>
      <c r="G128" s="480"/>
      <c r="H128" s="360"/>
      <c r="I128" s="480"/>
      <c r="J128" s="360"/>
      <c r="K128" s="480"/>
      <c r="L128" s="360"/>
      <c r="M128" s="480"/>
      <c r="N128" s="562"/>
      <c r="O128" s="6"/>
      <c r="P128" s="338"/>
      <c r="Q128" s="10"/>
      <c r="R128" s="63"/>
    </row>
    <row r="129" spans="1:18" x14ac:dyDescent="0.25">
      <c r="A129" s="3"/>
      <c r="B129" s="4"/>
      <c r="C129" s="9"/>
      <c r="D129" s="360"/>
      <c r="E129" s="480"/>
      <c r="F129" s="360"/>
      <c r="G129" s="480"/>
      <c r="H129" s="360"/>
      <c r="I129" s="480"/>
      <c r="J129" s="360"/>
      <c r="K129" s="480"/>
      <c r="L129" s="360"/>
      <c r="M129" s="480"/>
      <c r="N129" s="562"/>
      <c r="O129" s="6"/>
      <c r="P129" s="338"/>
      <c r="Q129" s="10"/>
      <c r="R129" s="63"/>
    </row>
    <row r="130" spans="1:18" x14ac:dyDescent="0.25">
      <c r="A130" s="3"/>
      <c r="B130" s="4"/>
      <c r="C130" s="9"/>
      <c r="D130" s="360"/>
      <c r="E130" s="480"/>
      <c r="F130" s="360"/>
      <c r="G130" s="480"/>
      <c r="H130" s="360"/>
      <c r="I130" s="480"/>
      <c r="J130" s="360"/>
      <c r="K130" s="480"/>
      <c r="L130" s="360"/>
      <c r="M130" s="480"/>
      <c r="N130" s="562"/>
      <c r="O130" s="6"/>
      <c r="P130" s="338"/>
      <c r="Q130" s="10"/>
      <c r="R130" s="63"/>
    </row>
    <row r="131" spans="1:18" x14ac:dyDescent="0.25">
      <c r="A131" s="3"/>
      <c r="B131" s="4"/>
      <c r="C131" s="9"/>
      <c r="D131" s="360"/>
      <c r="E131" s="480"/>
      <c r="F131" s="360"/>
      <c r="G131" s="480"/>
      <c r="H131" s="360"/>
      <c r="I131" s="480"/>
      <c r="J131" s="360"/>
      <c r="K131" s="480"/>
      <c r="L131" s="360"/>
      <c r="M131" s="480"/>
      <c r="N131" s="562"/>
      <c r="O131" s="6"/>
      <c r="P131" s="338"/>
      <c r="Q131" s="10"/>
      <c r="R131" s="63"/>
    </row>
    <row r="132" spans="1:18" x14ac:dyDescent="0.25">
      <c r="A132" s="3"/>
      <c r="B132" s="4"/>
      <c r="C132" s="9"/>
      <c r="D132" s="360"/>
      <c r="E132" s="480"/>
      <c r="F132" s="360"/>
      <c r="G132" s="480"/>
      <c r="H132" s="360"/>
      <c r="I132" s="480"/>
      <c r="J132" s="360"/>
      <c r="K132" s="480"/>
      <c r="L132" s="360"/>
      <c r="M132" s="480"/>
      <c r="N132" s="562"/>
      <c r="O132" s="6"/>
      <c r="P132" s="338"/>
      <c r="Q132" s="10"/>
      <c r="R132" s="63"/>
    </row>
    <row r="133" spans="1:18" x14ac:dyDescent="0.25">
      <c r="A133" s="3"/>
      <c r="B133" s="4"/>
      <c r="C133" s="9"/>
      <c r="D133" s="360"/>
      <c r="E133" s="480"/>
      <c r="F133" s="360"/>
      <c r="G133" s="480"/>
      <c r="H133" s="360"/>
      <c r="I133" s="480"/>
      <c r="J133" s="360"/>
      <c r="K133" s="480"/>
      <c r="L133" s="360"/>
      <c r="M133" s="480"/>
      <c r="N133" s="562"/>
      <c r="O133" s="6"/>
      <c r="P133" s="338"/>
      <c r="Q133" s="10"/>
      <c r="R133" s="63"/>
    </row>
    <row r="134" spans="1:18" x14ac:dyDescent="0.25">
      <c r="A134" s="3"/>
      <c r="B134" s="4"/>
      <c r="C134" s="9"/>
      <c r="D134" s="360"/>
      <c r="E134" s="480"/>
      <c r="F134" s="360"/>
      <c r="G134" s="480"/>
      <c r="H134" s="360"/>
      <c r="I134" s="480"/>
      <c r="J134" s="360"/>
      <c r="K134" s="480"/>
      <c r="L134" s="360"/>
      <c r="M134" s="480"/>
      <c r="N134" s="562"/>
      <c r="O134" s="6"/>
      <c r="P134" s="338"/>
      <c r="Q134" s="10"/>
      <c r="R134" s="63"/>
    </row>
    <row r="135" spans="1:18" x14ac:dyDescent="0.25">
      <c r="A135" s="3"/>
      <c r="B135" s="4"/>
      <c r="C135" s="9"/>
      <c r="D135" s="360"/>
      <c r="E135" s="480"/>
      <c r="F135" s="360"/>
      <c r="G135" s="480"/>
      <c r="H135" s="360"/>
      <c r="I135" s="480"/>
      <c r="J135" s="360"/>
      <c r="K135" s="480"/>
      <c r="L135" s="360"/>
      <c r="M135" s="480"/>
      <c r="N135" s="562"/>
      <c r="O135" s="6"/>
      <c r="P135" s="338"/>
      <c r="Q135" s="10"/>
      <c r="R135" s="64"/>
    </row>
    <row r="136" spans="1:18" x14ac:dyDescent="0.25">
      <c r="A136" s="3"/>
      <c r="B136" s="4"/>
      <c r="C136" s="9"/>
      <c r="D136" s="360"/>
      <c r="E136" s="480"/>
      <c r="F136" s="360"/>
      <c r="G136" s="480"/>
      <c r="H136" s="360"/>
      <c r="I136" s="480"/>
      <c r="J136" s="360"/>
      <c r="K136" s="480"/>
      <c r="L136" s="360"/>
      <c r="M136" s="480"/>
      <c r="N136" s="562"/>
      <c r="O136" s="6"/>
      <c r="P136" s="338"/>
      <c r="Q136" s="10"/>
      <c r="R136" s="63"/>
    </row>
    <row r="137" spans="1:18" x14ac:dyDescent="0.25">
      <c r="A137" s="3"/>
      <c r="B137" s="4"/>
      <c r="C137" s="9"/>
      <c r="D137" s="360"/>
      <c r="E137" s="480"/>
      <c r="F137" s="360"/>
      <c r="G137" s="480"/>
      <c r="H137" s="360"/>
      <c r="I137" s="480"/>
      <c r="J137" s="360"/>
      <c r="K137" s="480"/>
      <c r="L137" s="360"/>
      <c r="M137" s="480"/>
      <c r="N137" s="562"/>
      <c r="O137" s="6"/>
      <c r="P137" s="338"/>
      <c r="Q137" s="10"/>
      <c r="R137" s="63"/>
    </row>
    <row r="138" spans="1:18" x14ac:dyDescent="0.25">
      <c r="A138" s="3"/>
      <c r="B138" s="4"/>
      <c r="C138" s="9"/>
      <c r="D138" s="360"/>
      <c r="E138" s="480"/>
      <c r="F138" s="360"/>
      <c r="G138" s="480"/>
      <c r="H138" s="360"/>
      <c r="I138" s="480"/>
      <c r="J138" s="360"/>
      <c r="K138" s="480"/>
      <c r="L138" s="360"/>
      <c r="M138" s="480"/>
      <c r="N138" s="562"/>
      <c r="O138" s="6"/>
      <c r="P138" s="338"/>
      <c r="Q138" s="10"/>
      <c r="R138" s="63"/>
    </row>
    <row r="139" spans="1:18" x14ac:dyDescent="0.25">
      <c r="A139" s="3"/>
      <c r="B139" s="4"/>
      <c r="C139" s="9"/>
      <c r="D139" s="360"/>
      <c r="E139" s="480"/>
      <c r="F139" s="360"/>
      <c r="G139" s="480"/>
      <c r="H139" s="360"/>
      <c r="I139" s="480"/>
      <c r="J139" s="360"/>
      <c r="K139" s="480"/>
      <c r="L139" s="360"/>
      <c r="M139" s="480"/>
      <c r="N139" s="562"/>
      <c r="O139" s="6"/>
      <c r="P139" s="338"/>
      <c r="Q139" s="10"/>
      <c r="R139" s="63"/>
    </row>
    <row r="140" spans="1:18" x14ac:dyDescent="0.25">
      <c r="A140" s="3"/>
      <c r="B140" s="4"/>
      <c r="C140" s="9"/>
      <c r="D140" s="360"/>
      <c r="E140" s="480"/>
      <c r="F140" s="360"/>
      <c r="G140" s="480"/>
      <c r="H140" s="360"/>
      <c r="I140" s="480"/>
      <c r="J140" s="360"/>
      <c r="K140" s="480"/>
      <c r="L140" s="360"/>
      <c r="M140" s="480"/>
      <c r="N140" s="562"/>
      <c r="O140" s="6"/>
      <c r="P140" s="338"/>
      <c r="Q140" s="10"/>
      <c r="R140" s="63"/>
    </row>
    <row r="141" spans="1:18" x14ac:dyDescent="0.25">
      <c r="A141" s="3"/>
      <c r="B141" s="4"/>
      <c r="C141" s="9"/>
      <c r="D141" s="360"/>
      <c r="E141" s="480"/>
      <c r="F141" s="360"/>
      <c r="G141" s="480"/>
      <c r="H141" s="360"/>
      <c r="I141" s="480"/>
      <c r="J141" s="360"/>
      <c r="K141" s="480"/>
      <c r="L141" s="360"/>
      <c r="M141" s="480"/>
      <c r="N141" s="562"/>
      <c r="O141" s="6"/>
      <c r="P141" s="338"/>
      <c r="Q141" s="10"/>
      <c r="R141" s="63"/>
    </row>
    <row r="142" spans="1:18" x14ac:dyDescent="0.25">
      <c r="A142" s="3"/>
      <c r="B142" s="4"/>
      <c r="C142" s="9"/>
      <c r="D142" s="360"/>
      <c r="E142" s="480"/>
      <c r="F142" s="360"/>
      <c r="G142" s="480"/>
      <c r="H142" s="360"/>
      <c r="I142" s="480"/>
      <c r="J142" s="360"/>
      <c r="K142" s="480"/>
      <c r="L142" s="360"/>
      <c r="M142" s="480"/>
      <c r="N142" s="562"/>
      <c r="O142" s="6"/>
      <c r="P142" s="338"/>
      <c r="Q142" s="10"/>
      <c r="R142" s="63"/>
    </row>
    <row r="143" spans="1:18" x14ac:dyDescent="0.25">
      <c r="A143" s="3"/>
      <c r="B143" s="4"/>
      <c r="C143" s="9"/>
      <c r="D143" s="360"/>
      <c r="E143" s="480"/>
      <c r="F143" s="360"/>
      <c r="G143" s="480"/>
      <c r="H143" s="360"/>
      <c r="I143" s="480"/>
      <c r="J143" s="360"/>
      <c r="K143" s="480"/>
      <c r="L143" s="360"/>
      <c r="M143" s="480"/>
      <c r="N143" s="562"/>
      <c r="O143" s="6"/>
      <c r="P143" s="338"/>
      <c r="Q143" s="10"/>
      <c r="R143" s="63"/>
    </row>
    <row r="144" spans="1:18" x14ac:dyDescent="0.25">
      <c r="A144" s="3"/>
      <c r="B144" s="4"/>
      <c r="C144" s="9"/>
      <c r="D144" s="360"/>
      <c r="E144" s="480"/>
      <c r="F144" s="360"/>
      <c r="G144" s="480"/>
      <c r="H144" s="360"/>
      <c r="I144" s="480"/>
      <c r="J144" s="360"/>
      <c r="K144" s="480"/>
      <c r="L144" s="360"/>
      <c r="M144" s="480"/>
      <c r="N144" s="562"/>
      <c r="O144" s="6"/>
      <c r="P144" s="338"/>
      <c r="Q144" s="10"/>
      <c r="R144" s="63"/>
    </row>
    <row r="145" spans="1:18" x14ac:dyDescent="0.25">
      <c r="A145" s="3"/>
      <c r="B145" s="4"/>
      <c r="C145" s="9"/>
      <c r="D145" s="360"/>
      <c r="E145" s="480"/>
      <c r="F145" s="360"/>
      <c r="G145" s="480"/>
      <c r="H145" s="360"/>
      <c r="I145" s="480"/>
      <c r="J145" s="360"/>
      <c r="K145" s="480"/>
      <c r="L145" s="360"/>
      <c r="M145" s="480"/>
      <c r="N145" s="562"/>
      <c r="O145" s="6"/>
      <c r="P145" s="338"/>
      <c r="Q145" s="10"/>
      <c r="R145" s="63"/>
    </row>
    <row r="146" spans="1:18" x14ac:dyDescent="0.25">
      <c r="A146" s="3"/>
      <c r="B146" s="4"/>
      <c r="C146" s="9"/>
      <c r="D146" s="389"/>
      <c r="E146" s="476"/>
      <c r="F146" s="360"/>
      <c r="G146" s="480"/>
      <c r="H146" s="360"/>
      <c r="I146" s="480"/>
      <c r="J146" s="360"/>
      <c r="K146" s="480"/>
      <c r="L146" s="360"/>
      <c r="M146" s="480"/>
      <c r="N146" s="562"/>
      <c r="O146" s="6"/>
      <c r="P146" s="338"/>
      <c r="Q146" s="10"/>
      <c r="R146" s="63"/>
    </row>
    <row r="147" spans="1:18" x14ac:dyDescent="0.25">
      <c r="A147" s="3"/>
      <c r="B147" s="4"/>
      <c r="C147" s="9"/>
      <c r="D147" s="360"/>
      <c r="E147" s="480"/>
      <c r="F147" s="360"/>
      <c r="G147" s="480"/>
      <c r="H147" s="360"/>
      <c r="I147" s="480"/>
      <c r="J147" s="360"/>
      <c r="K147" s="480"/>
      <c r="L147" s="360"/>
      <c r="M147" s="480"/>
      <c r="N147" s="562"/>
      <c r="O147" s="6"/>
      <c r="P147" s="338"/>
      <c r="Q147" s="10"/>
      <c r="R147" s="63"/>
    </row>
    <row r="148" spans="1:18" x14ac:dyDescent="0.25">
      <c r="A148" s="3"/>
      <c r="B148" s="4"/>
      <c r="C148" s="9"/>
      <c r="D148" s="389"/>
      <c r="E148" s="476"/>
      <c r="F148" s="360"/>
      <c r="G148" s="480"/>
      <c r="H148" s="360"/>
      <c r="I148" s="480"/>
      <c r="J148" s="360"/>
      <c r="K148" s="480"/>
      <c r="L148" s="360"/>
      <c r="M148" s="480"/>
      <c r="N148" s="562"/>
      <c r="O148" s="6"/>
      <c r="P148" s="338"/>
      <c r="Q148" s="10"/>
      <c r="R148" s="63"/>
    </row>
    <row r="149" spans="1:18" x14ac:dyDescent="0.25">
      <c r="A149" s="3"/>
      <c r="B149" s="4"/>
      <c r="C149" s="8"/>
      <c r="D149" s="360"/>
      <c r="E149" s="480"/>
      <c r="F149" s="360"/>
      <c r="G149" s="480"/>
      <c r="H149" s="360"/>
      <c r="I149" s="480"/>
      <c r="J149" s="360"/>
      <c r="K149" s="480"/>
      <c r="L149" s="360"/>
      <c r="M149" s="480"/>
      <c r="N149" s="562"/>
      <c r="O149" s="6"/>
      <c r="P149" s="338"/>
      <c r="Q149" s="10"/>
      <c r="R149" s="63"/>
    </row>
    <row r="150" spans="1:18" x14ac:dyDescent="0.25">
      <c r="A150" s="3"/>
      <c r="B150" s="4"/>
      <c r="C150" s="9"/>
      <c r="D150" s="360"/>
      <c r="E150" s="480"/>
      <c r="F150" s="360"/>
      <c r="G150" s="480"/>
      <c r="H150" s="360"/>
      <c r="I150" s="480"/>
      <c r="J150" s="360"/>
      <c r="K150" s="480"/>
      <c r="L150" s="360"/>
      <c r="M150" s="480"/>
      <c r="N150" s="562"/>
      <c r="O150" s="6"/>
      <c r="P150" s="338"/>
      <c r="Q150" s="10"/>
      <c r="R150" s="63"/>
    </row>
    <row r="151" spans="1:18" x14ac:dyDescent="0.25">
      <c r="A151" s="3"/>
      <c r="B151" s="4"/>
      <c r="C151" s="8"/>
      <c r="D151" s="389"/>
      <c r="E151" s="476"/>
      <c r="F151" s="360"/>
      <c r="G151" s="480"/>
      <c r="H151" s="360"/>
      <c r="I151" s="480"/>
      <c r="J151" s="360"/>
      <c r="K151" s="480"/>
      <c r="L151" s="360"/>
      <c r="M151" s="480"/>
      <c r="N151" s="562"/>
      <c r="O151" s="6"/>
      <c r="P151" s="338"/>
      <c r="Q151" s="10"/>
      <c r="R151" s="63"/>
    </row>
    <row r="152" spans="1:18" x14ac:dyDescent="0.25">
      <c r="A152" s="3"/>
      <c r="B152" s="4"/>
      <c r="C152" s="9"/>
      <c r="D152" s="389"/>
      <c r="E152" s="476"/>
      <c r="F152" s="360"/>
      <c r="G152" s="480"/>
      <c r="H152" s="360"/>
      <c r="I152" s="480"/>
      <c r="J152" s="360"/>
      <c r="K152" s="480"/>
      <c r="L152" s="360"/>
      <c r="M152" s="480"/>
      <c r="N152" s="562"/>
      <c r="O152" s="6"/>
      <c r="P152" s="338"/>
      <c r="Q152" s="10"/>
      <c r="R152" s="63"/>
    </row>
    <row r="153" spans="1:18" x14ac:dyDescent="0.25">
      <c r="A153" s="3"/>
      <c r="B153" s="4"/>
      <c r="C153" s="9"/>
      <c r="D153" s="360"/>
      <c r="E153" s="480"/>
      <c r="F153" s="360"/>
      <c r="G153" s="480"/>
      <c r="H153" s="360"/>
      <c r="I153" s="480"/>
      <c r="J153" s="360"/>
      <c r="K153" s="480"/>
      <c r="L153" s="360"/>
      <c r="M153" s="480"/>
      <c r="N153" s="562"/>
      <c r="O153" s="6"/>
      <c r="P153" s="338"/>
      <c r="Q153" s="10"/>
      <c r="R153" s="63"/>
    </row>
    <row r="154" spans="1:18" x14ac:dyDescent="0.25">
      <c r="A154" s="3"/>
      <c r="B154" s="4"/>
      <c r="C154" s="9"/>
      <c r="D154" s="360"/>
      <c r="E154" s="480"/>
      <c r="F154" s="360"/>
      <c r="G154" s="480"/>
      <c r="H154" s="360"/>
      <c r="I154" s="480"/>
      <c r="J154" s="360"/>
      <c r="K154" s="480"/>
      <c r="L154" s="360"/>
      <c r="M154" s="480"/>
      <c r="N154" s="562"/>
      <c r="O154" s="6"/>
      <c r="P154" s="338"/>
      <c r="Q154" s="10"/>
      <c r="R154" s="63"/>
    </row>
    <row r="155" spans="1:18" x14ac:dyDescent="0.25">
      <c r="A155" s="3"/>
      <c r="B155" s="4"/>
      <c r="C155" s="9"/>
      <c r="D155" s="360"/>
      <c r="E155" s="480"/>
      <c r="F155" s="360"/>
      <c r="G155" s="480"/>
      <c r="H155" s="360"/>
      <c r="I155" s="480"/>
      <c r="J155" s="360"/>
      <c r="K155" s="480"/>
      <c r="L155" s="360"/>
      <c r="M155" s="480"/>
      <c r="N155" s="562"/>
      <c r="O155" s="6"/>
      <c r="P155" s="338"/>
      <c r="Q155" s="10"/>
      <c r="R155" s="63"/>
    </row>
    <row r="156" spans="1:18" x14ac:dyDescent="0.25">
      <c r="A156" s="3"/>
      <c r="B156" s="4"/>
      <c r="C156" s="9"/>
      <c r="D156" s="360"/>
      <c r="E156" s="480"/>
      <c r="F156" s="360"/>
      <c r="G156" s="480"/>
      <c r="H156" s="360"/>
      <c r="I156" s="480"/>
      <c r="J156" s="360"/>
      <c r="K156" s="480"/>
      <c r="L156" s="360"/>
      <c r="M156" s="480"/>
      <c r="N156" s="562"/>
      <c r="O156" s="6"/>
      <c r="P156" s="338"/>
      <c r="Q156" s="10"/>
      <c r="R156" s="63"/>
    </row>
    <row r="157" spans="1:18" x14ac:dyDescent="0.25">
      <c r="A157" s="3"/>
      <c r="B157" s="4"/>
      <c r="C157" s="8"/>
      <c r="D157" s="360"/>
      <c r="E157" s="480"/>
      <c r="F157" s="360"/>
      <c r="G157" s="480"/>
      <c r="H157" s="360"/>
      <c r="I157" s="480"/>
      <c r="J157" s="360"/>
      <c r="K157" s="480"/>
      <c r="L157" s="360"/>
      <c r="M157" s="480"/>
      <c r="N157" s="562"/>
      <c r="O157" s="6"/>
      <c r="P157" s="338"/>
      <c r="Q157" s="10"/>
      <c r="R157" s="63"/>
    </row>
    <row r="158" spans="1:18" x14ac:dyDescent="0.25">
      <c r="A158" s="3"/>
      <c r="B158" s="4"/>
      <c r="C158" s="9"/>
      <c r="D158" s="360"/>
      <c r="E158" s="480"/>
      <c r="F158" s="360"/>
      <c r="G158" s="480"/>
      <c r="H158" s="360"/>
      <c r="I158" s="480"/>
      <c r="J158" s="360"/>
      <c r="K158" s="480"/>
      <c r="L158" s="360"/>
      <c r="M158" s="480"/>
      <c r="N158" s="562"/>
      <c r="O158" s="6"/>
      <c r="P158" s="338"/>
      <c r="Q158" s="10"/>
      <c r="R158" s="63"/>
    </row>
    <row r="159" spans="1:18" x14ac:dyDescent="0.25">
      <c r="A159" s="3"/>
      <c r="B159" s="4"/>
      <c r="C159" s="8"/>
      <c r="D159" s="360"/>
      <c r="E159" s="480"/>
      <c r="F159" s="360"/>
      <c r="G159" s="480"/>
      <c r="H159" s="360"/>
      <c r="I159" s="480"/>
      <c r="J159" s="360"/>
      <c r="K159" s="480"/>
      <c r="L159" s="360"/>
      <c r="M159" s="480"/>
      <c r="N159" s="562"/>
      <c r="O159" s="6"/>
      <c r="P159" s="338"/>
      <c r="Q159" s="10"/>
      <c r="R159" s="63"/>
    </row>
    <row r="160" spans="1:18" x14ac:dyDescent="0.25">
      <c r="A160" s="3"/>
      <c r="B160" s="4"/>
      <c r="C160" s="9"/>
      <c r="D160" s="360"/>
      <c r="E160" s="480"/>
      <c r="F160" s="360"/>
      <c r="G160" s="480"/>
      <c r="H160" s="360"/>
      <c r="I160" s="480"/>
      <c r="J160" s="360"/>
      <c r="K160" s="480"/>
      <c r="L160" s="360"/>
      <c r="M160" s="480"/>
      <c r="N160" s="562"/>
      <c r="O160" s="6"/>
      <c r="P160" s="338"/>
      <c r="Q160" s="10"/>
      <c r="R160" s="63"/>
    </row>
    <row r="161" spans="1:18" x14ac:dyDescent="0.25">
      <c r="A161" s="3"/>
      <c r="B161" s="4"/>
      <c r="C161" s="9"/>
      <c r="D161" s="360"/>
      <c r="E161" s="480"/>
      <c r="F161" s="360"/>
      <c r="G161" s="480"/>
      <c r="H161" s="360"/>
      <c r="I161" s="480"/>
      <c r="J161" s="360"/>
      <c r="K161" s="480"/>
      <c r="L161" s="360"/>
      <c r="M161" s="480"/>
      <c r="N161" s="562"/>
      <c r="O161" s="6"/>
      <c r="P161" s="338"/>
      <c r="Q161" s="10"/>
      <c r="R161" s="63"/>
    </row>
    <row r="162" spans="1:18" x14ac:dyDescent="0.25">
      <c r="A162" s="3"/>
      <c r="B162" s="4"/>
      <c r="C162" s="9"/>
      <c r="D162" s="360"/>
      <c r="E162" s="480"/>
      <c r="F162" s="360"/>
      <c r="G162" s="480"/>
      <c r="H162" s="360"/>
      <c r="I162" s="480"/>
      <c r="J162" s="360"/>
      <c r="K162" s="480"/>
      <c r="L162" s="360"/>
      <c r="M162" s="480"/>
      <c r="N162" s="562"/>
      <c r="O162" s="6"/>
      <c r="P162" s="338"/>
      <c r="Q162" s="10"/>
      <c r="R162" s="63"/>
    </row>
    <row r="163" spans="1:18" x14ac:dyDescent="0.25">
      <c r="A163" s="3"/>
      <c r="B163" s="3"/>
      <c r="C163" s="8"/>
      <c r="D163" s="389"/>
      <c r="E163" s="476"/>
      <c r="F163" s="360"/>
      <c r="G163" s="480"/>
      <c r="H163" s="360"/>
      <c r="I163" s="480"/>
      <c r="J163" s="360"/>
      <c r="K163" s="480"/>
      <c r="L163" s="360"/>
      <c r="M163" s="480"/>
      <c r="N163" s="562"/>
      <c r="O163" s="6"/>
      <c r="P163" s="338"/>
      <c r="Q163" s="10"/>
      <c r="R163" s="63"/>
    </row>
    <row r="164" spans="1:18" x14ac:dyDescent="0.25">
      <c r="A164" s="3"/>
      <c r="B164" s="4"/>
      <c r="C164" s="9"/>
      <c r="D164" s="360"/>
      <c r="E164" s="480"/>
      <c r="F164" s="360"/>
      <c r="G164" s="480"/>
      <c r="H164" s="360"/>
      <c r="I164" s="480"/>
      <c r="J164" s="360"/>
      <c r="K164" s="480"/>
      <c r="L164" s="360"/>
      <c r="M164" s="480"/>
      <c r="N164" s="562"/>
      <c r="O164" s="6"/>
      <c r="P164" s="338"/>
      <c r="Q164" s="10"/>
      <c r="R164" s="63"/>
    </row>
    <row r="165" spans="1:18" x14ac:dyDescent="0.25">
      <c r="A165" s="3"/>
      <c r="B165" s="4"/>
      <c r="C165" s="9"/>
      <c r="D165" s="360"/>
      <c r="E165" s="480"/>
      <c r="F165" s="360"/>
      <c r="G165" s="480"/>
      <c r="H165" s="360"/>
      <c r="I165" s="480"/>
      <c r="J165" s="360"/>
      <c r="K165" s="480"/>
      <c r="L165" s="360"/>
      <c r="M165" s="480"/>
      <c r="N165" s="562"/>
      <c r="O165" s="6"/>
      <c r="P165" s="338"/>
      <c r="Q165" s="10"/>
      <c r="R165" s="63"/>
    </row>
    <row r="166" spans="1:18" x14ac:dyDescent="0.25">
      <c r="A166" s="3"/>
      <c r="B166" s="4"/>
      <c r="C166" s="9"/>
      <c r="D166" s="389"/>
      <c r="E166" s="476"/>
      <c r="F166" s="360"/>
      <c r="G166" s="480"/>
      <c r="H166" s="360"/>
      <c r="I166" s="480"/>
      <c r="J166" s="360"/>
      <c r="K166" s="480"/>
      <c r="L166" s="360"/>
      <c r="M166" s="480"/>
      <c r="N166" s="562"/>
      <c r="O166" s="6"/>
      <c r="P166" s="338"/>
      <c r="Q166" s="10"/>
      <c r="R166" s="64"/>
    </row>
    <row r="167" spans="1:18" x14ac:dyDescent="0.25">
      <c r="A167" s="3"/>
      <c r="B167" s="4"/>
      <c r="C167" s="9"/>
      <c r="D167" s="389"/>
      <c r="E167" s="476"/>
      <c r="F167" s="360"/>
      <c r="G167" s="480"/>
      <c r="H167" s="360"/>
      <c r="I167" s="480"/>
      <c r="J167" s="360"/>
      <c r="K167" s="480"/>
      <c r="L167" s="360"/>
      <c r="M167" s="480"/>
      <c r="N167" s="562"/>
      <c r="O167" s="6"/>
      <c r="P167" s="338"/>
      <c r="Q167" s="10"/>
      <c r="R167" s="63"/>
    </row>
    <row r="168" spans="1:18" x14ac:dyDescent="0.25">
      <c r="A168" s="3"/>
      <c r="B168" s="4"/>
      <c r="C168" s="8"/>
      <c r="D168" s="360"/>
      <c r="E168" s="480"/>
      <c r="F168" s="360"/>
      <c r="G168" s="480"/>
      <c r="H168" s="360"/>
      <c r="I168" s="480"/>
      <c r="J168" s="360"/>
      <c r="K168" s="480"/>
      <c r="L168" s="360"/>
      <c r="M168" s="480"/>
      <c r="N168" s="562"/>
      <c r="O168" s="6"/>
      <c r="P168" s="338"/>
      <c r="Q168" s="10"/>
      <c r="R168" s="63"/>
    </row>
    <row r="169" spans="1:18" x14ac:dyDescent="0.25">
      <c r="A169" s="3"/>
      <c r="B169" s="4"/>
      <c r="C169" s="9"/>
      <c r="D169" s="389"/>
      <c r="E169" s="476"/>
      <c r="F169" s="360"/>
      <c r="G169" s="480"/>
      <c r="H169" s="360"/>
      <c r="I169" s="480"/>
      <c r="J169" s="360"/>
      <c r="K169" s="480"/>
      <c r="L169" s="360"/>
      <c r="M169" s="480"/>
      <c r="N169" s="562"/>
      <c r="O169" s="6"/>
      <c r="P169" s="338"/>
      <c r="Q169" s="10"/>
      <c r="R169" s="63"/>
    </row>
    <row r="170" spans="1:18" x14ac:dyDescent="0.25">
      <c r="A170" s="3"/>
      <c r="B170" s="4"/>
      <c r="C170" s="9"/>
      <c r="D170" s="389"/>
      <c r="E170" s="476"/>
      <c r="F170" s="360"/>
      <c r="G170" s="480"/>
      <c r="H170" s="360"/>
      <c r="I170" s="480"/>
      <c r="J170" s="360"/>
      <c r="K170" s="480"/>
      <c r="L170" s="360"/>
      <c r="M170" s="480"/>
      <c r="N170" s="562"/>
      <c r="O170" s="6"/>
      <c r="P170" s="338"/>
      <c r="Q170" s="10"/>
      <c r="R170" s="63"/>
    </row>
    <row r="171" spans="1:18" x14ac:dyDescent="0.25">
      <c r="A171" s="3"/>
      <c r="B171" s="4"/>
      <c r="C171" s="8"/>
      <c r="D171" s="360"/>
      <c r="E171" s="480"/>
      <c r="F171" s="360"/>
      <c r="G171" s="480"/>
      <c r="H171" s="360"/>
      <c r="I171" s="480"/>
      <c r="J171" s="360"/>
      <c r="K171" s="480"/>
      <c r="L171" s="360"/>
      <c r="M171" s="480"/>
      <c r="N171" s="562"/>
      <c r="O171" s="6"/>
      <c r="P171" s="338"/>
      <c r="Q171" s="10"/>
      <c r="R171" s="63"/>
    </row>
    <row r="172" spans="1:18" x14ac:dyDescent="0.25">
      <c r="A172" s="3"/>
      <c r="B172" s="4"/>
      <c r="C172" s="8"/>
      <c r="D172" s="360"/>
      <c r="E172" s="480"/>
      <c r="F172" s="360"/>
      <c r="G172" s="480"/>
      <c r="H172" s="360"/>
      <c r="I172" s="480"/>
      <c r="J172" s="360"/>
      <c r="K172" s="480"/>
      <c r="L172" s="360"/>
      <c r="M172" s="480"/>
      <c r="N172" s="562"/>
      <c r="O172" s="6"/>
      <c r="P172" s="338"/>
      <c r="Q172" s="10"/>
      <c r="R172" s="63"/>
    </row>
    <row r="173" spans="1:18" x14ac:dyDescent="0.25">
      <c r="A173" s="3"/>
      <c r="B173" s="4"/>
      <c r="C173" s="9"/>
      <c r="D173" s="360"/>
      <c r="E173" s="480"/>
      <c r="F173" s="360"/>
      <c r="G173" s="480"/>
      <c r="H173" s="360"/>
      <c r="I173" s="480"/>
      <c r="J173" s="360"/>
      <c r="K173" s="480"/>
      <c r="L173" s="360"/>
      <c r="M173" s="480"/>
      <c r="N173" s="562"/>
      <c r="O173" s="6"/>
      <c r="P173" s="338"/>
      <c r="Q173" s="10"/>
      <c r="R173" s="63"/>
    </row>
    <row r="174" spans="1:18" x14ac:dyDescent="0.25">
      <c r="A174" s="3"/>
      <c r="B174" s="4"/>
      <c r="C174" s="8"/>
      <c r="D174" s="360"/>
      <c r="E174" s="480"/>
      <c r="F174" s="360"/>
      <c r="G174" s="480"/>
      <c r="H174" s="360"/>
      <c r="I174" s="480"/>
      <c r="J174" s="360"/>
      <c r="K174" s="480"/>
      <c r="L174" s="360"/>
      <c r="M174" s="480"/>
      <c r="N174" s="562"/>
      <c r="O174" s="6"/>
      <c r="P174" s="338"/>
      <c r="Q174" s="10"/>
      <c r="R174" s="63"/>
    </row>
    <row r="175" spans="1:18" x14ac:dyDescent="0.25">
      <c r="A175" s="3"/>
      <c r="B175" s="4"/>
      <c r="C175" s="9"/>
      <c r="D175" s="360"/>
      <c r="E175" s="480"/>
      <c r="F175" s="360"/>
      <c r="G175" s="480"/>
      <c r="H175" s="360"/>
      <c r="I175" s="480"/>
      <c r="J175" s="360"/>
      <c r="K175" s="480"/>
      <c r="L175" s="360"/>
      <c r="M175" s="480"/>
      <c r="N175" s="562"/>
      <c r="O175" s="6"/>
      <c r="P175" s="338"/>
      <c r="Q175" s="10"/>
      <c r="R175" s="63"/>
    </row>
    <row r="176" spans="1:18" x14ac:dyDescent="0.25">
      <c r="A176" s="3"/>
      <c r="B176" s="4"/>
      <c r="C176" s="9"/>
      <c r="D176" s="360"/>
      <c r="E176" s="480"/>
      <c r="F176" s="360"/>
      <c r="G176" s="480"/>
      <c r="H176" s="360"/>
      <c r="I176" s="480"/>
      <c r="J176" s="360"/>
      <c r="K176" s="480"/>
      <c r="L176" s="360"/>
      <c r="M176" s="480"/>
      <c r="N176" s="562"/>
      <c r="O176" s="6"/>
      <c r="P176" s="338"/>
      <c r="Q176" s="10"/>
      <c r="R176" s="63"/>
    </row>
    <row r="177" spans="1:18" x14ac:dyDescent="0.25">
      <c r="A177" s="3"/>
      <c r="B177" s="4"/>
      <c r="C177" s="9"/>
      <c r="D177" s="360"/>
      <c r="E177" s="480"/>
      <c r="F177" s="360"/>
      <c r="G177" s="480"/>
      <c r="H177" s="360"/>
      <c r="I177" s="480"/>
      <c r="J177" s="360"/>
      <c r="K177" s="480"/>
      <c r="L177" s="360"/>
      <c r="M177" s="480"/>
      <c r="N177" s="562"/>
      <c r="O177" s="6"/>
      <c r="P177" s="338"/>
      <c r="Q177" s="10"/>
      <c r="R177" s="63"/>
    </row>
    <row r="178" spans="1:18" x14ac:dyDescent="0.25">
      <c r="A178" s="3"/>
      <c r="B178" s="4"/>
      <c r="C178" s="9"/>
      <c r="D178" s="389"/>
      <c r="E178" s="476"/>
      <c r="F178" s="360"/>
      <c r="G178" s="480"/>
      <c r="H178" s="360"/>
      <c r="I178" s="480"/>
      <c r="J178" s="360"/>
      <c r="K178" s="480"/>
      <c r="L178" s="360"/>
      <c r="M178" s="480"/>
      <c r="N178" s="562"/>
      <c r="O178" s="6"/>
      <c r="P178" s="338"/>
      <c r="Q178" s="10"/>
      <c r="R178" s="63"/>
    </row>
    <row r="179" spans="1:18" x14ac:dyDescent="0.25">
      <c r="A179" s="3"/>
      <c r="B179" s="4"/>
      <c r="C179" s="9"/>
      <c r="D179" s="360"/>
      <c r="E179" s="480"/>
      <c r="F179" s="360"/>
      <c r="G179" s="480"/>
      <c r="H179" s="360"/>
      <c r="I179" s="480"/>
      <c r="J179" s="360"/>
      <c r="K179" s="480"/>
      <c r="L179" s="360"/>
      <c r="M179" s="480"/>
      <c r="N179" s="562"/>
      <c r="O179" s="6"/>
      <c r="P179" s="338"/>
      <c r="Q179" s="10"/>
      <c r="R179" s="63"/>
    </row>
    <row r="180" spans="1:18" x14ac:dyDescent="0.25">
      <c r="A180" s="3"/>
      <c r="B180" s="4"/>
      <c r="C180" s="8"/>
      <c r="D180" s="360"/>
      <c r="E180" s="480"/>
      <c r="F180" s="360"/>
      <c r="G180" s="480"/>
      <c r="H180" s="360"/>
      <c r="I180" s="480"/>
      <c r="J180" s="360"/>
      <c r="K180" s="480"/>
      <c r="L180" s="360"/>
      <c r="M180" s="480"/>
      <c r="N180" s="562"/>
      <c r="O180" s="6"/>
      <c r="P180" s="338"/>
      <c r="Q180" s="10"/>
      <c r="R180" s="63"/>
    </row>
    <row r="181" spans="1:18" x14ac:dyDescent="0.25">
      <c r="A181" s="3"/>
      <c r="B181" s="4"/>
      <c r="C181" s="9"/>
      <c r="D181" s="360"/>
      <c r="E181" s="480"/>
      <c r="F181" s="360"/>
      <c r="G181" s="480"/>
      <c r="H181" s="360"/>
      <c r="I181" s="480"/>
      <c r="J181" s="360"/>
      <c r="K181" s="480"/>
      <c r="L181" s="360"/>
      <c r="M181" s="480"/>
      <c r="N181" s="562"/>
      <c r="O181" s="6"/>
      <c r="P181" s="338"/>
      <c r="Q181" s="10"/>
      <c r="R181" s="63"/>
    </row>
    <row r="182" spans="1:18" x14ac:dyDescent="0.25">
      <c r="A182" s="3"/>
      <c r="B182" s="4"/>
      <c r="C182" s="9"/>
      <c r="D182" s="360"/>
      <c r="E182" s="480"/>
      <c r="F182" s="360"/>
      <c r="G182" s="480"/>
      <c r="H182" s="360"/>
      <c r="I182" s="480"/>
      <c r="J182" s="360"/>
      <c r="K182" s="480"/>
      <c r="L182" s="360"/>
      <c r="M182" s="480"/>
      <c r="N182" s="562"/>
      <c r="O182" s="6"/>
      <c r="P182" s="338"/>
      <c r="Q182" s="10"/>
      <c r="R182" s="63"/>
    </row>
    <row r="183" spans="1:18" x14ac:dyDescent="0.25">
      <c r="A183" s="3"/>
      <c r="B183" s="4"/>
      <c r="C183" s="9"/>
      <c r="D183" s="360"/>
      <c r="E183" s="480"/>
      <c r="F183" s="360"/>
      <c r="G183" s="480"/>
      <c r="H183" s="360"/>
      <c r="I183" s="480"/>
      <c r="J183" s="360"/>
      <c r="K183" s="480"/>
      <c r="L183" s="360"/>
      <c r="M183" s="480"/>
      <c r="N183" s="562"/>
      <c r="O183" s="6"/>
      <c r="P183" s="338"/>
      <c r="Q183" s="10"/>
      <c r="R183" s="63"/>
    </row>
    <row r="184" spans="1:18" x14ac:dyDescent="0.25">
      <c r="A184" s="3"/>
      <c r="B184" s="3"/>
      <c r="C184" s="8"/>
      <c r="D184" s="360"/>
      <c r="E184" s="480"/>
      <c r="F184" s="360"/>
      <c r="G184" s="480"/>
      <c r="H184" s="360"/>
      <c r="I184" s="480"/>
      <c r="J184" s="360"/>
      <c r="K184" s="480"/>
      <c r="L184" s="360"/>
      <c r="M184" s="480"/>
      <c r="N184" s="562"/>
      <c r="O184" s="6"/>
      <c r="P184" s="338"/>
      <c r="Q184" s="10"/>
      <c r="R184" s="63"/>
    </row>
    <row r="185" spans="1:18" x14ac:dyDescent="0.25">
      <c r="A185" s="3"/>
      <c r="B185" s="4"/>
      <c r="C185" s="9"/>
      <c r="D185" s="360"/>
      <c r="E185" s="480"/>
      <c r="F185" s="360"/>
      <c r="G185" s="480"/>
      <c r="H185" s="360"/>
      <c r="I185" s="480"/>
      <c r="J185" s="360"/>
      <c r="K185" s="480"/>
      <c r="L185" s="360"/>
      <c r="M185" s="480"/>
      <c r="N185" s="562"/>
      <c r="O185" s="6"/>
      <c r="P185" s="338"/>
      <c r="Q185" s="10"/>
      <c r="R185" s="63"/>
    </row>
    <row r="186" spans="1:18" x14ac:dyDescent="0.25">
      <c r="A186" s="3"/>
      <c r="B186" s="4"/>
      <c r="C186" s="9"/>
      <c r="D186" s="389"/>
      <c r="E186" s="476"/>
      <c r="F186" s="360"/>
      <c r="G186" s="480"/>
      <c r="H186" s="360"/>
      <c r="I186" s="480"/>
      <c r="J186" s="360"/>
      <c r="K186" s="480"/>
      <c r="L186" s="360"/>
      <c r="M186" s="480"/>
      <c r="N186" s="562"/>
      <c r="O186" s="6"/>
      <c r="P186" s="338"/>
      <c r="Q186" s="10"/>
      <c r="R186" s="63"/>
    </row>
    <row r="187" spans="1:18" x14ac:dyDescent="0.25">
      <c r="A187" s="3"/>
      <c r="B187" s="4"/>
      <c r="C187" s="9"/>
      <c r="D187" s="360"/>
      <c r="E187" s="480"/>
      <c r="F187" s="360"/>
      <c r="G187" s="480"/>
      <c r="H187" s="360"/>
      <c r="I187" s="480"/>
      <c r="J187" s="360"/>
      <c r="K187" s="480"/>
      <c r="L187" s="360"/>
      <c r="M187" s="480"/>
      <c r="N187" s="562"/>
      <c r="O187" s="6"/>
      <c r="P187" s="338"/>
      <c r="Q187" s="10"/>
      <c r="R187" s="63"/>
    </row>
    <row r="188" spans="1:18" x14ac:dyDescent="0.25">
      <c r="A188" s="3"/>
      <c r="B188" s="4"/>
      <c r="C188" s="9"/>
      <c r="D188" s="360"/>
      <c r="E188" s="480"/>
      <c r="F188" s="360"/>
      <c r="G188" s="480"/>
      <c r="H188" s="360"/>
      <c r="I188" s="480"/>
      <c r="J188" s="360"/>
      <c r="K188" s="480"/>
      <c r="L188" s="360"/>
      <c r="M188" s="480"/>
      <c r="N188" s="562"/>
      <c r="O188" s="6"/>
      <c r="P188" s="338"/>
      <c r="Q188" s="10"/>
      <c r="R188" s="63"/>
    </row>
    <row r="189" spans="1:18" x14ac:dyDescent="0.25">
      <c r="A189" s="3"/>
      <c r="B189" s="4"/>
      <c r="C189" s="9"/>
      <c r="D189" s="360"/>
      <c r="E189" s="480"/>
      <c r="F189" s="360"/>
      <c r="G189" s="480"/>
      <c r="H189" s="360"/>
      <c r="I189" s="480"/>
      <c r="J189" s="360"/>
      <c r="K189" s="480"/>
      <c r="L189" s="360"/>
      <c r="M189" s="480"/>
      <c r="N189" s="562"/>
      <c r="O189" s="6"/>
      <c r="P189" s="338"/>
      <c r="Q189" s="10"/>
      <c r="R189" s="63"/>
    </row>
    <row r="190" spans="1:18" x14ac:dyDescent="0.25">
      <c r="A190" s="3"/>
      <c r="B190" s="4"/>
      <c r="C190" s="9"/>
      <c r="D190" s="360"/>
      <c r="E190" s="480"/>
      <c r="F190" s="360"/>
      <c r="G190" s="480"/>
      <c r="H190" s="360"/>
      <c r="I190" s="480"/>
      <c r="J190" s="360"/>
      <c r="K190" s="480"/>
      <c r="L190" s="360"/>
      <c r="M190" s="480"/>
      <c r="N190" s="562"/>
      <c r="O190" s="6"/>
      <c r="P190" s="338"/>
      <c r="Q190" s="10"/>
      <c r="R190" s="63"/>
    </row>
    <row r="191" spans="1:18" x14ac:dyDescent="0.25">
      <c r="A191" s="3"/>
      <c r="B191" s="4"/>
      <c r="C191" s="9"/>
      <c r="D191" s="389"/>
      <c r="E191" s="476"/>
      <c r="F191" s="360"/>
      <c r="G191" s="480"/>
      <c r="H191" s="360"/>
      <c r="I191" s="480"/>
      <c r="J191" s="360"/>
      <c r="K191" s="480"/>
      <c r="L191" s="360"/>
      <c r="M191" s="480"/>
      <c r="N191" s="562"/>
      <c r="O191" s="6"/>
      <c r="P191" s="338"/>
      <c r="Q191" s="10"/>
      <c r="R191" s="63"/>
    </row>
    <row r="192" spans="1:18" x14ac:dyDescent="0.25">
      <c r="A192" s="3"/>
      <c r="B192" s="4"/>
      <c r="C192" s="8"/>
      <c r="D192" s="360"/>
      <c r="E192" s="480"/>
      <c r="F192" s="360"/>
      <c r="G192" s="480"/>
      <c r="H192" s="360"/>
      <c r="I192" s="480"/>
      <c r="J192" s="360"/>
      <c r="K192" s="480"/>
      <c r="L192" s="360"/>
      <c r="M192" s="480"/>
      <c r="N192" s="562"/>
      <c r="O192" s="6"/>
      <c r="P192" s="338"/>
      <c r="Q192" s="10"/>
      <c r="R192" s="63"/>
    </row>
    <row r="193" spans="1:18" x14ac:dyDescent="0.25">
      <c r="A193" s="3"/>
      <c r="B193" s="4"/>
      <c r="C193" s="9"/>
      <c r="D193" s="389"/>
      <c r="E193" s="476"/>
      <c r="F193" s="360"/>
      <c r="G193" s="480"/>
      <c r="H193" s="360"/>
      <c r="I193" s="480"/>
      <c r="J193" s="360"/>
      <c r="K193" s="480"/>
      <c r="L193" s="360"/>
      <c r="M193" s="480"/>
      <c r="N193" s="562"/>
      <c r="O193" s="6"/>
      <c r="P193" s="338"/>
      <c r="Q193" s="10"/>
      <c r="R193" s="63"/>
    </row>
    <row r="194" spans="1:18" x14ac:dyDescent="0.25">
      <c r="A194" s="3"/>
      <c r="B194" s="4"/>
      <c r="C194" s="9"/>
      <c r="D194" s="389"/>
      <c r="E194" s="476"/>
      <c r="F194" s="360"/>
      <c r="G194" s="480"/>
      <c r="H194" s="360"/>
      <c r="I194" s="480"/>
      <c r="J194" s="360"/>
      <c r="K194" s="480"/>
      <c r="L194" s="360"/>
      <c r="M194" s="480"/>
      <c r="N194" s="562"/>
      <c r="O194" s="6"/>
      <c r="P194" s="338"/>
      <c r="Q194" s="10"/>
      <c r="R194" s="64"/>
    </row>
    <row r="195" spans="1:18" x14ac:dyDescent="0.25">
      <c r="A195" s="3"/>
      <c r="B195" s="4"/>
      <c r="C195" s="9"/>
      <c r="D195" s="389"/>
      <c r="E195" s="476"/>
      <c r="F195" s="360"/>
      <c r="G195" s="480"/>
      <c r="H195" s="360"/>
      <c r="I195" s="480"/>
      <c r="J195" s="360"/>
      <c r="K195" s="480"/>
      <c r="L195" s="360"/>
      <c r="M195" s="480"/>
      <c r="N195" s="562"/>
      <c r="O195" s="6"/>
      <c r="P195" s="338"/>
      <c r="Q195" s="10"/>
      <c r="R195" s="63"/>
    </row>
    <row r="196" spans="1:18" x14ac:dyDescent="0.25">
      <c r="A196" s="3"/>
      <c r="B196" s="4"/>
      <c r="C196" s="9"/>
      <c r="D196" s="360"/>
      <c r="E196" s="480"/>
      <c r="F196" s="360"/>
      <c r="G196" s="480"/>
      <c r="H196" s="360"/>
      <c r="I196" s="480"/>
      <c r="J196" s="360"/>
      <c r="K196" s="480"/>
      <c r="L196" s="360"/>
      <c r="M196" s="480"/>
      <c r="N196" s="562"/>
      <c r="O196" s="6"/>
      <c r="P196" s="338"/>
      <c r="Q196" s="10"/>
      <c r="R196" s="63"/>
    </row>
    <row r="197" spans="1:18" x14ac:dyDescent="0.25">
      <c r="A197" s="3"/>
      <c r="B197" s="4"/>
      <c r="C197" s="8"/>
      <c r="D197" s="389"/>
      <c r="E197" s="476"/>
      <c r="F197" s="360"/>
      <c r="G197" s="480"/>
      <c r="H197" s="360"/>
      <c r="I197" s="480"/>
      <c r="J197" s="360"/>
      <c r="K197" s="480"/>
      <c r="L197" s="360"/>
      <c r="M197" s="480"/>
      <c r="N197" s="562"/>
      <c r="O197" s="6"/>
      <c r="P197" s="338"/>
      <c r="Q197" s="10"/>
      <c r="R197" s="63"/>
    </row>
    <row r="198" spans="1:18" x14ac:dyDescent="0.25">
      <c r="A198" s="3"/>
      <c r="B198" s="4"/>
      <c r="C198" s="9"/>
      <c r="D198" s="360"/>
      <c r="E198" s="480"/>
      <c r="F198" s="360"/>
      <c r="G198" s="480"/>
      <c r="H198" s="360"/>
      <c r="I198" s="480"/>
      <c r="J198" s="360"/>
      <c r="K198" s="480"/>
      <c r="L198" s="360"/>
      <c r="M198" s="480"/>
      <c r="N198" s="562"/>
      <c r="O198" s="6">
        <f t="shared" ref="O198:O213" si="20">SUM(C198:N198)</f>
        <v>0</v>
      </c>
      <c r="P198" s="338"/>
      <c r="Q198" s="10"/>
      <c r="R198" s="63"/>
    </row>
    <row r="199" spans="1:18" x14ac:dyDescent="0.25">
      <c r="A199" s="3"/>
      <c r="B199" s="4"/>
      <c r="C199" s="9"/>
      <c r="D199" s="360"/>
      <c r="E199" s="480"/>
      <c r="F199" s="360"/>
      <c r="G199" s="480"/>
      <c r="H199" s="360"/>
      <c r="I199" s="480"/>
      <c r="J199" s="360"/>
      <c r="K199" s="480"/>
      <c r="L199" s="360"/>
      <c r="M199" s="480"/>
      <c r="N199" s="562"/>
      <c r="O199" s="6">
        <f t="shared" si="20"/>
        <v>0</v>
      </c>
      <c r="P199" s="338"/>
      <c r="Q199" s="10"/>
      <c r="R199" s="63"/>
    </row>
    <row r="200" spans="1:18" x14ac:dyDescent="0.25">
      <c r="A200" s="3"/>
      <c r="B200" s="4"/>
      <c r="C200" s="9"/>
      <c r="D200" s="360"/>
      <c r="E200" s="480"/>
      <c r="F200" s="360"/>
      <c r="G200" s="480"/>
      <c r="H200" s="360"/>
      <c r="I200" s="480"/>
      <c r="J200" s="360"/>
      <c r="K200" s="480"/>
      <c r="L200" s="360"/>
      <c r="M200" s="480"/>
      <c r="N200" s="562"/>
      <c r="O200" s="6">
        <f t="shared" si="20"/>
        <v>0</v>
      </c>
      <c r="P200" s="338"/>
      <c r="Q200" s="10"/>
      <c r="R200" s="63"/>
    </row>
    <row r="201" spans="1:18" x14ac:dyDescent="0.25">
      <c r="A201" s="3"/>
      <c r="B201" s="4"/>
      <c r="C201" s="9"/>
      <c r="D201" s="360"/>
      <c r="E201" s="480"/>
      <c r="F201" s="360"/>
      <c r="G201" s="480"/>
      <c r="H201" s="360"/>
      <c r="I201" s="480"/>
      <c r="J201" s="360"/>
      <c r="K201" s="480"/>
      <c r="L201" s="360"/>
      <c r="M201" s="480"/>
      <c r="N201" s="562"/>
      <c r="O201" s="6">
        <f t="shared" si="20"/>
        <v>0</v>
      </c>
      <c r="P201" s="338"/>
      <c r="Q201" s="10"/>
      <c r="R201" s="63"/>
    </row>
    <row r="202" spans="1:18" x14ac:dyDescent="0.25">
      <c r="A202" s="3"/>
      <c r="B202" s="4"/>
      <c r="C202" s="9"/>
      <c r="D202" s="360"/>
      <c r="E202" s="480"/>
      <c r="F202" s="360"/>
      <c r="G202" s="480"/>
      <c r="H202" s="360"/>
      <c r="I202" s="480"/>
      <c r="J202" s="360"/>
      <c r="K202" s="480"/>
      <c r="L202" s="360"/>
      <c r="M202" s="480"/>
      <c r="N202" s="562"/>
      <c r="O202" s="6">
        <f t="shared" si="20"/>
        <v>0</v>
      </c>
      <c r="P202" s="338"/>
      <c r="Q202" s="10"/>
      <c r="R202" s="63"/>
    </row>
    <row r="203" spans="1:18" x14ac:dyDescent="0.25">
      <c r="A203" s="3"/>
      <c r="B203" s="4"/>
      <c r="C203" s="9"/>
      <c r="D203" s="389"/>
      <c r="E203" s="476"/>
      <c r="F203" s="360"/>
      <c r="G203" s="480"/>
      <c r="H203" s="360"/>
      <c r="I203" s="480"/>
      <c r="J203" s="360"/>
      <c r="K203" s="480"/>
      <c r="L203" s="360"/>
      <c r="M203" s="480"/>
      <c r="N203" s="562"/>
      <c r="O203" s="6">
        <f t="shared" si="20"/>
        <v>0</v>
      </c>
      <c r="P203" s="338"/>
      <c r="Q203" s="10"/>
      <c r="R203" s="63"/>
    </row>
    <row r="204" spans="1:18" x14ac:dyDescent="0.25">
      <c r="A204" s="3"/>
      <c r="B204" s="4"/>
      <c r="C204" s="8"/>
      <c r="D204" s="360"/>
      <c r="E204" s="480"/>
      <c r="F204" s="360"/>
      <c r="G204" s="480"/>
      <c r="H204" s="360"/>
      <c r="I204" s="480"/>
      <c r="J204" s="360"/>
      <c r="K204" s="480"/>
      <c r="L204" s="360"/>
      <c r="M204" s="480"/>
      <c r="N204" s="562"/>
      <c r="O204" s="6">
        <f t="shared" si="20"/>
        <v>0</v>
      </c>
      <c r="P204" s="338"/>
      <c r="Q204" s="10"/>
      <c r="R204" s="63"/>
    </row>
    <row r="205" spans="1:18" x14ac:dyDescent="0.25">
      <c r="A205" s="3"/>
      <c r="B205" s="4"/>
      <c r="C205" s="9"/>
      <c r="D205" s="360"/>
      <c r="E205" s="480"/>
      <c r="F205" s="360"/>
      <c r="G205" s="480"/>
      <c r="H205" s="360"/>
      <c r="I205" s="480"/>
      <c r="J205" s="360"/>
      <c r="K205" s="480"/>
      <c r="L205" s="360"/>
      <c r="M205" s="480"/>
      <c r="N205" s="562"/>
      <c r="O205" s="6">
        <f t="shared" si="20"/>
        <v>0</v>
      </c>
      <c r="P205" s="338"/>
      <c r="Q205" s="10"/>
      <c r="R205" s="63"/>
    </row>
    <row r="206" spans="1:18" x14ac:dyDescent="0.25">
      <c r="A206" s="3"/>
      <c r="B206" s="4"/>
      <c r="C206" s="9"/>
      <c r="D206" s="360"/>
      <c r="E206" s="480"/>
      <c r="F206" s="360"/>
      <c r="G206" s="480"/>
      <c r="H206" s="360"/>
      <c r="I206" s="480"/>
      <c r="J206" s="360"/>
      <c r="K206" s="480"/>
      <c r="L206" s="360"/>
      <c r="M206" s="480"/>
      <c r="N206" s="562"/>
      <c r="O206" s="6">
        <f t="shared" si="20"/>
        <v>0</v>
      </c>
      <c r="P206" s="338"/>
      <c r="Q206" s="10"/>
      <c r="R206" s="63"/>
    </row>
    <row r="207" spans="1:18" x14ac:dyDescent="0.25">
      <c r="A207" s="3"/>
      <c r="B207" s="4"/>
      <c r="C207" s="9"/>
      <c r="D207" s="389"/>
      <c r="E207" s="476"/>
      <c r="F207" s="360"/>
      <c r="G207" s="480"/>
      <c r="H207" s="360"/>
      <c r="I207" s="480"/>
      <c r="J207" s="360"/>
      <c r="K207" s="480"/>
      <c r="L207" s="360"/>
      <c r="M207" s="480"/>
      <c r="N207" s="562"/>
      <c r="O207" s="6">
        <f t="shared" si="20"/>
        <v>0</v>
      </c>
      <c r="P207" s="338"/>
      <c r="Q207" s="10"/>
      <c r="R207" s="63"/>
    </row>
    <row r="208" spans="1:18" x14ac:dyDescent="0.25">
      <c r="A208" s="3"/>
      <c r="B208" s="4"/>
      <c r="C208" s="9"/>
      <c r="D208" s="360"/>
      <c r="E208" s="480"/>
      <c r="F208" s="360"/>
      <c r="G208" s="480"/>
      <c r="H208" s="360"/>
      <c r="I208" s="480"/>
      <c r="J208" s="360"/>
      <c r="K208" s="480"/>
      <c r="L208" s="360"/>
      <c r="M208" s="480"/>
      <c r="N208" s="562"/>
      <c r="O208" s="6">
        <f t="shared" si="20"/>
        <v>0</v>
      </c>
      <c r="P208" s="338"/>
      <c r="Q208" s="10"/>
      <c r="R208" s="63"/>
    </row>
    <row r="209" spans="1:18" x14ac:dyDescent="0.25">
      <c r="A209" s="3"/>
      <c r="B209" s="4"/>
      <c r="C209" s="9"/>
      <c r="D209" s="389"/>
      <c r="E209" s="476"/>
      <c r="F209" s="360"/>
      <c r="G209" s="480"/>
      <c r="H209" s="360"/>
      <c r="I209" s="480"/>
      <c r="J209" s="360"/>
      <c r="K209" s="480"/>
      <c r="L209" s="360"/>
      <c r="M209" s="480"/>
      <c r="N209" s="562"/>
      <c r="O209" s="6">
        <f t="shared" si="20"/>
        <v>0</v>
      </c>
      <c r="P209" s="338"/>
      <c r="Q209" s="10"/>
      <c r="R209" s="63"/>
    </row>
    <row r="210" spans="1:18" x14ac:dyDescent="0.25">
      <c r="A210" s="3"/>
      <c r="B210" s="4"/>
      <c r="C210" s="9"/>
      <c r="D210" s="360"/>
      <c r="E210" s="480"/>
      <c r="F210" s="360"/>
      <c r="G210" s="480"/>
      <c r="H210" s="360"/>
      <c r="I210" s="480"/>
      <c r="J210" s="360"/>
      <c r="K210" s="480"/>
      <c r="L210" s="360"/>
      <c r="M210" s="480"/>
      <c r="N210" s="562"/>
      <c r="O210" s="6">
        <f t="shared" si="20"/>
        <v>0</v>
      </c>
      <c r="P210" s="338"/>
      <c r="Q210" s="10"/>
      <c r="R210" s="63"/>
    </row>
    <row r="211" spans="1:18" x14ac:dyDescent="0.25">
      <c r="A211" s="3"/>
      <c r="B211" s="4"/>
      <c r="C211" s="9"/>
      <c r="D211" s="360"/>
      <c r="E211" s="480"/>
      <c r="F211" s="360"/>
      <c r="G211" s="480"/>
      <c r="H211" s="360"/>
      <c r="I211" s="480"/>
      <c r="J211" s="360"/>
      <c r="K211" s="480"/>
      <c r="L211" s="360"/>
      <c r="M211" s="480"/>
      <c r="N211" s="562"/>
      <c r="O211" s="6">
        <f t="shared" si="20"/>
        <v>0</v>
      </c>
      <c r="P211" s="338"/>
      <c r="Q211" s="10"/>
      <c r="R211" s="63"/>
    </row>
    <row r="212" spans="1:18" x14ac:dyDescent="0.25">
      <c r="A212" s="3"/>
      <c r="B212" s="4"/>
      <c r="C212" s="9"/>
      <c r="D212" s="360"/>
      <c r="E212" s="480"/>
      <c r="F212" s="360"/>
      <c r="G212" s="480"/>
      <c r="H212" s="360"/>
      <c r="I212" s="480"/>
      <c r="J212" s="360"/>
      <c r="K212" s="480"/>
      <c r="L212" s="360"/>
      <c r="M212" s="480"/>
      <c r="N212" s="562"/>
      <c r="O212" s="6">
        <f t="shared" si="20"/>
        <v>0</v>
      </c>
      <c r="P212" s="338"/>
      <c r="Q212" s="10"/>
      <c r="R212" s="63"/>
    </row>
    <row r="213" spans="1:18" x14ac:dyDescent="0.25">
      <c r="A213" s="3">
        <f t="shared" ref="A213:A218" si="21">A212+1</f>
        <v>1</v>
      </c>
      <c r="B213" s="4"/>
      <c r="C213" s="8"/>
      <c r="D213" s="360"/>
      <c r="E213" s="480"/>
      <c r="F213" s="360"/>
      <c r="G213" s="480"/>
      <c r="H213" s="360"/>
      <c r="I213" s="480"/>
      <c r="J213" s="360"/>
      <c r="K213" s="480"/>
      <c r="L213" s="360"/>
      <c r="M213" s="480"/>
      <c r="N213" s="562"/>
      <c r="O213" s="6">
        <f t="shared" si="20"/>
        <v>0</v>
      </c>
      <c r="P213" s="338"/>
      <c r="Q213" s="10"/>
      <c r="R213" s="63"/>
    </row>
    <row r="214" spans="1:18" x14ac:dyDescent="0.25">
      <c r="A214" s="3">
        <f t="shared" si="21"/>
        <v>2</v>
      </c>
      <c r="B214" s="4"/>
      <c r="C214" s="9"/>
      <c r="D214" s="360"/>
      <c r="E214" s="480"/>
      <c r="F214" s="360"/>
      <c r="G214" s="480"/>
      <c r="H214" s="360"/>
      <c r="I214" s="480"/>
      <c r="J214" s="360"/>
      <c r="K214" s="480"/>
      <c r="L214" s="360"/>
      <c r="M214" s="480"/>
      <c r="N214" s="562"/>
      <c r="O214" s="6"/>
      <c r="P214" s="338"/>
      <c r="R214" s="63"/>
    </row>
    <row r="215" spans="1:18" x14ac:dyDescent="0.25">
      <c r="A215" s="3">
        <f t="shared" si="21"/>
        <v>3</v>
      </c>
      <c r="B215" s="4"/>
      <c r="C215" s="9"/>
      <c r="D215" s="360"/>
      <c r="E215" s="480"/>
      <c r="F215" s="360"/>
      <c r="G215" s="480"/>
      <c r="H215" s="360"/>
      <c r="I215" s="480"/>
      <c r="J215" s="360"/>
      <c r="K215" s="480"/>
      <c r="L215" s="360"/>
      <c r="M215" s="480"/>
      <c r="N215" s="562"/>
      <c r="O215" s="5"/>
      <c r="P215" s="338"/>
      <c r="R215" s="65"/>
    </row>
    <row r="216" spans="1:18" x14ac:dyDescent="0.25">
      <c r="A216" s="3">
        <f t="shared" si="21"/>
        <v>4</v>
      </c>
      <c r="B216" s="4"/>
      <c r="C216" s="9"/>
      <c r="D216" s="376"/>
      <c r="E216" s="483"/>
      <c r="F216" s="376"/>
      <c r="G216" s="483"/>
      <c r="H216" s="376"/>
      <c r="I216" s="483"/>
      <c r="J216" s="376"/>
      <c r="K216" s="483"/>
      <c r="L216" s="376"/>
      <c r="M216" s="483"/>
      <c r="N216" s="574"/>
      <c r="O216" s="5">
        <f t="shared" ref="O216:O279" si="22">SUM(C216:N216)</f>
        <v>0</v>
      </c>
      <c r="P216" s="338"/>
      <c r="R216" s="63"/>
    </row>
    <row r="217" spans="1:18" x14ac:dyDescent="0.25">
      <c r="A217" s="3">
        <f t="shared" si="21"/>
        <v>5</v>
      </c>
      <c r="B217" s="4"/>
      <c r="C217" s="9"/>
      <c r="D217" s="390"/>
      <c r="E217" s="484"/>
      <c r="F217" s="360"/>
      <c r="G217" s="480"/>
      <c r="H217" s="360"/>
      <c r="I217" s="480"/>
      <c r="J217" s="360"/>
      <c r="K217" s="480"/>
      <c r="L217" s="360"/>
      <c r="M217" s="480"/>
      <c r="N217" s="562"/>
      <c r="O217" s="5">
        <f t="shared" si="22"/>
        <v>0</v>
      </c>
      <c r="P217" s="338"/>
      <c r="R217" s="63"/>
    </row>
    <row r="218" spans="1:18" x14ac:dyDescent="0.25">
      <c r="A218" s="3">
        <f t="shared" si="21"/>
        <v>6</v>
      </c>
      <c r="B218" s="4"/>
      <c r="C218" s="8"/>
      <c r="D218" s="376"/>
      <c r="E218" s="483"/>
      <c r="F218" s="376"/>
      <c r="G218" s="483"/>
      <c r="H218" s="376"/>
      <c r="I218" s="483"/>
      <c r="J218" s="376"/>
      <c r="K218" s="483"/>
      <c r="L218" s="376"/>
      <c r="M218" s="483"/>
      <c r="N218" s="574"/>
      <c r="O218" s="5">
        <f t="shared" si="22"/>
        <v>0</v>
      </c>
      <c r="P218" s="338"/>
      <c r="Q218" s="10"/>
      <c r="R218" s="63"/>
    </row>
    <row r="219" spans="1:18" x14ac:dyDescent="0.25">
      <c r="A219" s="3">
        <f t="shared" ref="A219:A228" si="23">A218+1</f>
        <v>7</v>
      </c>
      <c r="B219" s="4"/>
      <c r="C219" s="8"/>
      <c r="D219" s="390"/>
      <c r="E219" s="484"/>
      <c r="F219" s="360"/>
      <c r="G219" s="480"/>
      <c r="H219" s="360"/>
      <c r="I219" s="480"/>
      <c r="J219" s="360"/>
      <c r="K219" s="480"/>
      <c r="L219" s="360"/>
      <c r="M219" s="480"/>
      <c r="N219" s="562"/>
      <c r="O219" s="5">
        <f t="shared" si="22"/>
        <v>0</v>
      </c>
      <c r="P219" s="338"/>
      <c r="Q219" s="10"/>
      <c r="R219" s="63"/>
    </row>
    <row r="220" spans="1:18" x14ac:dyDescent="0.25">
      <c r="A220" s="3">
        <f t="shared" si="23"/>
        <v>8</v>
      </c>
      <c r="B220" s="4"/>
      <c r="C220" s="8"/>
      <c r="D220" s="360"/>
      <c r="E220" s="480"/>
      <c r="F220" s="360"/>
      <c r="G220" s="480"/>
      <c r="H220" s="360"/>
      <c r="I220" s="480"/>
      <c r="J220" s="360"/>
      <c r="K220" s="480"/>
      <c r="L220" s="360"/>
      <c r="M220" s="480"/>
      <c r="N220" s="562"/>
      <c r="O220" s="5">
        <f t="shared" si="22"/>
        <v>0</v>
      </c>
      <c r="P220" s="338"/>
      <c r="Q220" s="10"/>
      <c r="R220" s="63"/>
    </row>
    <row r="221" spans="1:18" x14ac:dyDescent="0.25">
      <c r="A221" s="3">
        <f t="shared" si="23"/>
        <v>9</v>
      </c>
      <c r="B221" s="4"/>
      <c r="C221" s="8"/>
      <c r="D221" s="360"/>
      <c r="E221" s="480"/>
      <c r="F221" s="360"/>
      <c r="G221" s="480"/>
      <c r="H221" s="360"/>
      <c r="I221" s="480"/>
      <c r="J221" s="360"/>
      <c r="K221" s="480"/>
      <c r="L221" s="360"/>
      <c r="M221" s="480"/>
      <c r="N221" s="562"/>
      <c r="O221" s="5">
        <f t="shared" si="22"/>
        <v>0</v>
      </c>
      <c r="P221" s="338"/>
      <c r="Q221" s="10"/>
      <c r="R221" s="63"/>
    </row>
    <row r="222" spans="1:18" x14ac:dyDescent="0.25">
      <c r="A222" s="3">
        <f t="shared" si="23"/>
        <v>10</v>
      </c>
      <c r="B222" s="4"/>
      <c r="C222" s="9"/>
      <c r="D222" s="376"/>
      <c r="E222" s="483"/>
      <c r="F222" s="376"/>
      <c r="G222" s="483"/>
      <c r="H222" s="376"/>
      <c r="I222" s="483"/>
      <c r="J222" s="376"/>
      <c r="K222" s="483"/>
      <c r="L222" s="376"/>
      <c r="M222" s="483"/>
      <c r="N222" s="574"/>
      <c r="O222" s="5">
        <f t="shared" si="22"/>
        <v>0</v>
      </c>
      <c r="P222" s="338"/>
      <c r="Q222" s="10"/>
      <c r="R222" s="63"/>
    </row>
    <row r="223" spans="1:18" x14ac:dyDescent="0.25">
      <c r="A223" s="3">
        <f t="shared" si="23"/>
        <v>11</v>
      </c>
      <c r="B223" s="4"/>
      <c r="C223" s="9"/>
      <c r="D223" s="376"/>
      <c r="E223" s="483"/>
      <c r="F223" s="376"/>
      <c r="G223" s="483"/>
      <c r="H223" s="376"/>
      <c r="I223" s="483"/>
      <c r="J223" s="376"/>
      <c r="K223" s="483"/>
      <c r="L223" s="376"/>
      <c r="M223" s="483"/>
      <c r="N223" s="574"/>
      <c r="O223" s="5">
        <f t="shared" si="22"/>
        <v>0</v>
      </c>
      <c r="P223" s="338"/>
      <c r="Q223" s="10"/>
      <c r="R223" s="63"/>
    </row>
    <row r="224" spans="1:18" x14ac:dyDescent="0.25">
      <c r="A224" s="3">
        <f t="shared" si="23"/>
        <v>12</v>
      </c>
      <c r="B224" s="4"/>
      <c r="C224" s="8"/>
      <c r="D224" s="376"/>
      <c r="E224" s="483"/>
      <c r="F224" s="376"/>
      <c r="G224" s="483"/>
      <c r="H224" s="376"/>
      <c r="I224" s="483"/>
      <c r="J224" s="376"/>
      <c r="K224" s="483"/>
      <c r="L224" s="376"/>
      <c r="M224" s="483"/>
      <c r="N224" s="574"/>
      <c r="O224" s="5">
        <f t="shared" si="22"/>
        <v>0</v>
      </c>
      <c r="P224" s="338"/>
      <c r="Q224" s="10"/>
      <c r="R224" s="63"/>
    </row>
    <row r="225" spans="1:18" x14ac:dyDescent="0.25">
      <c r="A225" s="3">
        <f t="shared" si="23"/>
        <v>13</v>
      </c>
      <c r="B225" s="4"/>
      <c r="C225" s="8"/>
      <c r="D225" s="360"/>
      <c r="E225" s="480"/>
      <c r="F225" s="360"/>
      <c r="G225" s="480"/>
      <c r="H225" s="360"/>
      <c r="I225" s="480"/>
      <c r="J225" s="360"/>
      <c r="K225" s="480"/>
      <c r="L225" s="360"/>
      <c r="M225" s="480"/>
      <c r="N225" s="562"/>
      <c r="O225" s="5">
        <f t="shared" si="22"/>
        <v>0</v>
      </c>
      <c r="P225" s="338"/>
      <c r="Q225" s="10"/>
      <c r="R225" s="63"/>
    </row>
    <row r="226" spans="1:18" x14ac:dyDescent="0.25">
      <c r="A226" s="3">
        <f t="shared" si="23"/>
        <v>14</v>
      </c>
      <c r="B226" s="4"/>
      <c r="C226" s="9"/>
      <c r="D226" s="376"/>
      <c r="E226" s="483"/>
      <c r="F226" s="376"/>
      <c r="G226" s="483"/>
      <c r="H226" s="376"/>
      <c r="I226" s="483"/>
      <c r="J226" s="376"/>
      <c r="K226" s="483"/>
      <c r="L226" s="376"/>
      <c r="M226" s="483"/>
      <c r="N226" s="574"/>
      <c r="O226" s="5">
        <f t="shared" si="22"/>
        <v>0</v>
      </c>
      <c r="P226" s="338"/>
      <c r="Q226" s="10"/>
      <c r="R226" s="63"/>
    </row>
    <row r="227" spans="1:18" x14ac:dyDescent="0.25">
      <c r="A227" s="3">
        <f t="shared" si="23"/>
        <v>15</v>
      </c>
      <c r="B227" s="4"/>
      <c r="C227" s="9"/>
      <c r="D227" s="376"/>
      <c r="E227" s="483"/>
      <c r="F227" s="376"/>
      <c r="G227" s="483"/>
      <c r="H227" s="376"/>
      <c r="I227" s="483"/>
      <c r="J227" s="376"/>
      <c r="K227" s="483"/>
      <c r="L227" s="376"/>
      <c r="M227" s="483"/>
      <c r="N227" s="574"/>
      <c r="O227" s="5">
        <f t="shared" si="22"/>
        <v>0</v>
      </c>
      <c r="P227" s="338"/>
      <c r="Q227" s="10"/>
      <c r="R227" s="64"/>
    </row>
    <row r="228" spans="1:18" x14ac:dyDescent="0.25">
      <c r="A228" s="3">
        <f t="shared" si="23"/>
        <v>16</v>
      </c>
      <c r="B228" s="4"/>
      <c r="C228" s="9"/>
      <c r="D228" s="376"/>
      <c r="E228" s="483"/>
      <c r="F228" s="376"/>
      <c r="G228" s="483"/>
      <c r="H228" s="376"/>
      <c r="I228" s="483"/>
      <c r="J228" s="376"/>
      <c r="K228" s="483"/>
      <c r="L228" s="376"/>
      <c r="M228" s="483"/>
      <c r="N228" s="574"/>
      <c r="O228" s="5">
        <f t="shared" si="22"/>
        <v>0</v>
      </c>
      <c r="P228" s="338"/>
      <c r="Q228" s="10"/>
      <c r="R228" s="63"/>
    </row>
    <row r="229" spans="1:18" x14ac:dyDescent="0.25">
      <c r="A229" s="3"/>
      <c r="B229" s="4"/>
      <c r="C229" s="9"/>
      <c r="D229" s="376"/>
      <c r="E229" s="483"/>
      <c r="F229" s="376"/>
      <c r="G229" s="483"/>
      <c r="H229" s="376"/>
      <c r="I229" s="483"/>
      <c r="J229" s="376"/>
      <c r="K229" s="483"/>
      <c r="L229" s="376"/>
      <c r="M229" s="483"/>
      <c r="N229" s="574"/>
      <c r="O229" s="5">
        <f t="shared" si="22"/>
        <v>0</v>
      </c>
      <c r="P229" s="338"/>
      <c r="Q229" s="10"/>
      <c r="R229" s="63"/>
    </row>
    <row r="230" spans="1:18" x14ac:dyDescent="0.25">
      <c r="A230" s="3"/>
      <c r="B230" s="4"/>
      <c r="C230" s="9"/>
      <c r="D230" s="360"/>
      <c r="E230" s="480"/>
      <c r="F230" s="360"/>
      <c r="G230" s="480"/>
      <c r="H230" s="360"/>
      <c r="I230" s="480"/>
      <c r="J230" s="360"/>
      <c r="K230" s="480"/>
      <c r="L230" s="360"/>
      <c r="M230" s="480"/>
      <c r="N230" s="562"/>
      <c r="O230" s="5">
        <f t="shared" si="22"/>
        <v>0</v>
      </c>
      <c r="P230" s="338"/>
      <c r="Q230" s="10"/>
      <c r="R230" s="63"/>
    </row>
    <row r="231" spans="1:18" x14ac:dyDescent="0.25">
      <c r="A231" s="13">
        <v>1</v>
      </c>
      <c r="B231" s="4"/>
      <c r="C231" s="8"/>
      <c r="D231" s="376"/>
      <c r="E231" s="483"/>
      <c r="F231" s="376"/>
      <c r="G231" s="483"/>
      <c r="H231" s="376"/>
      <c r="I231" s="483"/>
      <c r="J231" s="376"/>
      <c r="K231" s="483"/>
      <c r="L231" s="376"/>
      <c r="M231" s="483"/>
      <c r="N231" s="574"/>
      <c r="O231" s="5">
        <f t="shared" si="22"/>
        <v>0</v>
      </c>
      <c r="P231" s="338"/>
      <c r="Q231" s="10"/>
      <c r="R231" s="63"/>
    </row>
    <row r="232" spans="1:18" x14ac:dyDescent="0.25">
      <c r="A232" s="13">
        <f t="shared" ref="A232:A295" si="24">A231+1</f>
        <v>2</v>
      </c>
      <c r="B232" s="4"/>
      <c r="C232" s="9"/>
      <c r="D232" s="390"/>
      <c r="E232" s="484"/>
      <c r="F232" s="360"/>
      <c r="G232" s="480"/>
      <c r="H232" s="360"/>
      <c r="I232" s="480"/>
      <c r="J232" s="360"/>
      <c r="K232" s="480"/>
      <c r="L232" s="360"/>
      <c r="M232" s="480"/>
      <c r="N232" s="562"/>
      <c r="O232" s="5">
        <f t="shared" si="22"/>
        <v>0</v>
      </c>
      <c r="P232" s="338"/>
      <c r="Q232" s="10"/>
      <c r="R232" s="63"/>
    </row>
    <row r="233" spans="1:18" x14ac:dyDescent="0.25">
      <c r="A233" s="13">
        <f t="shared" si="24"/>
        <v>3</v>
      </c>
      <c r="B233" s="4"/>
      <c r="C233" s="9"/>
      <c r="D233" s="376"/>
      <c r="E233" s="483"/>
      <c r="F233" s="376"/>
      <c r="G233" s="483"/>
      <c r="H233" s="376"/>
      <c r="I233" s="483"/>
      <c r="J233" s="376"/>
      <c r="K233" s="483"/>
      <c r="L233" s="376"/>
      <c r="M233" s="483"/>
      <c r="N233" s="574"/>
      <c r="O233" s="5">
        <f t="shared" si="22"/>
        <v>0</v>
      </c>
      <c r="P233" s="338"/>
      <c r="Q233" s="10"/>
      <c r="R233" s="63"/>
    </row>
    <row r="234" spans="1:18" x14ac:dyDescent="0.25">
      <c r="A234" s="13">
        <f t="shared" si="24"/>
        <v>4</v>
      </c>
      <c r="B234" s="4"/>
      <c r="C234" s="9"/>
      <c r="D234" s="376"/>
      <c r="E234" s="483"/>
      <c r="F234" s="376"/>
      <c r="G234" s="483"/>
      <c r="H234" s="376"/>
      <c r="I234" s="483"/>
      <c r="J234" s="376"/>
      <c r="K234" s="483"/>
      <c r="L234" s="376"/>
      <c r="M234" s="483"/>
      <c r="N234" s="574"/>
      <c r="O234" s="5">
        <f t="shared" si="22"/>
        <v>0</v>
      </c>
      <c r="P234" s="338"/>
      <c r="Q234" s="10"/>
      <c r="R234" s="63"/>
    </row>
    <row r="235" spans="1:18" x14ac:dyDescent="0.25">
      <c r="A235" s="13">
        <f t="shared" si="24"/>
        <v>5</v>
      </c>
      <c r="B235" s="4"/>
      <c r="C235" s="9"/>
      <c r="D235" s="376"/>
      <c r="E235" s="483"/>
      <c r="F235" s="376"/>
      <c r="G235" s="483"/>
      <c r="H235" s="376"/>
      <c r="I235" s="483"/>
      <c r="J235" s="376"/>
      <c r="K235" s="483"/>
      <c r="L235" s="376"/>
      <c r="M235" s="483"/>
      <c r="N235" s="574"/>
      <c r="O235" s="5">
        <f t="shared" si="22"/>
        <v>0</v>
      </c>
      <c r="P235" s="338"/>
      <c r="Q235" s="10"/>
      <c r="R235" s="63"/>
    </row>
    <row r="236" spans="1:18" x14ac:dyDescent="0.25">
      <c r="A236" s="13">
        <f t="shared" si="24"/>
        <v>6</v>
      </c>
      <c r="B236" s="4"/>
      <c r="C236" s="9"/>
      <c r="D236" s="376"/>
      <c r="E236" s="483"/>
      <c r="F236" s="376"/>
      <c r="G236" s="483"/>
      <c r="H236" s="376"/>
      <c r="I236" s="483"/>
      <c r="J236" s="376"/>
      <c r="K236" s="483"/>
      <c r="L236" s="376"/>
      <c r="M236" s="483"/>
      <c r="N236" s="574"/>
      <c r="O236" s="5">
        <f t="shared" si="22"/>
        <v>0</v>
      </c>
      <c r="P236" s="338"/>
      <c r="Q236" s="10"/>
      <c r="R236" s="63"/>
    </row>
    <row r="237" spans="1:18" x14ac:dyDescent="0.25">
      <c r="A237" s="13">
        <f t="shared" si="24"/>
        <v>7</v>
      </c>
      <c r="B237" s="4"/>
      <c r="C237" s="9"/>
      <c r="D237" s="376"/>
      <c r="E237" s="483"/>
      <c r="F237" s="376"/>
      <c r="G237" s="483"/>
      <c r="H237" s="376"/>
      <c r="I237" s="483"/>
      <c r="J237" s="376"/>
      <c r="K237" s="483"/>
      <c r="L237" s="376"/>
      <c r="M237" s="483"/>
      <c r="N237" s="574"/>
      <c r="O237" s="5">
        <f t="shared" si="22"/>
        <v>0</v>
      </c>
      <c r="P237" s="338"/>
      <c r="Q237" s="10"/>
      <c r="R237" s="63"/>
    </row>
    <row r="238" spans="1:18" x14ac:dyDescent="0.25">
      <c r="A238" s="13">
        <f t="shared" si="24"/>
        <v>8</v>
      </c>
      <c r="B238" s="4"/>
      <c r="C238" s="9"/>
      <c r="D238" s="390"/>
      <c r="E238" s="484"/>
      <c r="F238" s="360"/>
      <c r="G238" s="480"/>
      <c r="H238" s="360"/>
      <c r="I238" s="480"/>
      <c r="J238" s="360"/>
      <c r="K238" s="480"/>
      <c r="L238" s="360"/>
      <c r="M238" s="480"/>
      <c r="N238" s="562"/>
      <c r="O238" s="5">
        <f t="shared" si="22"/>
        <v>0</v>
      </c>
      <c r="P238" s="338"/>
      <c r="Q238" s="10"/>
      <c r="R238" s="63"/>
    </row>
    <row r="239" spans="1:18" x14ac:dyDescent="0.25">
      <c r="A239" s="13">
        <f t="shared" si="24"/>
        <v>9</v>
      </c>
      <c r="B239" s="4"/>
      <c r="C239" s="9"/>
      <c r="D239" s="376"/>
      <c r="E239" s="483"/>
      <c r="F239" s="376"/>
      <c r="G239" s="483"/>
      <c r="H239" s="376"/>
      <c r="I239" s="483"/>
      <c r="J239" s="376"/>
      <c r="K239" s="483"/>
      <c r="L239" s="376"/>
      <c r="M239" s="483"/>
      <c r="N239" s="574"/>
      <c r="O239" s="5">
        <f t="shared" si="22"/>
        <v>0</v>
      </c>
      <c r="P239" s="338"/>
      <c r="Q239" s="10"/>
      <c r="R239" s="63"/>
    </row>
    <row r="240" spans="1:18" x14ac:dyDescent="0.25">
      <c r="A240" s="13">
        <f t="shared" si="24"/>
        <v>10</v>
      </c>
      <c r="B240" s="4"/>
      <c r="C240" s="9"/>
      <c r="D240" s="376"/>
      <c r="E240" s="483"/>
      <c r="F240" s="376"/>
      <c r="G240" s="483"/>
      <c r="H240" s="376"/>
      <c r="I240" s="483"/>
      <c r="J240" s="376"/>
      <c r="K240" s="483"/>
      <c r="L240" s="376"/>
      <c r="M240" s="483"/>
      <c r="N240" s="574"/>
      <c r="O240" s="5">
        <f t="shared" si="22"/>
        <v>0</v>
      </c>
      <c r="P240" s="338"/>
      <c r="Q240" s="10"/>
      <c r="R240" s="63"/>
    </row>
    <row r="241" spans="1:18" x14ac:dyDescent="0.25">
      <c r="A241" s="13">
        <f t="shared" si="24"/>
        <v>11</v>
      </c>
      <c r="B241" s="4"/>
      <c r="C241" s="9"/>
      <c r="D241" s="376"/>
      <c r="E241" s="483"/>
      <c r="F241" s="376"/>
      <c r="G241" s="483"/>
      <c r="H241" s="376"/>
      <c r="I241" s="483"/>
      <c r="J241" s="376"/>
      <c r="K241" s="483"/>
      <c r="L241" s="376"/>
      <c r="M241" s="483"/>
      <c r="N241" s="574"/>
      <c r="O241" s="5">
        <f t="shared" si="22"/>
        <v>0</v>
      </c>
      <c r="P241" s="338"/>
      <c r="Q241" s="10"/>
      <c r="R241" s="63"/>
    </row>
    <row r="242" spans="1:18" x14ac:dyDescent="0.25">
      <c r="A242" s="13">
        <f t="shared" si="24"/>
        <v>12</v>
      </c>
      <c r="B242" s="4"/>
      <c r="C242" s="8"/>
      <c r="D242" s="376"/>
      <c r="E242" s="483"/>
      <c r="F242" s="376"/>
      <c r="G242" s="483"/>
      <c r="H242" s="376"/>
      <c r="I242" s="483"/>
      <c r="J242" s="376"/>
      <c r="K242" s="483"/>
      <c r="L242" s="376"/>
      <c r="M242" s="483"/>
      <c r="N242" s="574"/>
      <c r="O242" s="5">
        <f t="shared" si="22"/>
        <v>0</v>
      </c>
      <c r="P242" s="338"/>
      <c r="Q242" s="10"/>
      <c r="R242" s="63"/>
    </row>
    <row r="243" spans="1:18" x14ac:dyDescent="0.25">
      <c r="A243" s="13">
        <f t="shared" si="24"/>
        <v>13</v>
      </c>
      <c r="B243" s="4"/>
      <c r="C243" s="8"/>
      <c r="D243" s="390"/>
      <c r="E243" s="484"/>
      <c r="F243" s="360"/>
      <c r="G243" s="480"/>
      <c r="H243" s="360"/>
      <c r="I243" s="480"/>
      <c r="J243" s="360"/>
      <c r="K243" s="480"/>
      <c r="L243" s="360"/>
      <c r="M243" s="480"/>
      <c r="N243" s="562"/>
      <c r="O243" s="5">
        <f t="shared" si="22"/>
        <v>0</v>
      </c>
      <c r="P243" s="338"/>
      <c r="Q243" s="10"/>
      <c r="R243" s="63"/>
    </row>
    <row r="244" spans="1:18" x14ac:dyDescent="0.25">
      <c r="A244" s="13">
        <f t="shared" si="24"/>
        <v>14</v>
      </c>
      <c r="B244" s="4"/>
      <c r="C244" s="8"/>
      <c r="D244" s="376"/>
      <c r="E244" s="483"/>
      <c r="F244" s="376"/>
      <c r="G244" s="483"/>
      <c r="H244" s="376"/>
      <c r="I244" s="483"/>
      <c r="J244" s="376"/>
      <c r="K244" s="483"/>
      <c r="L244" s="376"/>
      <c r="M244" s="483"/>
      <c r="N244" s="574"/>
      <c r="O244" s="5">
        <f t="shared" si="22"/>
        <v>0</v>
      </c>
      <c r="P244" s="338"/>
      <c r="Q244" s="10"/>
      <c r="R244" s="63"/>
    </row>
    <row r="245" spans="1:18" x14ac:dyDescent="0.25">
      <c r="A245" s="13">
        <f t="shared" si="24"/>
        <v>15</v>
      </c>
      <c r="B245" s="4"/>
      <c r="C245" s="9"/>
      <c r="D245" s="376"/>
      <c r="E245" s="483"/>
      <c r="F245" s="376"/>
      <c r="G245" s="483"/>
      <c r="H245" s="376"/>
      <c r="I245" s="483"/>
      <c r="J245" s="376"/>
      <c r="K245" s="483"/>
      <c r="L245" s="376"/>
      <c r="M245" s="483"/>
      <c r="N245" s="574"/>
      <c r="O245" s="5">
        <f t="shared" si="22"/>
        <v>0</v>
      </c>
      <c r="P245" s="338"/>
      <c r="Q245" s="10"/>
      <c r="R245" s="63"/>
    </row>
    <row r="246" spans="1:18" x14ac:dyDescent="0.25">
      <c r="A246" s="13">
        <f t="shared" si="24"/>
        <v>16</v>
      </c>
      <c r="B246" s="4"/>
      <c r="C246" s="9"/>
      <c r="D246" s="390"/>
      <c r="E246" s="484"/>
      <c r="F246" s="360"/>
      <c r="G246" s="480"/>
      <c r="H246" s="360"/>
      <c r="I246" s="480"/>
      <c r="J246" s="360"/>
      <c r="K246" s="480"/>
      <c r="L246" s="360"/>
      <c r="M246" s="480"/>
      <c r="N246" s="562"/>
      <c r="O246" s="5">
        <f t="shared" si="22"/>
        <v>0</v>
      </c>
      <c r="P246" s="338"/>
      <c r="Q246" s="10"/>
      <c r="R246" s="63"/>
    </row>
    <row r="247" spans="1:18" x14ac:dyDescent="0.25">
      <c r="A247" s="13">
        <f t="shared" si="24"/>
        <v>17</v>
      </c>
      <c r="B247" s="4"/>
      <c r="C247" s="8"/>
      <c r="D247" s="376"/>
      <c r="E247" s="483"/>
      <c r="F247" s="376"/>
      <c r="G247" s="483"/>
      <c r="H247" s="376"/>
      <c r="I247" s="483"/>
      <c r="J247" s="376"/>
      <c r="K247" s="483"/>
      <c r="L247" s="376"/>
      <c r="M247" s="483"/>
      <c r="N247" s="574"/>
      <c r="O247" s="5">
        <f t="shared" si="22"/>
        <v>0</v>
      </c>
      <c r="P247" s="338"/>
      <c r="Q247" s="10"/>
      <c r="R247" s="63"/>
    </row>
    <row r="248" spans="1:18" x14ac:dyDescent="0.25">
      <c r="A248" s="13">
        <f t="shared" si="24"/>
        <v>18</v>
      </c>
      <c r="B248" s="4"/>
      <c r="C248" s="9"/>
      <c r="D248" s="376"/>
      <c r="E248" s="483"/>
      <c r="F248" s="376"/>
      <c r="G248" s="483"/>
      <c r="H248" s="376"/>
      <c r="I248" s="483"/>
      <c r="J248" s="376"/>
      <c r="K248" s="483"/>
      <c r="L248" s="376"/>
      <c r="M248" s="483"/>
      <c r="N248" s="574"/>
      <c r="O248" s="5">
        <f t="shared" si="22"/>
        <v>0</v>
      </c>
      <c r="P248" s="338"/>
      <c r="Q248" s="10"/>
      <c r="R248" s="63"/>
    </row>
    <row r="249" spans="1:18" x14ac:dyDescent="0.25">
      <c r="A249" s="13">
        <f t="shared" si="24"/>
        <v>19</v>
      </c>
      <c r="B249" s="4"/>
      <c r="C249" s="9"/>
      <c r="D249" s="390"/>
      <c r="E249" s="484"/>
      <c r="F249" s="360"/>
      <c r="G249" s="480"/>
      <c r="H249" s="360"/>
      <c r="I249" s="480"/>
      <c r="J249" s="360"/>
      <c r="K249" s="480"/>
      <c r="L249" s="360"/>
      <c r="M249" s="480"/>
      <c r="N249" s="562"/>
      <c r="O249" s="5">
        <f t="shared" si="22"/>
        <v>0</v>
      </c>
      <c r="P249" s="338"/>
      <c r="Q249" s="10"/>
      <c r="R249" s="63"/>
    </row>
    <row r="250" spans="1:18" x14ac:dyDescent="0.25">
      <c r="A250" s="13">
        <f t="shared" si="24"/>
        <v>20</v>
      </c>
      <c r="B250" s="4"/>
      <c r="C250" s="9"/>
      <c r="D250" s="376"/>
      <c r="E250" s="483"/>
      <c r="F250" s="376"/>
      <c r="G250" s="483"/>
      <c r="H250" s="376"/>
      <c r="I250" s="483"/>
      <c r="J250" s="376"/>
      <c r="K250" s="483"/>
      <c r="L250" s="376"/>
      <c r="M250" s="483"/>
      <c r="N250" s="574"/>
      <c r="O250" s="5">
        <f t="shared" si="22"/>
        <v>0</v>
      </c>
      <c r="P250" s="338"/>
      <c r="Q250" s="10"/>
      <c r="R250" s="63"/>
    </row>
    <row r="251" spans="1:18" x14ac:dyDescent="0.25">
      <c r="A251" s="13">
        <f t="shared" si="24"/>
        <v>21</v>
      </c>
      <c r="B251" s="4"/>
      <c r="C251" s="9"/>
      <c r="D251" s="376"/>
      <c r="E251" s="483"/>
      <c r="F251" s="376"/>
      <c r="G251" s="483"/>
      <c r="H251" s="376"/>
      <c r="I251" s="483"/>
      <c r="J251" s="376"/>
      <c r="K251" s="483"/>
      <c r="L251" s="376"/>
      <c r="M251" s="483"/>
      <c r="N251" s="574"/>
      <c r="O251" s="5">
        <f t="shared" si="22"/>
        <v>0</v>
      </c>
      <c r="P251" s="338"/>
      <c r="Q251" s="10"/>
      <c r="R251" s="63"/>
    </row>
    <row r="252" spans="1:18" x14ac:dyDescent="0.25">
      <c r="A252" s="13">
        <f t="shared" si="24"/>
        <v>22</v>
      </c>
      <c r="B252" s="4"/>
      <c r="C252" s="9"/>
      <c r="D252" s="376"/>
      <c r="E252" s="483"/>
      <c r="F252" s="376"/>
      <c r="G252" s="483"/>
      <c r="H252" s="376"/>
      <c r="I252" s="483"/>
      <c r="J252" s="376"/>
      <c r="K252" s="483"/>
      <c r="L252" s="376"/>
      <c r="M252" s="483"/>
      <c r="N252" s="574"/>
      <c r="O252" s="5">
        <f t="shared" si="22"/>
        <v>0</v>
      </c>
      <c r="P252" s="338"/>
      <c r="Q252" s="10"/>
      <c r="R252" s="63"/>
    </row>
    <row r="253" spans="1:18" x14ac:dyDescent="0.25">
      <c r="A253" s="13">
        <f t="shared" si="24"/>
        <v>23</v>
      </c>
      <c r="B253" s="4"/>
      <c r="C253" s="8"/>
      <c r="D253" s="376"/>
      <c r="E253" s="483"/>
      <c r="F253" s="376"/>
      <c r="G253" s="483"/>
      <c r="H253" s="376"/>
      <c r="I253" s="483"/>
      <c r="J253" s="376"/>
      <c r="K253" s="483"/>
      <c r="L253" s="376"/>
      <c r="M253" s="483"/>
      <c r="N253" s="574"/>
      <c r="O253" s="5">
        <f t="shared" si="22"/>
        <v>0</v>
      </c>
      <c r="P253" s="338"/>
      <c r="Q253" s="10"/>
      <c r="R253" s="63"/>
    </row>
    <row r="254" spans="1:18" x14ac:dyDescent="0.25">
      <c r="A254" s="13">
        <f t="shared" si="24"/>
        <v>24</v>
      </c>
      <c r="B254" s="4"/>
      <c r="C254" s="9"/>
      <c r="D254" s="390"/>
      <c r="E254" s="484"/>
      <c r="F254" s="360"/>
      <c r="G254" s="480"/>
      <c r="H254" s="360"/>
      <c r="I254" s="480"/>
      <c r="J254" s="360"/>
      <c r="K254" s="480"/>
      <c r="L254" s="360"/>
      <c r="M254" s="480"/>
      <c r="N254" s="562"/>
      <c r="O254" s="5">
        <f t="shared" si="22"/>
        <v>0</v>
      </c>
      <c r="P254" s="338"/>
      <c r="Q254" s="10"/>
      <c r="R254" s="63"/>
    </row>
    <row r="255" spans="1:18" x14ac:dyDescent="0.25">
      <c r="A255" s="13">
        <f t="shared" si="24"/>
        <v>25</v>
      </c>
      <c r="B255" s="4"/>
      <c r="C255" s="9"/>
      <c r="D255" s="376"/>
      <c r="E255" s="483"/>
      <c r="F255" s="376"/>
      <c r="G255" s="483"/>
      <c r="H255" s="376"/>
      <c r="I255" s="483"/>
      <c r="J255" s="376"/>
      <c r="K255" s="483"/>
      <c r="L255" s="376"/>
      <c r="M255" s="483"/>
      <c r="N255" s="574"/>
      <c r="O255" s="5">
        <f t="shared" si="22"/>
        <v>0</v>
      </c>
      <c r="P255" s="338"/>
      <c r="Q255" s="10"/>
      <c r="R255" s="63"/>
    </row>
    <row r="256" spans="1:18" x14ac:dyDescent="0.25">
      <c r="A256" s="13">
        <f t="shared" si="24"/>
        <v>26</v>
      </c>
      <c r="B256" s="4"/>
      <c r="C256" s="9"/>
      <c r="D256" s="376"/>
      <c r="E256" s="483"/>
      <c r="F256" s="376"/>
      <c r="G256" s="483"/>
      <c r="H256" s="376"/>
      <c r="I256" s="483"/>
      <c r="J256" s="376"/>
      <c r="K256" s="483"/>
      <c r="L256" s="376"/>
      <c r="M256" s="483"/>
      <c r="N256" s="574"/>
      <c r="O256" s="5">
        <f t="shared" si="22"/>
        <v>0</v>
      </c>
      <c r="P256" s="338"/>
      <c r="Q256" s="10"/>
      <c r="R256" s="63"/>
    </row>
    <row r="257" spans="1:18" x14ac:dyDescent="0.25">
      <c r="A257" s="13">
        <f t="shared" si="24"/>
        <v>27</v>
      </c>
      <c r="B257" s="4"/>
      <c r="C257" s="9"/>
      <c r="D257" s="376"/>
      <c r="E257" s="483"/>
      <c r="F257" s="376"/>
      <c r="G257" s="483"/>
      <c r="H257" s="376"/>
      <c r="I257" s="483"/>
      <c r="J257" s="376"/>
      <c r="K257" s="483"/>
      <c r="L257" s="376"/>
      <c r="M257" s="483"/>
      <c r="N257" s="574"/>
      <c r="O257" s="5">
        <f t="shared" si="22"/>
        <v>0</v>
      </c>
      <c r="P257" s="338"/>
      <c r="Q257" s="10"/>
      <c r="R257" s="63"/>
    </row>
    <row r="258" spans="1:18" x14ac:dyDescent="0.25">
      <c r="A258" s="13">
        <f t="shared" si="24"/>
        <v>28</v>
      </c>
      <c r="B258" s="4"/>
      <c r="C258" s="9"/>
      <c r="D258" s="376"/>
      <c r="E258" s="483"/>
      <c r="F258" s="376"/>
      <c r="G258" s="483"/>
      <c r="H258" s="376"/>
      <c r="I258" s="483"/>
      <c r="J258" s="376"/>
      <c r="K258" s="483"/>
      <c r="L258" s="376"/>
      <c r="M258" s="483"/>
      <c r="N258" s="574"/>
      <c r="O258" s="5">
        <f t="shared" si="22"/>
        <v>0</v>
      </c>
      <c r="P258" s="338"/>
      <c r="Q258" s="10"/>
      <c r="R258" s="63"/>
    </row>
    <row r="259" spans="1:18" x14ac:dyDescent="0.25">
      <c r="A259" s="13">
        <f t="shared" si="24"/>
        <v>29</v>
      </c>
      <c r="B259" s="4"/>
      <c r="C259" s="9"/>
      <c r="D259" s="390"/>
      <c r="E259" s="484"/>
      <c r="F259" s="360"/>
      <c r="G259" s="480"/>
      <c r="H259" s="360"/>
      <c r="I259" s="480"/>
      <c r="J259" s="360"/>
      <c r="K259" s="480"/>
      <c r="L259" s="360"/>
      <c r="M259" s="480"/>
      <c r="N259" s="562"/>
      <c r="O259" s="5">
        <f t="shared" si="22"/>
        <v>0</v>
      </c>
      <c r="P259" s="338"/>
      <c r="Q259" s="10"/>
      <c r="R259" s="63"/>
    </row>
    <row r="260" spans="1:18" x14ac:dyDescent="0.25">
      <c r="A260" s="13">
        <f t="shared" si="24"/>
        <v>30</v>
      </c>
      <c r="B260" s="4"/>
      <c r="C260" s="9"/>
      <c r="D260" s="376"/>
      <c r="E260" s="483"/>
      <c r="F260" s="376"/>
      <c r="G260" s="483"/>
      <c r="H260" s="376"/>
      <c r="I260" s="483"/>
      <c r="J260" s="376"/>
      <c r="K260" s="483"/>
      <c r="L260" s="376"/>
      <c r="M260" s="483"/>
      <c r="N260" s="574"/>
      <c r="O260" s="5">
        <f t="shared" si="22"/>
        <v>0</v>
      </c>
      <c r="P260" s="338"/>
      <c r="Q260" s="10"/>
      <c r="R260" s="63"/>
    </row>
    <row r="261" spans="1:18" x14ac:dyDescent="0.25">
      <c r="A261" s="13">
        <f t="shared" si="24"/>
        <v>31</v>
      </c>
      <c r="B261" s="4"/>
      <c r="C261" s="9"/>
      <c r="D261" s="376"/>
      <c r="E261" s="483"/>
      <c r="F261" s="376"/>
      <c r="G261" s="483"/>
      <c r="H261" s="376"/>
      <c r="I261" s="483"/>
      <c r="J261" s="376"/>
      <c r="K261" s="483"/>
      <c r="L261" s="376"/>
      <c r="M261" s="483"/>
      <c r="N261" s="574"/>
      <c r="O261" s="5">
        <f t="shared" si="22"/>
        <v>0</v>
      </c>
      <c r="P261" s="338"/>
      <c r="Q261" s="10"/>
      <c r="R261" s="63"/>
    </row>
    <row r="262" spans="1:18" x14ac:dyDescent="0.25">
      <c r="A262" s="13">
        <f t="shared" si="24"/>
        <v>32</v>
      </c>
      <c r="B262" s="4"/>
      <c r="C262" s="9"/>
      <c r="D262" s="390"/>
      <c r="E262" s="484"/>
      <c r="F262" s="360"/>
      <c r="G262" s="480"/>
      <c r="H262" s="360"/>
      <c r="I262" s="480"/>
      <c r="J262" s="360"/>
      <c r="K262" s="480"/>
      <c r="L262" s="360"/>
      <c r="M262" s="480"/>
      <c r="N262" s="562"/>
      <c r="O262" s="5">
        <f t="shared" si="22"/>
        <v>0</v>
      </c>
      <c r="P262" s="338"/>
      <c r="Q262" s="10"/>
      <c r="R262" s="63"/>
    </row>
    <row r="263" spans="1:18" x14ac:dyDescent="0.25">
      <c r="A263" s="13">
        <f t="shared" si="24"/>
        <v>33</v>
      </c>
      <c r="B263" s="4"/>
      <c r="C263" s="8"/>
      <c r="D263" s="376"/>
      <c r="E263" s="483"/>
      <c r="F263" s="376"/>
      <c r="G263" s="483"/>
      <c r="H263" s="376"/>
      <c r="I263" s="483"/>
      <c r="J263" s="376"/>
      <c r="K263" s="483"/>
      <c r="L263" s="376"/>
      <c r="M263" s="483"/>
      <c r="N263" s="574"/>
      <c r="O263" s="5">
        <f t="shared" si="22"/>
        <v>0</v>
      </c>
      <c r="P263" s="338"/>
      <c r="Q263" s="10"/>
      <c r="R263" s="63"/>
    </row>
    <row r="264" spans="1:18" x14ac:dyDescent="0.25">
      <c r="A264" s="13">
        <f t="shared" si="24"/>
        <v>34</v>
      </c>
      <c r="B264" s="4"/>
      <c r="C264" s="9"/>
      <c r="D264" s="376"/>
      <c r="E264" s="483"/>
      <c r="F264" s="376"/>
      <c r="G264" s="483"/>
      <c r="H264" s="376"/>
      <c r="I264" s="483"/>
      <c r="J264" s="376"/>
      <c r="K264" s="483"/>
      <c r="L264" s="376"/>
      <c r="M264" s="483"/>
      <c r="N264" s="574"/>
      <c r="O264" s="5">
        <f t="shared" si="22"/>
        <v>0</v>
      </c>
      <c r="P264" s="338"/>
      <c r="Q264" s="10"/>
      <c r="R264" s="63"/>
    </row>
    <row r="265" spans="1:18" x14ac:dyDescent="0.25">
      <c r="A265" s="13">
        <f t="shared" si="24"/>
        <v>35</v>
      </c>
      <c r="B265" s="4"/>
      <c r="C265" s="9"/>
      <c r="D265" s="360"/>
      <c r="E265" s="480"/>
      <c r="F265" s="360"/>
      <c r="G265" s="480"/>
      <c r="H265" s="360"/>
      <c r="I265" s="480"/>
      <c r="J265" s="360"/>
      <c r="K265" s="480"/>
      <c r="L265" s="360"/>
      <c r="M265" s="480"/>
      <c r="N265" s="562"/>
      <c r="O265" s="5">
        <f t="shared" si="22"/>
        <v>0</v>
      </c>
      <c r="P265" s="338"/>
      <c r="Q265" s="10"/>
      <c r="R265" s="63"/>
    </row>
    <row r="266" spans="1:18" x14ac:dyDescent="0.25">
      <c r="A266" s="13">
        <f t="shared" si="24"/>
        <v>36</v>
      </c>
      <c r="B266" s="4"/>
      <c r="C266" s="8"/>
      <c r="D266" s="376"/>
      <c r="E266" s="483"/>
      <c r="F266" s="376"/>
      <c r="G266" s="483"/>
      <c r="H266" s="376"/>
      <c r="I266" s="483"/>
      <c r="J266" s="376"/>
      <c r="K266" s="483"/>
      <c r="L266" s="376"/>
      <c r="M266" s="483"/>
      <c r="N266" s="574"/>
      <c r="O266" s="5">
        <f t="shared" si="22"/>
        <v>0</v>
      </c>
      <c r="P266" s="338"/>
      <c r="Q266" s="10"/>
      <c r="R266" s="64"/>
    </row>
    <row r="267" spans="1:18" x14ac:dyDescent="0.25">
      <c r="A267" s="13">
        <f t="shared" si="24"/>
        <v>37</v>
      </c>
      <c r="B267" s="4"/>
      <c r="C267" s="8"/>
      <c r="D267" s="376"/>
      <c r="E267" s="483"/>
      <c r="F267" s="376"/>
      <c r="G267" s="483"/>
      <c r="H267" s="376"/>
      <c r="I267" s="483"/>
      <c r="J267" s="376"/>
      <c r="K267" s="483"/>
      <c r="L267" s="376"/>
      <c r="M267" s="483"/>
      <c r="N267" s="574"/>
      <c r="O267" s="5">
        <f t="shared" si="22"/>
        <v>0</v>
      </c>
      <c r="P267" s="338"/>
      <c r="Q267" s="10"/>
      <c r="R267" s="63"/>
    </row>
    <row r="268" spans="1:18" x14ac:dyDescent="0.25">
      <c r="A268" s="13">
        <f t="shared" si="24"/>
        <v>38</v>
      </c>
      <c r="B268" s="4"/>
      <c r="C268" s="9"/>
      <c r="D268" s="376"/>
      <c r="E268" s="483"/>
      <c r="F268" s="376"/>
      <c r="G268" s="483"/>
      <c r="H268" s="376"/>
      <c r="I268" s="483"/>
      <c r="J268" s="376"/>
      <c r="K268" s="483"/>
      <c r="L268" s="376"/>
      <c r="M268" s="483"/>
      <c r="N268" s="574"/>
      <c r="O268" s="5">
        <f t="shared" si="22"/>
        <v>0</v>
      </c>
      <c r="P268" s="338"/>
      <c r="Q268" s="10"/>
      <c r="R268" s="63"/>
    </row>
    <row r="269" spans="1:18" x14ac:dyDescent="0.25">
      <c r="A269" s="13">
        <f t="shared" si="24"/>
        <v>39</v>
      </c>
      <c r="B269" s="4"/>
      <c r="C269" s="9"/>
      <c r="D269" s="376"/>
      <c r="E269" s="483"/>
      <c r="F269" s="376"/>
      <c r="G269" s="483"/>
      <c r="H269" s="376"/>
      <c r="I269" s="483"/>
      <c r="J269" s="376"/>
      <c r="K269" s="483"/>
      <c r="L269" s="376"/>
      <c r="M269" s="483"/>
      <c r="N269" s="574"/>
      <c r="O269" s="5">
        <f t="shared" si="22"/>
        <v>0</v>
      </c>
      <c r="P269" s="338"/>
      <c r="Q269" s="10"/>
      <c r="R269" s="63"/>
    </row>
    <row r="270" spans="1:18" x14ac:dyDescent="0.25">
      <c r="A270" s="13">
        <f t="shared" si="24"/>
        <v>40</v>
      </c>
      <c r="B270" s="4"/>
      <c r="C270" s="9"/>
      <c r="D270" s="376"/>
      <c r="E270" s="483"/>
      <c r="F270" s="376"/>
      <c r="G270" s="483"/>
      <c r="H270" s="376"/>
      <c r="I270" s="483"/>
      <c r="J270" s="376"/>
      <c r="K270" s="483"/>
      <c r="L270" s="376"/>
      <c r="M270" s="483"/>
      <c r="N270" s="574"/>
      <c r="O270" s="5">
        <f t="shared" si="22"/>
        <v>0</v>
      </c>
      <c r="P270" s="338"/>
      <c r="Q270" s="10"/>
      <c r="R270" s="63"/>
    </row>
    <row r="271" spans="1:18" x14ac:dyDescent="0.25">
      <c r="A271" s="13">
        <f t="shared" si="24"/>
        <v>41</v>
      </c>
      <c r="B271" s="4"/>
      <c r="C271" s="9"/>
      <c r="D271" s="376"/>
      <c r="E271" s="483"/>
      <c r="F271" s="376"/>
      <c r="G271" s="483"/>
      <c r="H271" s="376"/>
      <c r="I271" s="483"/>
      <c r="J271" s="376"/>
      <c r="K271" s="483"/>
      <c r="L271" s="376"/>
      <c r="M271" s="483"/>
      <c r="N271" s="574"/>
      <c r="O271" s="5">
        <f t="shared" si="22"/>
        <v>0</v>
      </c>
      <c r="P271" s="338"/>
      <c r="Q271" s="10"/>
      <c r="R271" s="63"/>
    </row>
    <row r="272" spans="1:18" x14ac:dyDescent="0.25">
      <c r="A272" s="13">
        <f t="shared" si="24"/>
        <v>42</v>
      </c>
      <c r="B272" s="4"/>
      <c r="C272" s="8"/>
      <c r="D272" s="376"/>
      <c r="E272" s="483"/>
      <c r="F272" s="376"/>
      <c r="G272" s="483"/>
      <c r="H272" s="376"/>
      <c r="I272" s="483"/>
      <c r="J272" s="376"/>
      <c r="K272" s="483"/>
      <c r="L272" s="376"/>
      <c r="M272" s="483"/>
      <c r="N272" s="574"/>
      <c r="O272" s="5">
        <f t="shared" si="22"/>
        <v>0</v>
      </c>
      <c r="P272" s="338"/>
      <c r="Q272" s="10"/>
      <c r="R272" s="63"/>
    </row>
    <row r="273" spans="1:18" x14ac:dyDescent="0.25">
      <c r="A273" s="13">
        <f t="shared" si="24"/>
        <v>43</v>
      </c>
      <c r="B273" s="4"/>
      <c r="C273" s="9"/>
      <c r="D273" s="376"/>
      <c r="E273" s="483"/>
      <c r="F273" s="376"/>
      <c r="G273" s="483"/>
      <c r="H273" s="376"/>
      <c r="I273" s="483"/>
      <c r="J273" s="376"/>
      <c r="K273" s="483"/>
      <c r="L273" s="376"/>
      <c r="M273" s="483"/>
      <c r="N273" s="574"/>
      <c r="O273" s="5">
        <f t="shared" si="22"/>
        <v>0</v>
      </c>
      <c r="P273" s="338"/>
      <c r="Q273" s="10"/>
      <c r="R273" s="63"/>
    </row>
    <row r="274" spans="1:18" x14ac:dyDescent="0.25">
      <c r="A274" s="13">
        <f t="shared" si="24"/>
        <v>44</v>
      </c>
      <c r="B274" s="4"/>
      <c r="C274" s="9"/>
      <c r="D274" s="376"/>
      <c r="E274" s="483"/>
      <c r="F274" s="376"/>
      <c r="G274" s="483"/>
      <c r="H274" s="376"/>
      <c r="I274" s="483"/>
      <c r="J274" s="376"/>
      <c r="K274" s="483"/>
      <c r="L274" s="376"/>
      <c r="M274" s="483"/>
      <c r="N274" s="574"/>
      <c r="O274" s="5">
        <f t="shared" si="22"/>
        <v>0</v>
      </c>
      <c r="P274" s="338"/>
      <c r="Q274" s="10"/>
      <c r="R274" s="63"/>
    </row>
    <row r="275" spans="1:18" x14ac:dyDescent="0.25">
      <c r="A275" s="13">
        <f t="shared" si="24"/>
        <v>45</v>
      </c>
      <c r="B275" s="4"/>
      <c r="C275" s="8"/>
      <c r="D275" s="390"/>
      <c r="E275" s="484"/>
      <c r="F275" s="360"/>
      <c r="G275" s="480"/>
      <c r="H275" s="360"/>
      <c r="I275" s="480"/>
      <c r="J275" s="360"/>
      <c r="K275" s="480"/>
      <c r="L275" s="360"/>
      <c r="M275" s="480"/>
      <c r="N275" s="562"/>
      <c r="O275" s="5">
        <f t="shared" si="22"/>
        <v>0</v>
      </c>
      <c r="P275" s="338"/>
      <c r="Q275" s="10"/>
      <c r="R275" s="63"/>
    </row>
    <row r="276" spans="1:18" x14ac:dyDescent="0.25">
      <c r="A276" s="13">
        <f t="shared" si="24"/>
        <v>46</v>
      </c>
      <c r="B276" s="4"/>
      <c r="C276" s="9"/>
      <c r="D276" s="376"/>
      <c r="E276" s="483"/>
      <c r="F276" s="376"/>
      <c r="G276" s="483"/>
      <c r="H276" s="376"/>
      <c r="I276" s="483"/>
      <c r="J276" s="376"/>
      <c r="K276" s="483"/>
      <c r="L276" s="376"/>
      <c r="M276" s="483"/>
      <c r="N276" s="574"/>
      <c r="O276" s="5">
        <f t="shared" si="22"/>
        <v>0</v>
      </c>
      <c r="P276" s="338"/>
      <c r="Q276" s="10"/>
      <c r="R276" s="63"/>
    </row>
    <row r="277" spans="1:18" x14ac:dyDescent="0.25">
      <c r="A277" s="13">
        <f t="shared" si="24"/>
        <v>47</v>
      </c>
      <c r="B277" s="4"/>
      <c r="C277" s="9"/>
      <c r="D277" s="376"/>
      <c r="E277" s="483"/>
      <c r="F277" s="376"/>
      <c r="G277" s="483"/>
      <c r="H277" s="376"/>
      <c r="I277" s="483"/>
      <c r="J277" s="376"/>
      <c r="K277" s="483"/>
      <c r="L277" s="376"/>
      <c r="M277" s="483"/>
      <c r="N277" s="574"/>
      <c r="O277" s="5">
        <f t="shared" si="22"/>
        <v>0</v>
      </c>
      <c r="P277" s="338"/>
      <c r="Q277" s="10"/>
      <c r="R277" s="63"/>
    </row>
    <row r="278" spans="1:18" x14ac:dyDescent="0.25">
      <c r="A278" s="13">
        <f t="shared" si="24"/>
        <v>48</v>
      </c>
      <c r="B278" s="4"/>
      <c r="C278" s="8"/>
      <c r="D278" s="376"/>
      <c r="E278" s="483"/>
      <c r="F278" s="376"/>
      <c r="G278" s="483"/>
      <c r="H278" s="376"/>
      <c r="I278" s="483"/>
      <c r="J278" s="376"/>
      <c r="K278" s="483"/>
      <c r="L278" s="376"/>
      <c r="M278" s="483"/>
      <c r="N278" s="574"/>
      <c r="O278" s="5">
        <f t="shared" si="22"/>
        <v>0</v>
      </c>
      <c r="P278" s="338"/>
      <c r="Q278" s="10"/>
      <c r="R278" s="63"/>
    </row>
    <row r="279" spans="1:18" x14ac:dyDescent="0.25">
      <c r="A279" s="13">
        <f t="shared" si="24"/>
        <v>49</v>
      </c>
      <c r="B279" s="4"/>
      <c r="C279" s="9"/>
      <c r="D279" s="376"/>
      <c r="E279" s="483"/>
      <c r="F279" s="376"/>
      <c r="G279" s="483"/>
      <c r="H279" s="376"/>
      <c r="I279" s="483"/>
      <c r="J279" s="376"/>
      <c r="K279" s="483"/>
      <c r="L279" s="376"/>
      <c r="M279" s="483"/>
      <c r="N279" s="574"/>
      <c r="O279" s="5">
        <f t="shared" si="22"/>
        <v>0</v>
      </c>
      <c r="P279" s="338"/>
      <c r="Q279" s="10"/>
      <c r="R279" s="63"/>
    </row>
    <row r="280" spans="1:18" x14ac:dyDescent="0.25">
      <c r="A280" s="13">
        <f t="shared" si="24"/>
        <v>50</v>
      </c>
      <c r="B280" s="4"/>
      <c r="C280" s="9"/>
      <c r="D280" s="376"/>
      <c r="E280" s="483"/>
      <c r="F280" s="376"/>
      <c r="G280" s="483"/>
      <c r="H280" s="376"/>
      <c r="I280" s="483"/>
      <c r="J280" s="376"/>
      <c r="K280" s="483"/>
      <c r="L280" s="376"/>
      <c r="M280" s="483"/>
      <c r="N280" s="574"/>
      <c r="O280" s="5">
        <f t="shared" ref="O280:O318" si="25">SUM(C280:N280)</f>
        <v>0</v>
      </c>
      <c r="P280" s="338"/>
      <c r="Q280" s="10"/>
      <c r="R280" s="63"/>
    </row>
    <row r="281" spans="1:18" x14ac:dyDescent="0.25">
      <c r="A281" s="13">
        <f t="shared" si="24"/>
        <v>51</v>
      </c>
      <c r="B281" s="4"/>
      <c r="C281" s="8"/>
      <c r="D281" s="376"/>
      <c r="E281" s="483"/>
      <c r="F281" s="376"/>
      <c r="G281" s="483"/>
      <c r="H281" s="376"/>
      <c r="I281" s="483"/>
      <c r="J281" s="376"/>
      <c r="K281" s="483"/>
      <c r="L281" s="376"/>
      <c r="M281" s="483"/>
      <c r="N281" s="574"/>
      <c r="O281" s="5">
        <f t="shared" si="25"/>
        <v>0</v>
      </c>
      <c r="P281" s="338"/>
      <c r="Q281" s="10"/>
      <c r="R281" s="63"/>
    </row>
    <row r="282" spans="1:18" x14ac:dyDescent="0.25">
      <c r="A282" s="13">
        <f t="shared" si="24"/>
        <v>52</v>
      </c>
      <c r="B282" s="4"/>
      <c r="C282" s="9"/>
      <c r="D282" s="390"/>
      <c r="E282" s="484"/>
      <c r="F282" s="360"/>
      <c r="G282" s="480"/>
      <c r="H282" s="360"/>
      <c r="I282" s="480"/>
      <c r="J282" s="360"/>
      <c r="K282" s="480"/>
      <c r="L282" s="360"/>
      <c r="M282" s="480"/>
      <c r="N282" s="562"/>
      <c r="O282" s="5">
        <f t="shared" si="25"/>
        <v>0</v>
      </c>
      <c r="P282" s="338"/>
      <c r="Q282" s="10"/>
      <c r="R282" s="63"/>
    </row>
    <row r="283" spans="1:18" x14ac:dyDescent="0.25">
      <c r="A283" s="13">
        <f t="shared" si="24"/>
        <v>53</v>
      </c>
      <c r="B283" s="4"/>
      <c r="C283" s="9"/>
      <c r="D283" s="376"/>
      <c r="E283" s="483"/>
      <c r="F283" s="376"/>
      <c r="G283" s="483"/>
      <c r="H283" s="376"/>
      <c r="I283" s="483"/>
      <c r="J283" s="376"/>
      <c r="K283" s="483"/>
      <c r="L283" s="376"/>
      <c r="M283" s="483"/>
      <c r="N283" s="574"/>
      <c r="O283" s="5">
        <f t="shared" si="25"/>
        <v>0</v>
      </c>
      <c r="P283" s="338"/>
      <c r="Q283" s="10"/>
      <c r="R283" s="63"/>
    </row>
    <row r="284" spans="1:18" x14ac:dyDescent="0.25">
      <c r="A284" s="13">
        <f t="shared" si="24"/>
        <v>54</v>
      </c>
      <c r="B284" s="4"/>
      <c r="C284" s="9"/>
      <c r="D284" s="376"/>
      <c r="E284" s="483"/>
      <c r="F284" s="376"/>
      <c r="G284" s="483"/>
      <c r="H284" s="376"/>
      <c r="I284" s="483"/>
      <c r="J284" s="376"/>
      <c r="K284" s="483"/>
      <c r="L284" s="376"/>
      <c r="M284" s="483"/>
      <c r="N284" s="574"/>
      <c r="O284" s="5">
        <f t="shared" si="25"/>
        <v>0</v>
      </c>
      <c r="P284" s="338"/>
      <c r="Q284" s="10"/>
      <c r="R284" s="63"/>
    </row>
    <row r="285" spans="1:18" x14ac:dyDescent="0.25">
      <c r="A285" s="13">
        <f t="shared" si="24"/>
        <v>55</v>
      </c>
      <c r="B285" s="4"/>
      <c r="C285" s="8"/>
      <c r="D285" s="376"/>
      <c r="E285" s="483"/>
      <c r="F285" s="376"/>
      <c r="G285" s="483"/>
      <c r="H285" s="376"/>
      <c r="I285" s="483"/>
      <c r="J285" s="376"/>
      <c r="K285" s="483"/>
      <c r="L285" s="376"/>
      <c r="M285" s="483"/>
      <c r="N285" s="574"/>
      <c r="O285" s="5">
        <f t="shared" si="25"/>
        <v>0</v>
      </c>
      <c r="P285" s="338"/>
      <c r="Q285" s="10"/>
      <c r="R285" s="63"/>
    </row>
    <row r="286" spans="1:18" x14ac:dyDescent="0.25">
      <c r="A286" s="13">
        <f t="shared" si="24"/>
        <v>56</v>
      </c>
      <c r="B286" s="4"/>
      <c r="C286" s="9"/>
      <c r="D286" s="376"/>
      <c r="E286" s="483"/>
      <c r="F286" s="376"/>
      <c r="G286" s="483"/>
      <c r="H286" s="376"/>
      <c r="I286" s="483"/>
      <c r="J286" s="376"/>
      <c r="K286" s="483"/>
      <c r="L286" s="376"/>
      <c r="M286" s="483"/>
      <c r="N286" s="574"/>
      <c r="O286" s="5">
        <f t="shared" si="25"/>
        <v>0</v>
      </c>
      <c r="P286" s="338"/>
      <c r="Q286" s="10"/>
      <c r="R286" s="63"/>
    </row>
    <row r="287" spans="1:18" x14ac:dyDescent="0.25">
      <c r="A287" s="13">
        <f t="shared" si="24"/>
        <v>57</v>
      </c>
      <c r="B287" s="4"/>
      <c r="C287" s="9"/>
      <c r="D287" s="376"/>
      <c r="E287" s="483"/>
      <c r="F287" s="376"/>
      <c r="G287" s="483"/>
      <c r="H287" s="376"/>
      <c r="I287" s="483"/>
      <c r="J287" s="376"/>
      <c r="K287" s="483"/>
      <c r="L287" s="376"/>
      <c r="M287" s="483"/>
      <c r="N287" s="574"/>
      <c r="O287" s="5">
        <f t="shared" si="25"/>
        <v>0</v>
      </c>
      <c r="P287" s="338"/>
      <c r="Q287" s="10"/>
      <c r="R287" s="63"/>
    </row>
    <row r="288" spans="1:18" x14ac:dyDescent="0.25">
      <c r="A288" s="13">
        <f t="shared" si="24"/>
        <v>58</v>
      </c>
      <c r="B288" s="4"/>
      <c r="C288" s="9"/>
      <c r="D288" s="376"/>
      <c r="E288" s="483"/>
      <c r="F288" s="376"/>
      <c r="G288" s="483"/>
      <c r="H288" s="376"/>
      <c r="I288" s="483"/>
      <c r="J288" s="376"/>
      <c r="K288" s="483"/>
      <c r="L288" s="376"/>
      <c r="M288" s="483"/>
      <c r="N288" s="574"/>
      <c r="O288" s="5">
        <f t="shared" si="25"/>
        <v>0</v>
      </c>
      <c r="P288" s="338"/>
      <c r="Q288" s="10"/>
      <c r="R288" s="63"/>
    </row>
    <row r="289" spans="1:18" x14ac:dyDescent="0.25">
      <c r="A289" s="13">
        <f t="shared" si="24"/>
        <v>59</v>
      </c>
      <c r="B289" s="4"/>
      <c r="C289" s="9"/>
      <c r="D289" s="376"/>
      <c r="E289" s="483"/>
      <c r="F289" s="376"/>
      <c r="G289" s="483"/>
      <c r="H289" s="376"/>
      <c r="I289" s="483"/>
      <c r="J289" s="376"/>
      <c r="K289" s="483"/>
      <c r="L289" s="376"/>
      <c r="M289" s="483"/>
      <c r="N289" s="574"/>
      <c r="O289" s="5">
        <f t="shared" si="25"/>
        <v>0</v>
      </c>
      <c r="P289" s="338"/>
      <c r="Q289" s="10"/>
      <c r="R289" s="63"/>
    </row>
    <row r="290" spans="1:18" x14ac:dyDescent="0.25">
      <c r="A290" s="13">
        <f t="shared" si="24"/>
        <v>60</v>
      </c>
      <c r="B290" s="4"/>
      <c r="C290" s="9"/>
      <c r="D290" s="376"/>
      <c r="E290" s="483"/>
      <c r="F290" s="376"/>
      <c r="G290" s="483"/>
      <c r="H290" s="376"/>
      <c r="I290" s="483"/>
      <c r="J290" s="376"/>
      <c r="K290" s="483"/>
      <c r="L290" s="376"/>
      <c r="M290" s="483"/>
      <c r="N290" s="574"/>
      <c r="O290" s="5">
        <f t="shared" si="25"/>
        <v>0</v>
      </c>
      <c r="P290" s="338"/>
      <c r="Q290" s="10"/>
      <c r="R290" s="63"/>
    </row>
    <row r="291" spans="1:18" x14ac:dyDescent="0.25">
      <c r="A291" s="13">
        <f t="shared" si="24"/>
        <v>61</v>
      </c>
      <c r="B291" s="4"/>
      <c r="C291" s="9"/>
      <c r="D291" s="376"/>
      <c r="E291" s="483"/>
      <c r="F291" s="376"/>
      <c r="G291" s="483"/>
      <c r="H291" s="376"/>
      <c r="I291" s="483"/>
      <c r="J291" s="376"/>
      <c r="K291" s="483"/>
      <c r="L291" s="376"/>
      <c r="M291" s="483"/>
      <c r="N291" s="574"/>
      <c r="O291" s="5">
        <f t="shared" si="25"/>
        <v>0</v>
      </c>
      <c r="P291" s="338"/>
      <c r="Q291" s="10"/>
      <c r="R291" s="63"/>
    </row>
    <row r="292" spans="1:18" x14ac:dyDescent="0.25">
      <c r="A292" s="13">
        <f t="shared" si="24"/>
        <v>62</v>
      </c>
      <c r="B292" s="4"/>
      <c r="C292" s="9"/>
      <c r="D292" s="376"/>
      <c r="E292" s="483"/>
      <c r="F292" s="376"/>
      <c r="G292" s="483"/>
      <c r="H292" s="376"/>
      <c r="I292" s="483"/>
      <c r="J292" s="376"/>
      <c r="K292" s="483"/>
      <c r="L292" s="376"/>
      <c r="M292" s="483"/>
      <c r="N292" s="574"/>
      <c r="O292" s="5">
        <f t="shared" si="25"/>
        <v>0</v>
      </c>
      <c r="P292" s="338"/>
      <c r="Q292" s="10"/>
      <c r="R292" s="63"/>
    </row>
    <row r="293" spans="1:18" x14ac:dyDescent="0.25">
      <c r="A293" s="13">
        <f t="shared" si="24"/>
        <v>63</v>
      </c>
      <c r="B293" s="4"/>
      <c r="C293" s="9"/>
      <c r="D293" s="376"/>
      <c r="E293" s="483"/>
      <c r="F293" s="376"/>
      <c r="G293" s="483"/>
      <c r="H293" s="376"/>
      <c r="I293" s="483"/>
      <c r="J293" s="376"/>
      <c r="K293" s="483"/>
      <c r="L293" s="376"/>
      <c r="M293" s="483"/>
      <c r="N293" s="574"/>
      <c r="O293" s="5">
        <f t="shared" si="25"/>
        <v>0</v>
      </c>
      <c r="P293" s="338"/>
      <c r="Q293" s="10"/>
      <c r="R293" s="63"/>
    </row>
    <row r="294" spans="1:18" x14ac:dyDescent="0.25">
      <c r="A294" s="13">
        <f t="shared" si="24"/>
        <v>64</v>
      </c>
      <c r="B294" s="4"/>
      <c r="C294" s="9"/>
      <c r="D294" s="376"/>
      <c r="E294" s="483"/>
      <c r="F294" s="376"/>
      <c r="G294" s="483"/>
      <c r="H294" s="376"/>
      <c r="I294" s="483"/>
      <c r="J294" s="376"/>
      <c r="K294" s="483"/>
      <c r="L294" s="376"/>
      <c r="M294" s="483"/>
      <c r="N294" s="574"/>
      <c r="O294" s="5">
        <f t="shared" si="25"/>
        <v>0</v>
      </c>
      <c r="P294" s="338"/>
      <c r="Q294" s="10"/>
      <c r="R294" s="63"/>
    </row>
    <row r="295" spans="1:18" x14ac:dyDescent="0.25">
      <c r="A295" s="13">
        <f t="shared" si="24"/>
        <v>65</v>
      </c>
      <c r="B295" s="4"/>
      <c r="C295" s="9"/>
      <c r="D295" s="376"/>
      <c r="E295" s="483"/>
      <c r="F295" s="376"/>
      <c r="G295" s="483"/>
      <c r="H295" s="376"/>
      <c r="I295" s="483"/>
      <c r="J295" s="376"/>
      <c r="K295" s="483"/>
      <c r="L295" s="376"/>
      <c r="M295" s="483"/>
      <c r="N295" s="574"/>
      <c r="O295" s="5">
        <f t="shared" si="25"/>
        <v>0</v>
      </c>
      <c r="P295" s="338"/>
      <c r="Q295" s="10"/>
      <c r="R295" s="63"/>
    </row>
    <row r="296" spans="1:18" x14ac:dyDescent="0.25">
      <c r="A296" s="13">
        <f t="shared" ref="A296:A333" si="26">A295+1</f>
        <v>66</v>
      </c>
      <c r="B296" s="4"/>
      <c r="C296" s="8"/>
      <c r="D296" s="390"/>
      <c r="E296" s="484"/>
      <c r="F296" s="360"/>
      <c r="G296" s="480"/>
      <c r="H296" s="360"/>
      <c r="I296" s="480"/>
      <c r="J296" s="360"/>
      <c r="K296" s="480"/>
      <c r="L296" s="360"/>
      <c r="M296" s="480"/>
      <c r="N296" s="562"/>
      <c r="O296" s="5">
        <f t="shared" si="25"/>
        <v>0</v>
      </c>
      <c r="P296" s="338"/>
      <c r="Q296" s="10"/>
      <c r="R296" s="63"/>
    </row>
    <row r="297" spans="1:18" x14ac:dyDescent="0.25">
      <c r="A297" s="13">
        <f t="shared" si="26"/>
        <v>67</v>
      </c>
      <c r="B297" s="4"/>
      <c r="C297" s="9"/>
      <c r="D297" s="376"/>
      <c r="E297" s="483"/>
      <c r="F297" s="376"/>
      <c r="G297" s="483"/>
      <c r="H297" s="376"/>
      <c r="I297" s="483"/>
      <c r="J297" s="376"/>
      <c r="K297" s="483"/>
      <c r="L297" s="376"/>
      <c r="M297" s="483"/>
      <c r="N297" s="574"/>
      <c r="O297" s="5">
        <f t="shared" si="25"/>
        <v>0</v>
      </c>
      <c r="P297" s="338"/>
      <c r="Q297" s="10"/>
      <c r="R297" s="63"/>
    </row>
    <row r="298" spans="1:18" x14ac:dyDescent="0.25">
      <c r="A298" s="13">
        <f t="shared" si="26"/>
        <v>68</v>
      </c>
      <c r="B298" s="4"/>
      <c r="C298" s="9"/>
      <c r="D298" s="390"/>
      <c r="E298" s="484"/>
      <c r="F298" s="360"/>
      <c r="G298" s="480"/>
      <c r="H298" s="360"/>
      <c r="I298" s="480"/>
      <c r="J298" s="360"/>
      <c r="K298" s="480"/>
      <c r="L298" s="360"/>
      <c r="M298" s="480"/>
      <c r="N298" s="562"/>
      <c r="O298" s="5">
        <f t="shared" si="25"/>
        <v>0</v>
      </c>
      <c r="P298" s="338"/>
      <c r="Q298" s="10"/>
      <c r="R298" s="63"/>
    </row>
    <row r="299" spans="1:18" x14ac:dyDescent="0.25">
      <c r="A299" s="13">
        <f t="shared" si="26"/>
        <v>69</v>
      </c>
      <c r="B299" s="4"/>
      <c r="C299" s="9"/>
      <c r="D299" s="376"/>
      <c r="E299" s="483"/>
      <c r="F299" s="376"/>
      <c r="G299" s="483"/>
      <c r="H299" s="376"/>
      <c r="I299" s="483"/>
      <c r="J299" s="376"/>
      <c r="K299" s="483"/>
      <c r="L299" s="376"/>
      <c r="M299" s="483"/>
      <c r="N299" s="574"/>
      <c r="O299" s="5">
        <f t="shared" si="25"/>
        <v>0</v>
      </c>
      <c r="P299" s="338"/>
      <c r="Q299" s="10"/>
      <c r="R299" s="63"/>
    </row>
    <row r="300" spans="1:18" x14ac:dyDescent="0.25">
      <c r="A300" s="13">
        <f t="shared" si="26"/>
        <v>70</v>
      </c>
      <c r="B300" s="4"/>
      <c r="C300" s="9"/>
      <c r="D300" s="376"/>
      <c r="E300" s="483"/>
      <c r="F300" s="376"/>
      <c r="G300" s="483"/>
      <c r="H300" s="376"/>
      <c r="I300" s="483"/>
      <c r="J300" s="376"/>
      <c r="K300" s="483"/>
      <c r="L300" s="376"/>
      <c r="M300" s="483"/>
      <c r="N300" s="574"/>
      <c r="O300" s="5">
        <f t="shared" si="25"/>
        <v>0</v>
      </c>
      <c r="P300" s="338"/>
      <c r="Q300" s="10"/>
      <c r="R300" s="63"/>
    </row>
    <row r="301" spans="1:18" x14ac:dyDescent="0.25">
      <c r="A301" s="13">
        <f t="shared" si="26"/>
        <v>71</v>
      </c>
      <c r="B301" s="4"/>
      <c r="C301" s="8"/>
      <c r="D301" s="376"/>
      <c r="E301" s="483"/>
      <c r="F301" s="376"/>
      <c r="G301" s="483"/>
      <c r="H301" s="376"/>
      <c r="I301" s="483"/>
      <c r="J301" s="376"/>
      <c r="K301" s="483"/>
      <c r="L301" s="376"/>
      <c r="M301" s="483"/>
      <c r="N301" s="574"/>
      <c r="O301" s="5">
        <f t="shared" si="25"/>
        <v>0</v>
      </c>
      <c r="P301" s="338"/>
      <c r="Q301" s="10"/>
      <c r="R301" s="63"/>
    </row>
    <row r="302" spans="1:18" x14ac:dyDescent="0.25">
      <c r="A302" s="13">
        <f t="shared" si="26"/>
        <v>72</v>
      </c>
      <c r="B302" s="4"/>
      <c r="C302" s="9"/>
      <c r="D302" s="376"/>
      <c r="E302" s="483"/>
      <c r="F302" s="376"/>
      <c r="G302" s="483"/>
      <c r="H302" s="376"/>
      <c r="I302" s="483"/>
      <c r="J302" s="376"/>
      <c r="K302" s="483"/>
      <c r="L302" s="376"/>
      <c r="M302" s="483"/>
      <c r="N302" s="574"/>
      <c r="O302" s="5">
        <f t="shared" si="25"/>
        <v>0</v>
      </c>
      <c r="P302" s="338"/>
      <c r="Q302" s="10"/>
      <c r="R302" s="63"/>
    </row>
    <row r="303" spans="1:18" x14ac:dyDescent="0.25">
      <c r="A303" s="13">
        <f t="shared" si="26"/>
        <v>73</v>
      </c>
      <c r="B303" s="4"/>
      <c r="C303" s="9"/>
      <c r="D303" s="360"/>
      <c r="E303" s="480"/>
      <c r="F303" s="360"/>
      <c r="G303" s="480"/>
      <c r="H303" s="360"/>
      <c r="I303" s="480"/>
      <c r="J303" s="360"/>
      <c r="K303" s="480"/>
      <c r="L303" s="360"/>
      <c r="M303" s="480"/>
      <c r="N303" s="562"/>
      <c r="O303" s="5">
        <f t="shared" si="25"/>
        <v>0</v>
      </c>
      <c r="P303" s="338"/>
      <c r="Q303" s="10"/>
      <c r="R303" s="63"/>
    </row>
    <row r="304" spans="1:18" x14ac:dyDescent="0.25">
      <c r="A304" s="13">
        <f t="shared" si="26"/>
        <v>74</v>
      </c>
      <c r="B304" s="4"/>
      <c r="C304" s="9"/>
      <c r="D304" s="376"/>
      <c r="E304" s="483"/>
      <c r="F304" s="376"/>
      <c r="G304" s="483"/>
      <c r="H304" s="376"/>
      <c r="I304" s="483"/>
      <c r="J304" s="376"/>
      <c r="K304" s="483"/>
      <c r="L304" s="376"/>
      <c r="M304" s="483"/>
      <c r="N304" s="574"/>
      <c r="O304" s="5">
        <f t="shared" si="25"/>
        <v>0</v>
      </c>
      <c r="P304" s="338"/>
      <c r="Q304" s="10"/>
      <c r="R304" s="63"/>
    </row>
    <row r="305" spans="1:18" x14ac:dyDescent="0.25">
      <c r="A305" s="13">
        <f t="shared" si="26"/>
        <v>75</v>
      </c>
      <c r="B305" s="4"/>
      <c r="C305" s="8"/>
      <c r="D305" s="376"/>
      <c r="E305" s="483"/>
      <c r="F305" s="376"/>
      <c r="G305" s="483"/>
      <c r="H305" s="376"/>
      <c r="I305" s="483"/>
      <c r="J305" s="376"/>
      <c r="K305" s="483"/>
      <c r="L305" s="376"/>
      <c r="M305" s="483"/>
      <c r="N305" s="574"/>
      <c r="O305" s="5">
        <f t="shared" si="25"/>
        <v>0</v>
      </c>
      <c r="P305" s="338"/>
      <c r="Q305" s="10"/>
      <c r="R305" s="63"/>
    </row>
    <row r="306" spans="1:18" x14ac:dyDescent="0.25">
      <c r="A306" s="13">
        <f t="shared" si="26"/>
        <v>76</v>
      </c>
      <c r="B306" s="4"/>
      <c r="C306" s="9"/>
      <c r="D306" s="376"/>
      <c r="E306" s="483"/>
      <c r="F306" s="376"/>
      <c r="G306" s="483"/>
      <c r="H306" s="376"/>
      <c r="I306" s="483"/>
      <c r="J306" s="376"/>
      <c r="K306" s="483"/>
      <c r="L306" s="376"/>
      <c r="M306" s="483"/>
      <c r="N306" s="574"/>
      <c r="O306" s="5">
        <f t="shared" si="25"/>
        <v>0</v>
      </c>
      <c r="P306" s="338"/>
      <c r="Q306" s="10"/>
      <c r="R306" s="63"/>
    </row>
    <row r="307" spans="1:18" x14ac:dyDescent="0.25">
      <c r="A307" s="13">
        <f t="shared" si="26"/>
        <v>77</v>
      </c>
      <c r="B307" s="4"/>
      <c r="C307" s="9"/>
      <c r="D307" s="376"/>
      <c r="E307" s="483"/>
      <c r="F307" s="376"/>
      <c r="G307" s="483"/>
      <c r="H307" s="376"/>
      <c r="I307" s="483"/>
      <c r="J307" s="376"/>
      <c r="K307" s="483"/>
      <c r="L307" s="376"/>
      <c r="M307" s="483"/>
      <c r="N307" s="574"/>
      <c r="O307" s="5">
        <f t="shared" si="25"/>
        <v>0</v>
      </c>
      <c r="P307" s="338"/>
      <c r="Q307" s="10"/>
      <c r="R307" s="63"/>
    </row>
    <row r="308" spans="1:18" x14ac:dyDescent="0.25">
      <c r="A308" s="13">
        <f t="shared" si="26"/>
        <v>78</v>
      </c>
      <c r="B308" s="4"/>
      <c r="C308" s="9"/>
      <c r="D308" s="376"/>
      <c r="E308" s="483"/>
      <c r="F308" s="376"/>
      <c r="G308" s="483"/>
      <c r="H308" s="376"/>
      <c r="I308" s="483"/>
      <c r="J308" s="376"/>
      <c r="K308" s="483"/>
      <c r="L308" s="376"/>
      <c r="M308" s="483"/>
      <c r="N308" s="574"/>
      <c r="O308" s="5">
        <f t="shared" si="25"/>
        <v>0</v>
      </c>
      <c r="P308" s="338"/>
      <c r="Q308" s="10"/>
      <c r="R308" s="63"/>
    </row>
    <row r="309" spans="1:18" x14ac:dyDescent="0.25">
      <c r="A309" s="13">
        <f t="shared" si="26"/>
        <v>79</v>
      </c>
      <c r="B309" s="4"/>
      <c r="C309" s="9"/>
      <c r="D309" s="376"/>
      <c r="E309" s="483"/>
      <c r="F309" s="376"/>
      <c r="G309" s="483"/>
      <c r="H309" s="376"/>
      <c r="I309" s="483"/>
      <c r="J309" s="376"/>
      <c r="K309" s="483"/>
      <c r="L309" s="376"/>
      <c r="M309" s="483"/>
      <c r="N309" s="574"/>
      <c r="O309" s="5">
        <f t="shared" si="25"/>
        <v>0</v>
      </c>
      <c r="P309" s="338"/>
      <c r="Q309" s="10"/>
      <c r="R309" s="63"/>
    </row>
    <row r="310" spans="1:18" x14ac:dyDescent="0.25">
      <c r="A310" s="13">
        <f t="shared" si="26"/>
        <v>80</v>
      </c>
      <c r="B310" s="4"/>
      <c r="C310" s="9"/>
      <c r="D310" s="376"/>
      <c r="E310" s="483"/>
      <c r="F310" s="376"/>
      <c r="G310" s="483"/>
      <c r="H310" s="376"/>
      <c r="I310" s="483"/>
      <c r="J310" s="376"/>
      <c r="K310" s="483"/>
      <c r="L310" s="376"/>
      <c r="M310" s="483"/>
      <c r="N310" s="574"/>
      <c r="O310" s="5">
        <f t="shared" si="25"/>
        <v>0</v>
      </c>
      <c r="P310" s="338"/>
      <c r="Q310" s="10"/>
      <c r="R310" s="63"/>
    </row>
    <row r="311" spans="1:18" x14ac:dyDescent="0.25">
      <c r="A311" s="13">
        <f t="shared" si="26"/>
        <v>81</v>
      </c>
      <c r="B311" s="4"/>
      <c r="C311" s="9"/>
      <c r="D311" s="376"/>
      <c r="E311" s="483"/>
      <c r="F311" s="376"/>
      <c r="G311" s="483"/>
      <c r="H311" s="376"/>
      <c r="I311" s="483"/>
      <c r="J311" s="376"/>
      <c r="K311" s="483"/>
      <c r="L311" s="376"/>
      <c r="M311" s="483"/>
      <c r="N311" s="574"/>
      <c r="O311" s="5">
        <f t="shared" si="25"/>
        <v>0</v>
      </c>
      <c r="P311" s="338"/>
      <c r="Q311" s="10"/>
      <c r="R311" s="63"/>
    </row>
    <row r="312" spans="1:18" x14ac:dyDescent="0.25">
      <c r="A312" s="13">
        <f t="shared" si="26"/>
        <v>82</v>
      </c>
      <c r="B312" s="4"/>
      <c r="C312" s="9"/>
      <c r="D312" s="376"/>
      <c r="E312" s="483"/>
      <c r="F312" s="376"/>
      <c r="G312" s="483"/>
      <c r="H312" s="376"/>
      <c r="I312" s="483"/>
      <c r="J312" s="376"/>
      <c r="K312" s="483"/>
      <c r="L312" s="376"/>
      <c r="M312" s="483"/>
      <c r="N312" s="574"/>
      <c r="O312" s="5">
        <f t="shared" si="25"/>
        <v>0</v>
      </c>
      <c r="P312" s="338"/>
      <c r="Q312" s="10"/>
      <c r="R312" s="63"/>
    </row>
    <row r="313" spans="1:18" x14ac:dyDescent="0.25">
      <c r="A313" s="13">
        <f t="shared" si="26"/>
        <v>83</v>
      </c>
      <c r="B313" s="4"/>
      <c r="C313" s="9"/>
      <c r="D313" s="376"/>
      <c r="E313" s="483"/>
      <c r="F313" s="376"/>
      <c r="G313" s="483"/>
      <c r="H313" s="376"/>
      <c r="I313" s="483"/>
      <c r="J313" s="376"/>
      <c r="K313" s="483"/>
      <c r="L313" s="376"/>
      <c r="M313" s="483"/>
      <c r="N313" s="574"/>
      <c r="O313" s="5">
        <f t="shared" si="25"/>
        <v>0</v>
      </c>
      <c r="P313" s="338"/>
      <c r="Q313" s="10"/>
      <c r="R313" s="63"/>
    </row>
    <row r="314" spans="1:18" x14ac:dyDescent="0.25">
      <c r="A314" s="13">
        <f t="shared" si="26"/>
        <v>84</v>
      </c>
      <c r="B314" s="4"/>
      <c r="C314" s="9"/>
      <c r="D314" s="376"/>
      <c r="E314" s="483"/>
      <c r="F314" s="376"/>
      <c r="G314" s="483"/>
      <c r="H314" s="376"/>
      <c r="I314" s="483"/>
      <c r="J314" s="376"/>
      <c r="K314" s="483"/>
      <c r="L314" s="376"/>
      <c r="M314" s="483"/>
      <c r="N314" s="574"/>
      <c r="O314" s="5">
        <f t="shared" si="25"/>
        <v>0</v>
      </c>
      <c r="P314" s="338"/>
      <c r="Q314" s="10"/>
      <c r="R314" s="63"/>
    </row>
    <row r="315" spans="1:18" x14ac:dyDescent="0.25">
      <c r="A315" s="13">
        <f t="shared" si="26"/>
        <v>85</v>
      </c>
      <c r="B315" s="4"/>
      <c r="C315" s="8"/>
      <c r="D315" s="390"/>
      <c r="E315" s="484"/>
      <c r="F315" s="360"/>
      <c r="G315" s="480"/>
      <c r="H315" s="360"/>
      <c r="I315" s="480"/>
      <c r="J315" s="360"/>
      <c r="K315" s="480"/>
      <c r="L315" s="360"/>
      <c r="M315" s="480"/>
      <c r="N315" s="562"/>
      <c r="O315" s="5">
        <f t="shared" si="25"/>
        <v>0</v>
      </c>
      <c r="P315" s="338"/>
      <c r="Q315" s="10"/>
      <c r="R315" s="63"/>
    </row>
    <row r="316" spans="1:18" x14ac:dyDescent="0.25">
      <c r="A316" s="13">
        <f t="shared" si="26"/>
        <v>86</v>
      </c>
      <c r="B316" s="4"/>
      <c r="C316" s="9"/>
      <c r="D316" s="376"/>
      <c r="E316" s="483"/>
      <c r="F316" s="376"/>
      <c r="G316" s="483"/>
      <c r="H316" s="376"/>
      <c r="I316" s="483"/>
      <c r="J316" s="376"/>
      <c r="K316" s="483"/>
      <c r="L316" s="376"/>
      <c r="M316" s="483"/>
      <c r="N316" s="574"/>
      <c r="O316" s="5">
        <f t="shared" si="25"/>
        <v>0</v>
      </c>
      <c r="P316" s="338"/>
      <c r="Q316" s="10"/>
      <c r="R316" s="63"/>
    </row>
    <row r="317" spans="1:18" x14ac:dyDescent="0.25">
      <c r="A317" s="13">
        <f t="shared" si="26"/>
        <v>87</v>
      </c>
      <c r="B317" s="4"/>
      <c r="C317" s="9"/>
      <c r="D317" s="376"/>
      <c r="E317" s="483"/>
      <c r="F317" s="376"/>
      <c r="G317" s="483"/>
      <c r="H317" s="376"/>
      <c r="I317" s="483"/>
      <c r="J317" s="376"/>
      <c r="K317" s="483"/>
      <c r="L317" s="376"/>
      <c r="M317" s="483"/>
      <c r="N317" s="574"/>
      <c r="O317" s="5">
        <f t="shared" si="25"/>
        <v>0</v>
      </c>
      <c r="P317" s="338"/>
      <c r="Q317" s="10"/>
      <c r="R317" s="63"/>
    </row>
    <row r="318" spans="1:18" x14ac:dyDescent="0.25">
      <c r="A318" s="13">
        <f t="shared" si="26"/>
        <v>88</v>
      </c>
      <c r="B318" s="16"/>
      <c r="C318" s="17"/>
      <c r="D318" s="376"/>
      <c r="E318" s="483"/>
      <c r="F318" s="376"/>
      <c r="G318" s="483"/>
      <c r="H318" s="376"/>
      <c r="I318" s="483"/>
      <c r="J318" s="376"/>
      <c r="K318" s="483"/>
      <c r="L318" s="376"/>
      <c r="M318" s="483"/>
      <c r="N318" s="574"/>
      <c r="O318" s="5">
        <f t="shared" si="25"/>
        <v>0</v>
      </c>
      <c r="P318" s="316"/>
      <c r="Q318" s="10"/>
      <c r="R318" s="63"/>
    </row>
    <row r="319" spans="1:18" x14ac:dyDescent="0.25">
      <c r="A319" s="13">
        <f t="shared" si="26"/>
        <v>89</v>
      </c>
      <c r="B319" s="16"/>
      <c r="C319" s="17"/>
      <c r="D319" s="376"/>
      <c r="E319" s="483"/>
      <c r="F319" s="376"/>
      <c r="G319" s="483"/>
      <c r="H319" s="376"/>
      <c r="I319" s="483"/>
      <c r="J319" s="376"/>
      <c r="K319" s="483"/>
      <c r="L319" s="376"/>
      <c r="M319" s="483"/>
      <c r="N319" s="574"/>
      <c r="O319" s="19"/>
      <c r="P319" s="316"/>
      <c r="Q319" s="10"/>
      <c r="R319" s="66"/>
    </row>
    <row r="320" spans="1:18" x14ac:dyDescent="0.25">
      <c r="A320" s="13">
        <f t="shared" si="26"/>
        <v>90</v>
      </c>
      <c r="B320" s="16"/>
      <c r="C320" s="17"/>
      <c r="D320" s="376"/>
      <c r="E320" s="483"/>
      <c r="F320" s="376"/>
      <c r="G320" s="483"/>
      <c r="H320" s="376"/>
      <c r="I320" s="483"/>
      <c r="J320" s="376"/>
      <c r="K320" s="483"/>
      <c r="L320" s="376"/>
      <c r="M320" s="483"/>
      <c r="N320" s="574"/>
      <c r="O320" s="19"/>
      <c r="P320" s="316"/>
      <c r="R320" s="66"/>
    </row>
    <row r="321" spans="1:18" x14ac:dyDescent="0.25">
      <c r="A321" s="13">
        <f t="shared" si="26"/>
        <v>91</v>
      </c>
      <c r="B321" s="16"/>
      <c r="C321" s="17"/>
      <c r="D321" s="376"/>
      <c r="E321" s="483"/>
      <c r="F321" s="376"/>
      <c r="G321" s="483"/>
      <c r="H321" s="376"/>
      <c r="I321" s="483"/>
      <c r="J321" s="376"/>
      <c r="K321" s="483"/>
      <c r="L321" s="376"/>
      <c r="M321" s="483"/>
      <c r="N321" s="574"/>
      <c r="O321" s="19"/>
      <c r="P321" s="316"/>
      <c r="R321" s="66"/>
    </row>
    <row r="322" spans="1:18" x14ac:dyDescent="0.25">
      <c r="A322" s="13">
        <f t="shared" si="26"/>
        <v>92</v>
      </c>
      <c r="B322" s="16"/>
      <c r="C322" s="17"/>
      <c r="D322" s="376"/>
      <c r="E322" s="483"/>
      <c r="F322" s="376"/>
      <c r="G322" s="483"/>
      <c r="H322" s="376"/>
      <c r="I322" s="483"/>
      <c r="J322" s="376"/>
      <c r="K322" s="483"/>
      <c r="L322" s="376"/>
      <c r="M322" s="483"/>
      <c r="N322" s="574"/>
      <c r="O322" s="19"/>
      <c r="P322" s="316"/>
      <c r="R322" s="66"/>
    </row>
    <row r="323" spans="1:18" x14ac:dyDescent="0.25">
      <c r="A323" s="13">
        <f t="shared" si="26"/>
        <v>93</v>
      </c>
      <c r="B323" s="16"/>
      <c r="C323" s="17"/>
      <c r="D323" s="376"/>
      <c r="E323" s="483"/>
      <c r="F323" s="376"/>
      <c r="G323" s="483"/>
      <c r="H323" s="376"/>
      <c r="I323" s="483"/>
      <c r="J323" s="376"/>
      <c r="K323" s="483"/>
      <c r="L323" s="376"/>
      <c r="M323" s="483"/>
      <c r="N323" s="574"/>
      <c r="O323" s="19"/>
      <c r="P323" s="316"/>
      <c r="R323" s="66"/>
    </row>
    <row r="324" spans="1:18" x14ac:dyDescent="0.25">
      <c r="A324" s="13">
        <f t="shared" si="26"/>
        <v>94</v>
      </c>
      <c r="B324" s="16"/>
      <c r="C324" s="17"/>
      <c r="D324" s="376"/>
      <c r="E324" s="483"/>
      <c r="F324" s="376"/>
      <c r="G324" s="483"/>
      <c r="H324" s="376"/>
      <c r="I324" s="483"/>
      <c r="J324" s="376"/>
      <c r="K324" s="483"/>
      <c r="L324" s="376"/>
      <c r="M324" s="483"/>
      <c r="N324" s="574"/>
      <c r="O324" s="19"/>
      <c r="P324" s="316"/>
      <c r="R324" s="66"/>
    </row>
    <row r="325" spans="1:18" x14ac:dyDescent="0.25">
      <c r="A325" s="13">
        <f t="shared" si="26"/>
        <v>95</v>
      </c>
    </row>
    <row r="326" spans="1:18" x14ac:dyDescent="0.25">
      <c r="A326" s="13">
        <f t="shared" si="26"/>
        <v>96</v>
      </c>
    </row>
    <row r="327" spans="1:18" x14ac:dyDescent="0.25">
      <c r="A327" s="13">
        <f t="shared" si="26"/>
        <v>97</v>
      </c>
    </row>
    <row r="328" spans="1:18" x14ac:dyDescent="0.25">
      <c r="A328" s="13">
        <f t="shared" si="26"/>
        <v>98</v>
      </c>
    </row>
    <row r="329" spans="1:18" x14ac:dyDescent="0.25">
      <c r="A329" s="13">
        <f t="shared" si="26"/>
        <v>99</v>
      </c>
    </row>
    <row r="330" spans="1:18" x14ac:dyDescent="0.25">
      <c r="A330" s="13">
        <f t="shared" si="26"/>
        <v>100</v>
      </c>
    </row>
    <row r="331" spans="1:18" x14ac:dyDescent="0.25">
      <c r="A331" s="13">
        <f t="shared" si="26"/>
        <v>101</v>
      </c>
    </row>
    <row r="332" spans="1:18" x14ac:dyDescent="0.25">
      <c r="A332" s="13">
        <f t="shared" si="26"/>
        <v>102</v>
      </c>
      <c r="B332" s="20" t="s">
        <v>249</v>
      </c>
    </row>
    <row r="333" spans="1:18" x14ac:dyDescent="0.25">
      <c r="A333" s="13">
        <f t="shared" si="26"/>
        <v>103</v>
      </c>
    </row>
    <row r="334" spans="1:18" x14ac:dyDescent="0.25">
      <c r="A334" s="13"/>
    </row>
    <row r="335" spans="1:18" x14ac:dyDescent="0.25">
      <c r="A335" s="13"/>
    </row>
    <row r="336" spans="1:18" x14ac:dyDescent="0.25">
      <c r="A336" s="13"/>
    </row>
    <row r="337" spans="1:1" x14ac:dyDescent="0.25">
      <c r="A337" s="13"/>
    </row>
    <row r="338" spans="1:1" x14ac:dyDescent="0.25">
      <c r="A338" s="13"/>
    </row>
    <row r="339" spans="1:1" x14ac:dyDescent="0.25">
      <c r="A339" s="13"/>
    </row>
  </sheetData>
  <autoFilter ref="A1:AE83"/>
  <sortState ref="B2:AD76">
    <sortCondition ref="B2"/>
  </sortState>
  <pageMargins left="0.17" right="0.16" top="0.23622047244094491" bottom="0.47244094488188981" header="0.31496062992125984" footer="0.47244094488188981"/>
  <pageSetup scale="8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selection activeCell="D5" sqref="D5"/>
    </sheetView>
  </sheetViews>
  <sheetFormatPr baseColWidth="10" defaultRowHeight="15" x14ac:dyDescent="0.25"/>
  <cols>
    <col min="1" max="1" width="3.7109375" customWidth="1"/>
    <col min="2" max="2" width="53.42578125" customWidth="1"/>
    <col min="3" max="3" width="8.5703125" customWidth="1"/>
    <col min="4" max="4" width="10.140625" customWidth="1"/>
    <col min="5" max="5" width="8.42578125" customWidth="1"/>
    <col min="6" max="6" width="9.140625" customWidth="1"/>
    <col min="9" max="9" width="11.42578125" style="419"/>
    <col min="10" max="10" width="11.42578125" style="38"/>
  </cols>
  <sheetData>
    <row r="1" spans="1:9" ht="30" x14ac:dyDescent="0.25">
      <c r="A1" s="350" t="s">
        <v>0</v>
      </c>
      <c r="B1" s="350" t="s">
        <v>1</v>
      </c>
      <c r="C1" s="327" t="s">
        <v>10</v>
      </c>
      <c r="D1" s="326" t="s">
        <v>9</v>
      </c>
      <c r="E1" s="351" t="s">
        <v>5</v>
      </c>
      <c r="F1" s="327" t="s">
        <v>8</v>
      </c>
      <c r="G1" s="350" t="s">
        <v>7</v>
      </c>
      <c r="H1" s="352" t="s">
        <v>6</v>
      </c>
    </row>
    <row r="2" spans="1:9" x14ac:dyDescent="0.25">
      <c r="A2" s="353">
        <v>1</v>
      </c>
      <c r="B2" s="314" t="s">
        <v>622</v>
      </c>
      <c r="C2" s="413">
        <v>3</v>
      </c>
      <c r="D2" s="405">
        <v>17.649999999999999</v>
      </c>
      <c r="E2" s="44">
        <v>29</v>
      </c>
      <c r="F2" s="354">
        <f t="shared" ref="F2:F64" si="0">(E2-D2)/(E2)</f>
        <v>0.39137931034482765</v>
      </c>
      <c r="G2" s="355">
        <f t="shared" ref="G2:G64" si="1">D2*C2</f>
        <v>52.949999999999996</v>
      </c>
      <c r="H2" s="416">
        <f t="shared" ref="H2:H64" si="2">E2*C2</f>
        <v>87</v>
      </c>
      <c r="I2" s="420"/>
    </row>
    <row r="3" spans="1:9" x14ac:dyDescent="0.25">
      <c r="A3" s="353">
        <f>A2+1</f>
        <v>2</v>
      </c>
      <c r="B3" s="314" t="s">
        <v>980</v>
      </c>
      <c r="C3" s="415">
        <v>3</v>
      </c>
      <c r="D3" s="10">
        <v>16.95</v>
      </c>
      <c r="E3" s="7">
        <v>29</v>
      </c>
      <c r="F3" s="354">
        <f t="shared" si="0"/>
        <v>0.41551724137931034</v>
      </c>
      <c r="G3" s="355">
        <f t="shared" si="1"/>
        <v>50.849999999999994</v>
      </c>
      <c r="H3" s="416">
        <f t="shared" si="2"/>
        <v>87</v>
      </c>
      <c r="I3" s="420"/>
    </row>
    <row r="4" spans="1:9" x14ac:dyDescent="0.25">
      <c r="A4" s="353">
        <f t="shared" ref="A4:A67" si="3">A3+1</f>
        <v>3</v>
      </c>
      <c r="B4" s="314" t="s">
        <v>1385</v>
      </c>
      <c r="C4" s="413">
        <v>2</v>
      </c>
      <c r="D4" s="404">
        <v>2.2000000000000002</v>
      </c>
      <c r="E4" s="7">
        <v>4</v>
      </c>
      <c r="F4" s="354">
        <f t="shared" si="0"/>
        <v>0.44999999999999996</v>
      </c>
      <c r="G4" s="355">
        <f t="shared" si="1"/>
        <v>4.4000000000000004</v>
      </c>
      <c r="H4" s="416">
        <f t="shared" si="2"/>
        <v>8</v>
      </c>
      <c r="I4" s="420"/>
    </row>
    <row r="5" spans="1:9" ht="14.25" customHeight="1" x14ac:dyDescent="0.25">
      <c r="A5" s="353">
        <f t="shared" si="3"/>
        <v>4</v>
      </c>
      <c r="B5" s="314" t="s">
        <v>670</v>
      </c>
      <c r="C5" s="435">
        <v>3</v>
      </c>
      <c r="D5" s="15">
        <v>5.57</v>
      </c>
      <c r="E5" s="7">
        <v>10</v>
      </c>
      <c r="F5" s="354">
        <f t="shared" si="0"/>
        <v>0.44299999999999995</v>
      </c>
      <c r="G5" s="355">
        <f t="shared" si="1"/>
        <v>16.71</v>
      </c>
      <c r="H5" s="416">
        <f t="shared" si="2"/>
        <v>30</v>
      </c>
      <c r="I5" s="420"/>
    </row>
    <row r="6" spans="1:9" x14ac:dyDescent="0.25">
      <c r="A6" s="353">
        <f t="shared" si="3"/>
        <v>5</v>
      </c>
      <c r="B6" s="314" t="s">
        <v>786</v>
      </c>
      <c r="C6" s="413">
        <v>2</v>
      </c>
      <c r="D6" s="15">
        <v>2.35</v>
      </c>
      <c r="E6" s="7">
        <v>5</v>
      </c>
      <c r="F6" s="354">
        <f t="shared" si="0"/>
        <v>0.53</v>
      </c>
      <c r="G6" s="355">
        <f t="shared" si="1"/>
        <v>4.7</v>
      </c>
      <c r="H6" s="416">
        <f t="shared" si="2"/>
        <v>10</v>
      </c>
      <c r="I6" s="420"/>
    </row>
    <row r="7" spans="1:9" x14ac:dyDescent="0.25">
      <c r="A7" s="353">
        <f t="shared" si="3"/>
        <v>6</v>
      </c>
      <c r="B7" s="314" t="s">
        <v>752</v>
      </c>
      <c r="C7" s="413">
        <v>1</v>
      </c>
      <c r="D7" s="10">
        <v>9.9499999999999993</v>
      </c>
      <c r="E7" s="7">
        <v>15</v>
      </c>
      <c r="F7" s="354">
        <f t="shared" si="0"/>
        <v>0.33666666666666673</v>
      </c>
      <c r="G7" s="355">
        <f t="shared" si="1"/>
        <v>9.9499999999999993</v>
      </c>
      <c r="H7" s="416">
        <f t="shared" si="2"/>
        <v>15</v>
      </c>
      <c r="I7" s="421"/>
    </row>
    <row r="8" spans="1:9" x14ac:dyDescent="0.25">
      <c r="A8" s="353">
        <f t="shared" si="3"/>
        <v>7</v>
      </c>
      <c r="B8" s="314" t="s">
        <v>41</v>
      </c>
      <c r="C8" s="413">
        <v>2</v>
      </c>
      <c r="D8" s="15">
        <v>32.25</v>
      </c>
      <c r="E8" s="7">
        <v>53</v>
      </c>
      <c r="F8" s="354">
        <f t="shared" si="0"/>
        <v>0.39150943396226418</v>
      </c>
      <c r="G8" s="355">
        <f t="shared" si="1"/>
        <v>64.5</v>
      </c>
      <c r="H8" s="416">
        <f t="shared" si="2"/>
        <v>106</v>
      </c>
      <c r="I8" s="420"/>
    </row>
    <row r="9" spans="1:9" x14ac:dyDescent="0.25">
      <c r="A9" s="353">
        <f t="shared" si="3"/>
        <v>8</v>
      </c>
      <c r="B9" s="314" t="s">
        <v>779</v>
      </c>
      <c r="C9" s="413">
        <v>2</v>
      </c>
      <c r="D9" s="404">
        <v>11.25</v>
      </c>
      <c r="E9" s="7">
        <v>20</v>
      </c>
      <c r="F9" s="354">
        <f t="shared" si="0"/>
        <v>0.4375</v>
      </c>
      <c r="G9" s="355">
        <f t="shared" si="1"/>
        <v>22.5</v>
      </c>
      <c r="H9" s="416">
        <f t="shared" si="2"/>
        <v>40</v>
      </c>
      <c r="I9" s="420"/>
    </row>
    <row r="10" spans="1:9" x14ac:dyDescent="0.25">
      <c r="A10" s="353">
        <f t="shared" si="3"/>
        <v>9</v>
      </c>
      <c r="B10" s="314" t="s">
        <v>981</v>
      </c>
      <c r="C10" s="415">
        <v>3</v>
      </c>
      <c r="D10" s="10">
        <v>34.950000000000003</v>
      </c>
      <c r="E10" s="7">
        <v>59</v>
      </c>
      <c r="F10" s="354">
        <f t="shared" si="0"/>
        <v>0.40762711864406775</v>
      </c>
      <c r="G10" s="355">
        <f t="shared" si="1"/>
        <v>104.85000000000001</v>
      </c>
      <c r="H10" s="416">
        <f t="shared" si="2"/>
        <v>177</v>
      </c>
      <c r="I10" s="422"/>
    </row>
    <row r="11" spans="1:9" x14ac:dyDescent="0.25">
      <c r="A11" s="353">
        <f t="shared" si="3"/>
        <v>10</v>
      </c>
      <c r="B11" s="314" t="s">
        <v>1089</v>
      </c>
      <c r="C11" s="340">
        <v>9</v>
      </c>
      <c r="D11" s="10">
        <v>16.795000000000002</v>
      </c>
      <c r="E11" s="7">
        <v>30</v>
      </c>
      <c r="F11" s="354">
        <f t="shared" si="0"/>
        <v>0.4401666666666666</v>
      </c>
      <c r="G11" s="355">
        <f t="shared" si="1"/>
        <v>151.15500000000003</v>
      </c>
      <c r="H11" s="416">
        <f t="shared" si="2"/>
        <v>270</v>
      </c>
      <c r="I11" s="420"/>
    </row>
    <row r="12" spans="1:9" x14ac:dyDescent="0.25">
      <c r="A12" s="353">
        <f t="shared" si="3"/>
        <v>11</v>
      </c>
      <c r="B12" s="314" t="s">
        <v>591</v>
      </c>
      <c r="C12" s="414">
        <v>6</v>
      </c>
      <c r="D12" s="10">
        <v>5.45</v>
      </c>
      <c r="E12" s="7">
        <v>22</v>
      </c>
      <c r="F12" s="354">
        <f t="shared" si="0"/>
        <v>0.75227272727272732</v>
      </c>
      <c r="G12" s="355">
        <f t="shared" si="1"/>
        <v>32.700000000000003</v>
      </c>
      <c r="H12" s="416">
        <f t="shared" si="2"/>
        <v>132</v>
      </c>
      <c r="I12" s="422"/>
    </row>
    <row r="13" spans="1:9" x14ac:dyDescent="0.25">
      <c r="A13" s="353">
        <f t="shared" si="3"/>
        <v>12</v>
      </c>
      <c r="B13" s="314" t="s">
        <v>787</v>
      </c>
      <c r="C13" s="413">
        <v>1</v>
      </c>
      <c r="D13" s="404">
        <v>11.75</v>
      </c>
      <c r="E13" s="7">
        <v>20</v>
      </c>
      <c r="F13" s="354">
        <f t="shared" si="0"/>
        <v>0.41249999999999998</v>
      </c>
      <c r="G13" s="355">
        <f t="shared" si="1"/>
        <v>11.75</v>
      </c>
      <c r="H13" s="416">
        <f t="shared" si="2"/>
        <v>20</v>
      </c>
      <c r="I13" s="420"/>
    </row>
    <row r="14" spans="1:9" x14ac:dyDescent="0.25">
      <c r="A14" s="353">
        <f t="shared" si="3"/>
        <v>13</v>
      </c>
      <c r="B14" s="314" t="s">
        <v>621</v>
      </c>
      <c r="C14" s="413">
        <v>0</v>
      </c>
      <c r="D14" s="405">
        <v>13.98</v>
      </c>
      <c r="E14" s="44">
        <v>24</v>
      </c>
      <c r="F14" s="354">
        <f t="shared" si="0"/>
        <v>0.41749999999999998</v>
      </c>
      <c r="G14" s="355">
        <f t="shared" si="1"/>
        <v>0</v>
      </c>
      <c r="H14" s="416">
        <f t="shared" si="2"/>
        <v>0</v>
      </c>
      <c r="I14" s="420"/>
    </row>
    <row r="15" spans="1:9" x14ac:dyDescent="0.25">
      <c r="A15" s="353">
        <f t="shared" si="3"/>
        <v>14</v>
      </c>
      <c r="B15" s="314" t="s">
        <v>620</v>
      </c>
      <c r="C15" s="413">
        <v>2</v>
      </c>
      <c r="D15" s="405">
        <v>8.75</v>
      </c>
      <c r="E15" s="44">
        <v>17</v>
      </c>
      <c r="F15" s="354">
        <f t="shared" si="0"/>
        <v>0.48529411764705882</v>
      </c>
      <c r="G15" s="355">
        <f t="shared" si="1"/>
        <v>17.5</v>
      </c>
      <c r="H15" s="416">
        <f t="shared" si="2"/>
        <v>34</v>
      </c>
      <c r="I15" s="420"/>
    </row>
    <row r="16" spans="1:9" x14ac:dyDescent="0.25">
      <c r="A16" s="353">
        <f t="shared" si="3"/>
        <v>15</v>
      </c>
      <c r="B16" s="314" t="s">
        <v>170</v>
      </c>
      <c r="C16" s="658">
        <v>3</v>
      </c>
      <c r="D16" s="10">
        <v>9.14</v>
      </c>
      <c r="E16" s="7">
        <v>15</v>
      </c>
      <c r="F16" s="354">
        <f t="shared" si="0"/>
        <v>0.39066666666666661</v>
      </c>
      <c r="G16" s="355">
        <f t="shared" si="1"/>
        <v>27.42</v>
      </c>
      <c r="H16" s="416">
        <f t="shared" si="2"/>
        <v>45</v>
      </c>
      <c r="I16" s="423"/>
    </row>
    <row r="17" spans="1:9" x14ac:dyDescent="0.25">
      <c r="A17" s="353">
        <f t="shared" si="3"/>
        <v>16</v>
      </c>
      <c r="B17" s="472" t="s">
        <v>624</v>
      </c>
      <c r="C17" s="596">
        <v>0</v>
      </c>
      <c r="D17" s="404">
        <v>9.75</v>
      </c>
      <c r="E17" s="7">
        <v>16</v>
      </c>
      <c r="F17" s="354">
        <f t="shared" si="0"/>
        <v>0.390625</v>
      </c>
      <c r="G17" s="355">
        <f t="shared" si="1"/>
        <v>0</v>
      </c>
      <c r="H17" s="416">
        <f t="shared" si="2"/>
        <v>0</v>
      </c>
      <c r="I17" s="420"/>
    </row>
    <row r="18" spans="1:9" x14ac:dyDescent="0.25">
      <c r="A18" s="353">
        <f t="shared" si="3"/>
        <v>17</v>
      </c>
      <c r="B18" s="314" t="s">
        <v>1175</v>
      </c>
      <c r="C18" s="415">
        <v>84</v>
      </c>
      <c r="D18" s="10">
        <v>0.13900000000000001</v>
      </c>
      <c r="E18" s="338">
        <v>0.25</v>
      </c>
      <c r="F18" s="354">
        <f t="shared" si="0"/>
        <v>0.44399999999999995</v>
      </c>
      <c r="G18" s="355">
        <f t="shared" si="1"/>
        <v>11.676000000000002</v>
      </c>
      <c r="H18" s="416">
        <f t="shared" si="2"/>
        <v>21</v>
      </c>
      <c r="I18" s="422"/>
    </row>
    <row r="19" spans="1:9" x14ac:dyDescent="0.25">
      <c r="A19" s="353">
        <f t="shared" si="3"/>
        <v>18</v>
      </c>
      <c r="B19" s="314" t="s">
        <v>1177</v>
      </c>
      <c r="C19" s="415">
        <v>2</v>
      </c>
      <c r="D19" s="10">
        <v>5.65</v>
      </c>
      <c r="E19" s="7">
        <v>9</v>
      </c>
      <c r="F19" s="354">
        <f t="shared" si="0"/>
        <v>0.37222222222222218</v>
      </c>
      <c r="G19" s="355">
        <f t="shared" si="1"/>
        <v>11.3</v>
      </c>
      <c r="H19" s="416">
        <f t="shared" si="2"/>
        <v>18</v>
      </c>
      <c r="I19" s="424"/>
    </row>
    <row r="20" spans="1:9" ht="16.5" customHeight="1" x14ac:dyDescent="0.25">
      <c r="A20" s="353">
        <f t="shared" si="3"/>
        <v>19</v>
      </c>
      <c r="B20" s="353" t="s">
        <v>742</v>
      </c>
      <c r="C20" s="415">
        <v>5</v>
      </c>
      <c r="D20" s="10">
        <v>3.08</v>
      </c>
      <c r="E20" s="7">
        <v>5</v>
      </c>
      <c r="F20" s="354">
        <f t="shared" si="0"/>
        <v>0.38400000000000001</v>
      </c>
      <c r="G20" s="355">
        <f t="shared" si="1"/>
        <v>15.4</v>
      </c>
      <c r="H20" s="416">
        <f t="shared" si="2"/>
        <v>25</v>
      </c>
      <c r="I20" s="422"/>
    </row>
    <row r="21" spans="1:9" x14ac:dyDescent="0.25">
      <c r="A21" s="353">
        <f t="shared" si="3"/>
        <v>20</v>
      </c>
      <c r="B21" s="314" t="s">
        <v>1090</v>
      </c>
      <c r="C21" s="663">
        <v>4</v>
      </c>
      <c r="D21" s="15">
        <v>13</v>
      </c>
      <c r="E21" s="7">
        <v>20</v>
      </c>
      <c r="F21" s="354">
        <f t="shared" si="0"/>
        <v>0.35</v>
      </c>
      <c r="G21" s="355">
        <f t="shared" si="1"/>
        <v>52</v>
      </c>
      <c r="H21" s="416">
        <f t="shared" si="2"/>
        <v>80</v>
      </c>
      <c r="I21" s="422"/>
    </row>
    <row r="22" spans="1:9" x14ac:dyDescent="0.25">
      <c r="A22" s="353">
        <f t="shared" si="3"/>
        <v>21</v>
      </c>
      <c r="B22" s="314" t="s">
        <v>790</v>
      </c>
      <c r="C22" s="340">
        <v>2</v>
      </c>
      <c r="D22" s="10">
        <v>46.75</v>
      </c>
      <c r="E22" s="7">
        <v>80</v>
      </c>
      <c r="F22" s="354">
        <f t="shared" si="0"/>
        <v>0.41562500000000002</v>
      </c>
      <c r="G22" s="355">
        <f t="shared" si="1"/>
        <v>93.5</v>
      </c>
      <c r="H22" s="416">
        <f t="shared" si="2"/>
        <v>160</v>
      </c>
      <c r="I22" s="422"/>
    </row>
    <row r="23" spans="1:9" x14ac:dyDescent="0.25">
      <c r="A23" s="353">
        <f t="shared" si="3"/>
        <v>22</v>
      </c>
      <c r="B23" s="314" t="s">
        <v>1295</v>
      </c>
      <c r="C23" s="413">
        <v>7</v>
      </c>
      <c r="D23" s="15">
        <v>8.94</v>
      </c>
      <c r="E23" s="7">
        <v>17</v>
      </c>
      <c r="F23" s="354">
        <f t="shared" si="0"/>
        <v>0.47411764705882353</v>
      </c>
      <c r="G23" s="355">
        <f t="shared" si="1"/>
        <v>62.58</v>
      </c>
      <c r="H23" s="416">
        <f t="shared" si="2"/>
        <v>119</v>
      </c>
      <c r="I23" s="424"/>
    </row>
    <row r="24" spans="1:9" x14ac:dyDescent="0.25">
      <c r="A24" s="353">
        <f t="shared" si="3"/>
        <v>23</v>
      </c>
      <c r="B24" s="412" t="s">
        <v>753</v>
      </c>
      <c r="C24" s="415">
        <v>2</v>
      </c>
      <c r="D24" s="10">
        <v>59.95</v>
      </c>
      <c r="E24" s="7">
        <v>102</v>
      </c>
      <c r="F24" s="354">
        <f t="shared" si="0"/>
        <v>0.41225490196078429</v>
      </c>
      <c r="G24" s="355">
        <f t="shared" si="1"/>
        <v>119.9</v>
      </c>
      <c r="H24" s="416">
        <f t="shared" si="2"/>
        <v>204</v>
      </c>
      <c r="I24" s="424"/>
    </row>
    <row r="25" spans="1:9" x14ac:dyDescent="0.25">
      <c r="A25" s="353">
        <f t="shared" si="3"/>
        <v>24</v>
      </c>
      <c r="B25" s="314" t="s">
        <v>480</v>
      </c>
      <c r="C25" s="413">
        <v>35</v>
      </c>
      <c r="D25" s="404">
        <v>1.22</v>
      </c>
      <c r="E25" s="7">
        <v>2.3330000000000002</v>
      </c>
      <c r="F25" s="354">
        <f t="shared" si="0"/>
        <v>0.47706815259322766</v>
      </c>
      <c r="G25" s="355">
        <f t="shared" si="1"/>
        <v>42.699999999999996</v>
      </c>
      <c r="H25" s="416">
        <f t="shared" si="2"/>
        <v>81.655000000000001</v>
      </c>
      <c r="I25" s="424"/>
    </row>
    <row r="26" spans="1:9" x14ac:dyDescent="0.25">
      <c r="A26" s="353">
        <f t="shared" si="3"/>
        <v>25</v>
      </c>
      <c r="B26" s="314" t="s">
        <v>1091</v>
      </c>
      <c r="C26" s="340">
        <v>20</v>
      </c>
      <c r="D26" s="10">
        <v>4.665</v>
      </c>
      <c r="E26" s="7">
        <v>7</v>
      </c>
      <c r="F26" s="354">
        <f t="shared" si="0"/>
        <v>0.33357142857142857</v>
      </c>
      <c r="G26" s="355">
        <f t="shared" si="1"/>
        <v>93.3</v>
      </c>
      <c r="H26" s="416">
        <f t="shared" si="2"/>
        <v>140</v>
      </c>
      <c r="I26" s="422"/>
    </row>
    <row r="27" spans="1:9" x14ac:dyDescent="0.25">
      <c r="A27" s="353">
        <f t="shared" si="3"/>
        <v>26</v>
      </c>
      <c r="B27" s="314" t="s">
        <v>834</v>
      </c>
      <c r="C27" s="340">
        <v>6</v>
      </c>
      <c r="D27" s="15">
        <v>31.97</v>
      </c>
      <c r="E27" s="7">
        <v>57</v>
      </c>
      <c r="F27" s="354">
        <f t="shared" si="0"/>
        <v>0.43912280701754386</v>
      </c>
      <c r="G27" s="355">
        <f t="shared" si="1"/>
        <v>191.82</v>
      </c>
      <c r="H27" s="416">
        <f t="shared" si="2"/>
        <v>342</v>
      </c>
      <c r="I27" s="420"/>
    </row>
    <row r="28" spans="1:9" x14ac:dyDescent="0.25">
      <c r="A28" s="353">
        <f t="shared" si="3"/>
        <v>27</v>
      </c>
      <c r="B28" s="314" t="s">
        <v>788</v>
      </c>
      <c r="C28" s="652">
        <v>2</v>
      </c>
      <c r="D28" s="404">
        <v>21</v>
      </c>
      <c r="E28" s="7">
        <v>32</v>
      </c>
      <c r="F28" s="354">
        <f t="shared" si="0"/>
        <v>0.34375</v>
      </c>
      <c r="G28" s="355">
        <f t="shared" si="1"/>
        <v>42</v>
      </c>
      <c r="H28" s="416">
        <f t="shared" si="2"/>
        <v>64</v>
      </c>
      <c r="I28" s="422"/>
    </row>
    <row r="29" spans="1:9" x14ac:dyDescent="0.25">
      <c r="A29" s="353">
        <f t="shared" si="3"/>
        <v>28</v>
      </c>
      <c r="B29" s="314" t="s">
        <v>651</v>
      </c>
      <c r="C29" s="413">
        <v>4</v>
      </c>
      <c r="D29" s="404">
        <v>10.77</v>
      </c>
      <c r="E29" s="7">
        <v>30</v>
      </c>
      <c r="F29" s="354">
        <f t="shared" si="0"/>
        <v>0.64100000000000001</v>
      </c>
      <c r="G29" s="355">
        <f t="shared" si="1"/>
        <v>43.08</v>
      </c>
      <c r="H29" s="416">
        <f t="shared" si="2"/>
        <v>120</v>
      </c>
      <c r="I29" s="420"/>
    </row>
    <row r="30" spans="1:9" x14ac:dyDescent="0.25">
      <c r="A30" s="353">
        <f t="shared" si="3"/>
        <v>29</v>
      </c>
      <c r="B30" s="314" t="s">
        <v>221</v>
      </c>
      <c r="C30" s="340">
        <v>1</v>
      </c>
      <c r="D30" s="15">
        <v>18.95</v>
      </c>
      <c r="E30" s="7">
        <v>32</v>
      </c>
      <c r="F30" s="354">
        <f t="shared" si="0"/>
        <v>0.40781250000000002</v>
      </c>
      <c r="G30" s="355">
        <f t="shared" si="1"/>
        <v>18.95</v>
      </c>
      <c r="H30" s="416">
        <f t="shared" si="2"/>
        <v>32</v>
      </c>
      <c r="I30" s="422"/>
    </row>
    <row r="31" spans="1:9" x14ac:dyDescent="0.25">
      <c r="A31" s="353">
        <f t="shared" si="3"/>
        <v>30</v>
      </c>
      <c r="B31" s="314" t="s">
        <v>94</v>
      </c>
      <c r="C31" s="340">
        <v>1</v>
      </c>
      <c r="D31" s="10">
        <v>18.75</v>
      </c>
      <c r="E31" s="7">
        <v>32</v>
      </c>
      <c r="F31" s="354">
        <f t="shared" si="0"/>
        <v>0.4140625</v>
      </c>
      <c r="G31" s="355">
        <f t="shared" si="1"/>
        <v>18.75</v>
      </c>
      <c r="H31" s="416">
        <f t="shared" si="2"/>
        <v>32</v>
      </c>
      <c r="I31" s="422"/>
    </row>
    <row r="32" spans="1:9" x14ac:dyDescent="0.25">
      <c r="A32" s="353">
        <f t="shared" si="3"/>
        <v>31</v>
      </c>
      <c r="B32" s="314" t="s">
        <v>722</v>
      </c>
      <c r="C32" s="413">
        <v>4</v>
      </c>
      <c r="D32" s="404">
        <v>1.2</v>
      </c>
      <c r="E32" s="7">
        <v>4</v>
      </c>
      <c r="F32" s="354">
        <f t="shared" si="0"/>
        <v>0.7</v>
      </c>
      <c r="G32" s="355">
        <f t="shared" si="1"/>
        <v>4.8</v>
      </c>
      <c r="H32" s="416">
        <f t="shared" si="2"/>
        <v>16</v>
      </c>
      <c r="I32" s="422"/>
    </row>
    <row r="33" spans="1:9" x14ac:dyDescent="0.25">
      <c r="A33" s="353">
        <f t="shared" si="3"/>
        <v>32</v>
      </c>
      <c r="B33" s="314" t="s">
        <v>448</v>
      </c>
      <c r="C33" s="413">
        <v>14</v>
      </c>
      <c r="D33" s="404">
        <v>4</v>
      </c>
      <c r="E33" s="7">
        <v>7</v>
      </c>
      <c r="F33" s="354">
        <f t="shared" si="0"/>
        <v>0.42857142857142855</v>
      </c>
      <c r="G33" s="355">
        <f t="shared" si="1"/>
        <v>56</v>
      </c>
      <c r="H33" s="416">
        <f t="shared" si="2"/>
        <v>98</v>
      </c>
      <c r="I33" s="422"/>
    </row>
    <row r="34" spans="1:9" x14ac:dyDescent="0.25">
      <c r="A34" s="353">
        <f t="shared" si="3"/>
        <v>33</v>
      </c>
      <c r="B34" s="314" t="s">
        <v>1009</v>
      </c>
      <c r="C34" s="415">
        <v>38</v>
      </c>
      <c r="D34" s="10">
        <v>7.3979999999999997</v>
      </c>
      <c r="E34" s="7">
        <v>12</v>
      </c>
      <c r="F34" s="354">
        <f t="shared" si="0"/>
        <v>0.38350000000000001</v>
      </c>
      <c r="G34" s="355">
        <f t="shared" si="1"/>
        <v>281.12399999999997</v>
      </c>
      <c r="H34" s="416">
        <f t="shared" si="2"/>
        <v>456</v>
      </c>
      <c r="I34" s="422"/>
    </row>
    <row r="35" spans="1:9" x14ac:dyDescent="0.25">
      <c r="A35" s="353">
        <f t="shared" si="3"/>
        <v>34</v>
      </c>
      <c r="B35" s="314" t="s">
        <v>1320</v>
      </c>
      <c r="C35" s="415">
        <v>21</v>
      </c>
      <c r="D35" s="10">
        <v>7.4</v>
      </c>
      <c r="E35" s="7">
        <v>12</v>
      </c>
      <c r="F35" s="354">
        <f t="shared" si="0"/>
        <v>0.3833333333333333</v>
      </c>
      <c r="G35" s="355">
        <f t="shared" si="1"/>
        <v>155.4</v>
      </c>
      <c r="H35" s="416">
        <f t="shared" si="2"/>
        <v>252</v>
      </c>
      <c r="I35" s="422"/>
    </row>
    <row r="36" spans="1:9" x14ac:dyDescent="0.25">
      <c r="A36" s="353">
        <f t="shared" si="3"/>
        <v>35</v>
      </c>
      <c r="B36" s="314" t="s">
        <v>351</v>
      </c>
      <c r="C36" s="340">
        <v>0</v>
      </c>
      <c r="D36" s="15">
        <v>1.95</v>
      </c>
      <c r="E36" s="7">
        <v>3</v>
      </c>
      <c r="F36" s="354">
        <f t="shared" si="0"/>
        <v>0.35000000000000003</v>
      </c>
      <c r="G36" s="355">
        <f t="shared" si="1"/>
        <v>0</v>
      </c>
      <c r="H36" s="416">
        <f t="shared" si="2"/>
        <v>0</v>
      </c>
      <c r="I36" s="422"/>
    </row>
    <row r="37" spans="1:9" x14ac:dyDescent="0.25">
      <c r="A37" s="353">
        <f t="shared" si="3"/>
        <v>36</v>
      </c>
      <c r="B37" s="314" t="s">
        <v>632</v>
      </c>
      <c r="C37" s="435">
        <v>0</v>
      </c>
      <c r="D37" s="404">
        <v>2.25</v>
      </c>
      <c r="E37" s="7">
        <v>6</v>
      </c>
      <c r="F37" s="354">
        <f t="shared" si="0"/>
        <v>0.625</v>
      </c>
      <c r="G37" s="355">
        <f t="shared" si="1"/>
        <v>0</v>
      </c>
      <c r="H37" s="416">
        <f t="shared" si="2"/>
        <v>0</v>
      </c>
      <c r="I37" s="424"/>
    </row>
    <row r="38" spans="1:9" x14ac:dyDescent="0.25">
      <c r="A38" s="353">
        <f t="shared" si="3"/>
        <v>37</v>
      </c>
      <c r="B38" s="314" t="s">
        <v>791</v>
      </c>
      <c r="C38" s="340">
        <v>0</v>
      </c>
      <c r="D38" s="10">
        <v>12.4</v>
      </c>
      <c r="E38" s="7">
        <v>21</v>
      </c>
      <c r="F38" s="354">
        <f t="shared" si="0"/>
        <v>0.40952380952380951</v>
      </c>
      <c r="G38" s="355">
        <f t="shared" si="1"/>
        <v>0</v>
      </c>
      <c r="H38" s="416">
        <f t="shared" si="2"/>
        <v>0</v>
      </c>
      <c r="I38" s="422"/>
    </row>
    <row r="39" spans="1:9" x14ac:dyDescent="0.25">
      <c r="A39" s="353">
        <f t="shared" si="3"/>
        <v>38</v>
      </c>
      <c r="B39" s="314" t="s">
        <v>1329</v>
      </c>
      <c r="C39" s="413">
        <v>1</v>
      </c>
      <c r="D39" s="404">
        <v>8.65</v>
      </c>
      <c r="E39" s="7">
        <v>18</v>
      </c>
      <c r="F39" s="354">
        <f t="shared" si="0"/>
        <v>0.51944444444444438</v>
      </c>
      <c r="G39" s="355">
        <f t="shared" si="1"/>
        <v>8.65</v>
      </c>
      <c r="H39" s="416">
        <f t="shared" si="2"/>
        <v>18</v>
      </c>
      <c r="I39" s="422"/>
    </row>
    <row r="40" spans="1:9" x14ac:dyDescent="0.25">
      <c r="A40" s="353">
        <f t="shared" si="3"/>
        <v>39</v>
      </c>
      <c r="B40" s="4" t="s">
        <v>789</v>
      </c>
      <c r="C40" s="414">
        <v>2</v>
      </c>
      <c r="D40" s="15">
        <v>9.9499999999999993</v>
      </c>
      <c r="E40" s="7">
        <v>16</v>
      </c>
      <c r="F40" s="354">
        <f t="shared" si="0"/>
        <v>0.37812500000000004</v>
      </c>
      <c r="G40" s="355">
        <f t="shared" si="1"/>
        <v>19.899999999999999</v>
      </c>
      <c r="H40" s="416">
        <f t="shared" si="2"/>
        <v>32</v>
      </c>
      <c r="I40" s="422"/>
    </row>
    <row r="41" spans="1:9" x14ac:dyDescent="0.25">
      <c r="A41" s="353">
        <f t="shared" si="3"/>
        <v>40</v>
      </c>
      <c r="B41" s="472" t="s">
        <v>831</v>
      </c>
      <c r="C41" s="597">
        <v>1</v>
      </c>
      <c r="D41" s="15">
        <v>13.95</v>
      </c>
      <c r="E41" s="7">
        <v>29</v>
      </c>
      <c r="F41" s="354">
        <f t="shared" si="0"/>
        <v>0.51896551724137929</v>
      </c>
      <c r="G41" s="355">
        <f t="shared" si="1"/>
        <v>13.95</v>
      </c>
      <c r="H41" s="416">
        <f t="shared" si="2"/>
        <v>29</v>
      </c>
      <c r="I41" s="422"/>
    </row>
    <row r="42" spans="1:9" x14ac:dyDescent="0.25">
      <c r="A42" s="353">
        <f t="shared" si="3"/>
        <v>41</v>
      </c>
      <c r="B42" s="314" t="s">
        <v>832</v>
      </c>
      <c r="C42" s="415">
        <v>1</v>
      </c>
      <c r="D42" s="15">
        <v>15.97</v>
      </c>
      <c r="E42" s="7">
        <v>29</v>
      </c>
      <c r="F42" s="354">
        <f t="shared" si="0"/>
        <v>0.44931034482758619</v>
      </c>
      <c r="G42" s="355">
        <f t="shared" si="1"/>
        <v>15.97</v>
      </c>
      <c r="H42" s="416">
        <f t="shared" si="2"/>
        <v>29</v>
      </c>
      <c r="I42" s="422"/>
    </row>
    <row r="43" spans="1:9" x14ac:dyDescent="0.25">
      <c r="A43" s="353">
        <f t="shared" si="3"/>
        <v>42</v>
      </c>
      <c r="B43" s="314" t="s">
        <v>830</v>
      </c>
      <c r="C43" s="415">
        <v>1</v>
      </c>
      <c r="D43" s="15">
        <v>13.95</v>
      </c>
      <c r="E43" s="7">
        <v>29</v>
      </c>
      <c r="F43" s="354">
        <f t="shared" si="0"/>
        <v>0.51896551724137929</v>
      </c>
      <c r="G43" s="355">
        <f t="shared" si="1"/>
        <v>13.95</v>
      </c>
      <c r="H43" s="416">
        <f t="shared" si="2"/>
        <v>29</v>
      </c>
      <c r="I43" s="420"/>
    </row>
    <row r="44" spans="1:9" x14ac:dyDescent="0.25">
      <c r="A44" s="353">
        <f t="shared" si="3"/>
        <v>43</v>
      </c>
      <c r="B44" s="314" t="s">
        <v>1092</v>
      </c>
      <c r="C44" s="653">
        <v>7.8</v>
      </c>
      <c r="D44" s="10">
        <v>1.1000000000000001</v>
      </c>
      <c r="E44" s="7">
        <v>18</v>
      </c>
      <c r="F44" s="354">
        <f t="shared" si="0"/>
        <v>0.93888888888888877</v>
      </c>
      <c r="G44" s="355">
        <f t="shared" si="1"/>
        <v>8.58</v>
      </c>
      <c r="H44" s="416">
        <f t="shared" si="2"/>
        <v>140.4</v>
      </c>
      <c r="I44" s="421"/>
    </row>
    <row r="45" spans="1:9" x14ac:dyDescent="0.25">
      <c r="A45" s="353">
        <f t="shared" si="3"/>
        <v>44</v>
      </c>
      <c r="B45" s="4" t="s">
        <v>804</v>
      </c>
      <c r="C45" s="413">
        <v>9</v>
      </c>
      <c r="D45" s="15">
        <v>3.65</v>
      </c>
      <c r="E45" s="7">
        <v>6</v>
      </c>
      <c r="F45" s="354">
        <f t="shared" si="0"/>
        <v>0.39166666666666666</v>
      </c>
      <c r="G45" s="355">
        <f t="shared" si="1"/>
        <v>32.85</v>
      </c>
      <c r="H45" s="416">
        <f t="shared" si="2"/>
        <v>54</v>
      </c>
      <c r="I45" s="421"/>
    </row>
    <row r="46" spans="1:9" x14ac:dyDescent="0.25">
      <c r="A46" s="353">
        <f t="shared" si="3"/>
        <v>45</v>
      </c>
      <c r="B46" s="314" t="s">
        <v>1093</v>
      </c>
      <c r="C46" s="413">
        <v>114</v>
      </c>
      <c r="D46" s="15">
        <v>0.68</v>
      </c>
      <c r="E46" s="7">
        <v>1.2</v>
      </c>
      <c r="F46" s="354">
        <f t="shared" si="0"/>
        <v>0.43333333333333329</v>
      </c>
      <c r="G46" s="355">
        <f t="shared" si="1"/>
        <v>77.52000000000001</v>
      </c>
      <c r="H46" s="416">
        <f t="shared" si="2"/>
        <v>136.79999999999998</v>
      </c>
      <c r="I46" s="422"/>
    </row>
    <row r="47" spans="1:9" x14ac:dyDescent="0.25">
      <c r="A47" s="353">
        <f t="shared" si="3"/>
        <v>46</v>
      </c>
      <c r="B47" s="314" t="s">
        <v>687</v>
      </c>
      <c r="C47" s="413">
        <v>5</v>
      </c>
      <c r="D47" s="404">
        <v>11.1</v>
      </c>
      <c r="E47" s="7">
        <v>30</v>
      </c>
      <c r="F47" s="354">
        <f t="shared" si="0"/>
        <v>0.63</v>
      </c>
      <c r="G47" s="355">
        <f t="shared" si="1"/>
        <v>55.5</v>
      </c>
      <c r="H47" s="416">
        <f t="shared" si="2"/>
        <v>150</v>
      </c>
      <c r="I47" s="422"/>
    </row>
    <row r="48" spans="1:9" x14ac:dyDescent="0.25">
      <c r="A48" s="353">
        <f t="shared" si="3"/>
        <v>47</v>
      </c>
      <c r="B48" s="314" t="s">
        <v>929</v>
      </c>
      <c r="C48" s="340">
        <v>11</v>
      </c>
      <c r="D48" s="15">
        <v>3.3</v>
      </c>
      <c r="E48" s="7">
        <v>6</v>
      </c>
      <c r="F48" s="354">
        <f t="shared" si="0"/>
        <v>0.45</v>
      </c>
      <c r="G48" s="355">
        <f t="shared" si="1"/>
        <v>36.299999999999997</v>
      </c>
      <c r="H48" s="416">
        <f t="shared" si="2"/>
        <v>66</v>
      </c>
      <c r="I48" s="420"/>
    </row>
    <row r="49" spans="1:9" x14ac:dyDescent="0.25">
      <c r="A49" s="353">
        <f t="shared" si="3"/>
        <v>48</v>
      </c>
      <c r="B49" s="314" t="s">
        <v>623</v>
      </c>
      <c r="C49" s="652">
        <v>13</v>
      </c>
      <c r="D49" s="405">
        <v>1.6</v>
      </c>
      <c r="E49" s="44">
        <v>3</v>
      </c>
      <c r="F49" s="354">
        <f t="shared" si="0"/>
        <v>0.46666666666666662</v>
      </c>
      <c r="G49" s="355">
        <f t="shared" si="1"/>
        <v>20.8</v>
      </c>
      <c r="H49" s="416">
        <f t="shared" si="2"/>
        <v>39</v>
      </c>
      <c r="I49" s="425"/>
    </row>
    <row r="50" spans="1:9" x14ac:dyDescent="0.25">
      <c r="A50" s="353">
        <f t="shared" si="3"/>
        <v>49</v>
      </c>
      <c r="B50" s="314" t="s">
        <v>1094</v>
      </c>
      <c r="C50" s="413">
        <v>81</v>
      </c>
      <c r="D50" s="15">
        <v>0.85</v>
      </c>
      <c r="E50" s="7">
        <v>2</v>
      </c>
      <c r="F50" s="354">
        <f t="shared" si="0"/>
        <v>0.57499999999999996</v>
      </c>
      <c r="G50" s="355">
        <f t="shared" si="1"/>
        <v>68.849999999999994</v>
      </c>
      <c r="H50" s="416">
        <f t="shared" si="2"/>
        <v>162</v>
      </c>
      <c r="I50" s="420"/>
    </row>
    <row r="51" spans="1:9" x14ac:dyDescent="0.25">
      <c r="A51" s="353">
        <f t="shared" si="3"/>
        <v>50</v>
      </c>
      <c r="B51" s="314" t="s">
        <v>1294</v>
      </c>
      <c r="C51" s="413">
        <v>27</v>
      </c>
      <c r="D51" s="405">
        <v>2.161</v>
      </c>
      <c r="E51" s="44">
        <v>4</v>
      </c>
      <c r="F51" s="354">
        <f t="shared" si="0"/>
        <v>0.45974999999999999</v>
      </c>
      <c r="G51" s="355">
        <f t="shared" si="1"/>
        <v>58.347000000000001</v>
      </c>
      <c r="H51" s="416">
        <f t="shared" si="2"/>
        <v>108</v>
      </c>
      <c r="I51" s="420"/>
    </row>
    <row r="52" spans="1:9" x14ac:dyDescent="0.25">
      <c r="A52" s="353">
        <f t="shared" si="3"/>
        <v>51</v>
      </c>
      <c r="B52" s="314" t="s">
        <v>1095</v>
      </c>
      <c r="C52" s="596">
        <v>2</v>
      </c>
      <c r="D52" s="15">
        <v>15.45</v>
      </c>
      <c r="E52" s="7">
        <v>27</v>
      </c>
      <c r="F52" s="354">
        <f t="shared" si="0"/>
        <v>0.42777777777777781</v>
      </c>
      <c r="G52" s="355">
        <f t="shared" si="1"/>
        <v>30.9</v>
      </c>
      <c r="H52" s="416">
        <f t="shared" si="2"/>
        <v>54</v>
      </c>
      <c r="I52" s="426"/>
    </row>
    <row r="53" spans="1:9" x14ac:dyDescent="0.25">
      <c r="A53" s="353">
        <f t="shared" si="3"/>
        <v>52</v>
      </c>
      <c r="B53" s="314" t="s">
        <v>781</v>
      </c>
      <c r="C53" s="413">
        <v>13</v>
      </c>
      <c r="D53" s="15">
        <v>4.17</v>
      </c>
      <c r="E53" s="7">
        <v>10</v>
      </c>
      <c r="F53" s="354">
        <f t="shared" si="0"/>
        <v>0.58299999999999996</v>
      </c>
      <c r="G53" s="355">
        <f t="shared" si="1"/>
        <v>54.21</v>
      </c>
      <c r="H53" s="416">
        <f t="shared" si="2"/>
        <v>130</v>
      </c>
      <c r="I53" s="423"/>
    </row>
    <row r="54" spans="1:9" x14ac:dyDescent="0.25">
      <c r="A54" s="353">
        <f t="shared" si="3"/>
        <v>53</v>
      </c>
      <c r="B54" s="4" t="s">
        <v>570</v>
      </c>
      <c r="C54" s="413">
        <v>4</v>
      </c>
      <c r="D54" s="404">
        <v>31.95</v>
      </c>
      <c r="E54" s="7">
        <v>52</v>
      </c>
      <c r="F54" s="354">
        <f t="shared" si="0"/>
        <v>0.38557692307692309</v>
      </c>
      <c r="G54" s="355">
        <f t="shared" si="1"/>
        <v>127.8</v>
      </c>
      <c r="H54" s="416">
        <f t="shared" si="2"/>
        <v>208</v>
      </c>
      <c r="I54" s="422"/>
    </row>
    <row r="55" spans="1:9" x14ac:dyDescent="0.25">
      <c r="A55" s="353">
        <f t="shared" si="3"/>
        <v>54</v>
      </c>
      <c r="B55" s="314" t="s">
        <v>875</v>
      </c>
      <c r="C55" s="340">
        <v>23</v>
      </c>
      <c r="D55" s="10">
        <v>2.016</v>
      </c>
      <c r="E55" s="7">
        <v>4</v>
      </c>
      <c r="F55" s="354">
        <f t="shared" si="0"/>
        <v>0.496</v>
      </c>
      <c r="G55" s="355">
        <f t="shared" si="1"/>
        <v>46.368000000000002</v>
      </c>
      <c r="H55" s="416">
        <f t="shared" si="2"/>
        <v>92</v>
      </c>
      <c r="I55" s="422"/>
    </row>
    <row r="56" spans="1:9" x14ac:dyDescent="0.25">
      <c r="A56" s="353">
        <f t="shared" si="3"/>
        <v>55</v>
      </c>
      <c r="B56" s="314" t="s">
        <v>626</v>
      </c>
      <c r="C56" s="413">
        <v>0</v>
      </c>
      <c r="D56" s="404">
        <v>19.45</v>
      </c>
      <c r="E56" s="7">
        <v>30</v>
      </c>
      <c r="F56" s="354">
        <f t="shared" si="0"/>
        <v>0.35166666666666668</v>
      </c>
      <c r="G56" s="355">
        <f t="shared" si="1"/>
        <v>0</v>
      </c>
      <c r="H56" s="416">
        <f t="shared" si="2"/>
        <v>0</v>
      </c>
      <c r="I56" s="422"/>
    </row>
    <row r="57" spans="1:9" x14ac:dyDescent="0.25">
      <c r="A57" s="353">
        <f t="shared" si="3"/>
        <v>56</v>
      </c>
      <c r="B57" s="314" t="s">
        <v>697</v>
      </c>
      <c r="C57" s="413">
        <v>9</v>
      </c>
      <c r="D57" s="404">
        <v>2.78</v>
      </c>
      <c r="E57" s="7">
        <v>5</v>
      </c>
      <c r="F57" s="354">
        <f t="shared" si="0"/>
        <v>0.44400000000000006</v>
      </c>
      <c r="G57" s="355">
        <f t="shared" si="1"/>
        <v>25.02</v>
      </c>
      <c r="H57" s="416">
        <f t="shared" si="2"/>
        <v>45</v>
      </c>
      <c r="I57" s="422"/>
    </row>
    <row r="58" spans="1:9" x14ac:dyDescent="0.25">
      <c r="A58" s="353">
        <f t="shared" si="3"/>
        <v>57</v>
      </c>
      <c r="B58" s="314" t="s">
        <v>674</v>
      </c>
      <c r="C58" s="413">
        <v>0</v>
      </c>
      <c r="D58" s="15">
        <v>20.95</v>
      </c>
      <c r="E58" s="10">
        <v>37</v>
      </c>
      <c r="F58" s="354">
        <f t="shared" si="0"/>
        <v>0.43378378378378379</v>
      </c>
      <c r="G58" s="355">
        <f t="shared" si="1"/>
        <v>0</v>
      </c>
      <c r="H58" s="416">
        <f t="shared" si="2"/>
        <v>0</v>
      </c>
      <c r="I58" s="425"/>
    </row>
    <row r="59" spans="1:9" x14ac:dyDescent="0.25">
      <c r="A59" s="353">
        <f t="shared" si="3"/>
        <v>58</v>
      </c>
      <c r="B59" s="314" t="s">
        <v>708</v>
      </c>
      <c r="C59" s="413">
        <v>2</v>
      </c>
      <c r="D59" s="15">
        <v>18.95</v>
      </c>
      <c r="E59" s="7">
        <v>40</v>
      </c>
      <c r="F59" s="354">
        <f t="shared" si="0"/>
        <v>0.52625</v>
      </c>
      <c r="G59" s="355">
        <f t="shared" si="1"/>
        <v>37.9</v>
      </c>
      <c r="H59" s="416">
        <f t="shared" si="2"/>
        <v>80</v>
      </c>
      <c r="I59" s="420"/>
    </row>
    <row r="60" spans="1:9" x14ac:dyDescent="0.25">
      <c r="A60" s="353">
        <f t="shared" si="3"/>
        <v>59</v>
      </c>
      <c r="B60" s="314" t="s">
        <v>667</v>
      </c>
      <c r="C60" s="413">
        <v>0</v>
      </c>
      <c r="D60" s="404">
        <v>42.85</v>
      </c>
      <c r="E60" s="7">
        <v>66</v>
      </c>
      <c r="F60" s="354">
        <f t="shared" si="0"/>
        <v>0.35075757575757571</v>
      </c>
      <c r="G60" s="355">
        <f t="shared" si="1"/>
        <v>0</v>
      </c>
      <c r="H60" s="416">
        <f t="shared" si="2"/>
        <v>0</v>
      </c>
      <c r="I60" s="420"/>
    </row>
    <row r="61" spans="1:9" x14ac:dyDescent="0.25">
      <c r="A61" s="353">
        <f t="shared" si="3"/>
        <v>60</v>
      </c>
      <c r="B61" s="314" t="s">
        <v>1176</v>
      </c>
      <c r="C61" s="413">
        <v>6</v>
      </c>
      <c r="D61" s="404">
        <v>22.65</v>
      </c>
      <c r="E61" s="7">
        <v>40</v>
      </c>
      <c r="F61" s="354">
        <f t="shared" si="0"/>
        <v>0.43375000000000002</v>
      </c>
      <c r="G61" s="355">
        <f t="shared" si="1"/>
        <v>135.89999999999998</v>
      </c>
      <c r="H61" s="416">
        <f t="shared" si="2"/>
        <v>240</v>
      </c>
      <c r="I61" s="420"/>
    </row>
    <row r="62" spans="1:9" x14ac:dyDescent="0.25">
      <c r="A62" s="353">
        <f t="shared" si="3"/>
        <v>61</v>
      </c>
      <c r="B62" s="314" t="s">
        <v>415</v>
      </c>
      <c r="C62" s="413">
        <v>2</v>
      </c>
      <c r="D62" s="404">
        <v>15.77</v>
      </c>
      <c r="E62" s="7">
        <v>27</v>
      </c>
      <c r="F62" s="354">
        <f t="shared" si="0"/>
        <v>0.41592592592592592</v>
      </c>
      <c r="G62" s="355">
        <f t="shared" si="1"/>
        <v>31.54</v>
      </c>
      <c r="H62" s="416">
        <f t="shared" si="2"/>
        <v>54</v>
      </c>
      <c r="I62" s="420"/>
    </row>
    <row r="63" spans="1:9" x14ac:dyDescent="0.25">
      <c r="A63" s="353">
        <f t="shared" si="3"/>
        <v>62</v>
      </c>
      <c r="B63" s="314" t="s">
        <v>1096</v>
      </c>
      <c r="C63" s="340">
        <v>4</v>
      </c>
      <c r="D63" s="10">
        <v>5.48</v>
      </c>
      <c r="E63" s="7">
        <v>10</v>
      </c>
      <c r="F63" s="354">
        <f t="shared" si="0"/>
        <v>0.45199999999999996</v>
      </c>
      <c r="G63" s="355">
        <f t="shared" si="1"/>
        <v>21.92</v>
      </c>
      <c r="H63" s="416">
        <f t="shared" si="2"/>
        <v>40</v>
      </c>
      <c r="I63" s="422"/>
    </row>
    <row r="64" spans="1:9" x14ac:dyDescent="0.25">
      <c r="A64" s="353">
        <f t="shared" si="3"/>
        <v>63</v>
      </c>
      <c r="B64" s="314" t="s">
        <v>824</v>
      </c>
      <c r="C64" s="415">
        <v>13</v>
      </c>
      <c r="D64" s="10">
        <v>2.9950000000000001</v>
      </c>
      <c r="E64" s="7">
        <v>5</v>
      </c>
      <c r="F64" s="354">
        <f t="shared" si="0"/>
        <v>0.40099999999999997</v>
      </c>
      <c r="G64" s="355">
        <f t="shared" si="1"/>
        <v>38.935000000000002</v>
      </c>
      <c r="H64" s="416">
        <f t="shared" si="2"/>
        <v>65</v>
      </c>
      <c r="I64" s="422"/>
    </row>
    <row r="65" spans="1:9" x14ac:dyDescent="0.25">
      <c r="A65" s="353">
        <f t="shared" si="3"/>
        <v>64</v>
      </c>
      <c r="B65" s="314"/>
      <c r="C65" s="415"/>
      <c r="D65" s="10"/>
      <c r="E65" s="7"/>
      <c r="F65" s="354" t="e">
        <f>(E65-D65)/(E65)</f>
        <v>#DIV/0!</v>
      </c>
      <c r="G65" s="355">
        <f>D65*C65</f>
        <v>0</v>
      </c>
      <c r="H65" s="416">
        <f>E65*C65</f>
        <v>0</v>
      </c>
      <c r="I65" s="422"/>
    </row>
    <row r="66" spans="1:9" x14ac:dyDescent="0.25">
      <c r="A66" s="353">
        <f t="shared" si="3"/>
        <v>65</v>
      </c>
      <c r="B66" s="314"/>
      <c r="C66" s="415"/>
      <c r="D66" s="10"/>
      <c r="E66" s="7"/>
      <c r="F66" s="354" t="e">
        <f>(E66-D66)/(E66)</f>
        <v>#DIV/0!</v>
      </c>
      <c r="G66" s="355">
        <f>D66*C66</f>
        <v>0</v>
      </c>
      <c r="H66" s="416">
        <f>E66*C66</f>
        <v>0</v>
      </c>
      <c r="I66" s="425"/>
    </row>
    <row r="67" spans="1:9" x14ac:dyDescent="0.25">
      <c r="A67" s="353">
        <f t="shared" si="3"/>
        <v>66</v>
      </c>
      <c r="B67" s="314"/>
      <c r="C67" s="340"/>
      <c r="D67" s="10"/>
      <c r="E67" s="7"/>
      <c r="F67" s="141"/>
      <c r="G67" s="142"/>
      <c r="H67" s="417"/>
      <c r="I67" s="425"/>
    </row>
    <row r="68" spans="1:9" x14ac:dyDescent="0.25">
      <c r="A68" s="353">
        <f t="shared" ref="A68:A76" si="4">A67+1</f>
        <v>67</v>
      </c>
      <c r="B68" s="314"/>
      <c r="C68" s="349"/>
      <c r="D68" s="349"/>
      <c r="E68" s="356"/>
      <c r="F68" s="326"/>
      <c r="G68" s="357">
        <f>SUM(G2:G67)</f>
        <v>2867.8750000000009</v>
      </c>
      <c r="H68" s="418">
        <f>SUM(H2:H67)</f>
        <v>5322.8549999999996</v>
      </c>
      <c r="I68" s="425"/>
    </row>
    <row r="69" spans="1:9" x14ac:dyDescent="0.25">
      <c r="A69" s="353">
        <f t="shared" si="4"/>
        <v>68</v>
      </c>
      <c r="I69" s="425"/>
    </row>
    <row r="70" spans="1:9" x14ac:dyDescent="0.25">
      <c r="A70" s="353">
        <f t="shared" si="4"/>
        <v>69</v>
      </c>
      <c r="G70" s="401">
        <f>H68-G68</f>
        <v>2454.9799999999987</v>
      </c>
      <c r="I70" s="425"/>
    </row>
    <row r="71" spans="1:9" x14ac:dyDescent="0.25">
      <c r="A71" s="353">
        <f t="shared" si="4"/>
        <v>70</v>
      </c>
      <c r="I71" s="425"/>
    </row>
    <row r="72" spans="1:9" x14ac:dyDescent="0.25">
      <c r="A72" s="353">
        <f t="shared" si="4"/>
        <v>71</v>
      </c>
      <c r="G72" s="32">
        <f>G70/H68</f>
        <v>0.46121489313535663</v>
      </c>
      <c r="I72" s="425"/>
    </row>
    <row r="73" spans="1:9" x14ac:dyDescent="0.25">
      <c r="A73" s="353">
        <f t="shared" si="4"/>
        <v>72</v>
      </c>
      <c r="I73" s="425"/>
    </row>
    <row r="74" spans="1:9" x14ac:dyDescent="0.25">
      <c r="A74" s="353">
        <f t="shared" si="4"/>
        <v>73</v>
      </c>
      <c r="I74" s="425"/>
    </row>
    <row r="75" spans="1:9" x14ac:dyDescent="0.25">
      <c r="A75" s="353">
        <f t="shared" si="4"/>
        <v>74</v>
      </c>
      <c r="I75" s="425"/>
    </row>
    <row r="76" spans="1:9" x14ac:dyDescent="0.25">
      <c r="A76" s="353">
        <f t="shared" si="4"/>
        <v>75</v>
      </c>
      <c r="I76" s="425"/>
    </row>
    <row r="77" spans="1:9" x14ac:dyDescent="0.25">
      <c r="A77" s="353">
        <f>A76+1</f>
        <v>76</v>
      </c>
      <c r="I77" s="425"/>
    </row>
    <row r="78" spans="1:9" x14ac:dyDescent="0.25">
      <c r="A78" s="353">
        <f t="shared" ref="A78:A90" si="5">A77+1</f>
        <v>77</v>
      </c>
      <c r="I78" s="422"/>
    </row>
    <row r="79" spans="1:9" x14ac:dyDescent="0.25">
      <c r="A79" s="353">
        <f t="shared" si="5"/>
        <v>78</v>
      </c>
      <c r="I79" s="422"/>
    </row>
    <row r="80" spans="1:9" x14ac:dyDescent="0.25">
      <c r="A80" s="353">
        <f t="shared" si="5"/>
        <v>79</v>
      </c>
      <c r="I80" s="422"/>
    </row>
    <row r="81" spans="1:9" x14ac:dyDescent="0.25">
      <c r="A81" s="353">
        <f t="shared" si="5"/>
        <v>80</v>
      </c>
      <c r="I81" s="422"/>
    </row>
    <row r="82" spans="1:9" x14ac:dyDescent="0.25">
      <c r="A82" s="353">
        <f t="shared" si="5"/>
        <v>81</v>
      </c>
      <c r="I82" s="422"/>
    </row>
    <row r="83" spans="1:9" x14ac:dyDescent="0.25">
      <c r="A83" s="353">
        <f t="shared" si="5"/>
        <v>82</v>
      </c>
    </row>
    <row r="84" spans="1:9" x14ac:dyDescent="0.25">
      <c r="A84" s="353">
        <f t="shared" si="5"/>
        <v>83</v>
      </c>
    </row>
    <row r="85" spans="1:9" x14ac:dyDescent="0.25">
      <c r="A85" s="353">
        <f t="shared" si="5"/>
        <v>84</v>
      </c>
    </row>
    <row r="86" spans="1:9" x14ac:dyDescent="0.25">
      <c r="A86" s="353">
        <f t="shared" si="5"/>
        <v>85</v>
      </c>
    </row>
    <row r="87" spans="1:9" x14ac:dyDescent="0.25">
      <c r="A87" s="353">
        <f t="shared" si="5"/>
        <v>86</v>
      </c>
    </row>
    <row r="88" spans="1:9" x14ac:dyDescent="0.25">
      <c r="A88" s="353">
        <f t="shared" si="5"/>
        <v>87</v>
      </c>
    </row>
    <row r="89" spans="1:9" x14ac:dyDescent="0.25">
      <c r="A89" s="353">
        <f t="shared" si="5"/>
        <v>88</v>
      </c>
    </row>
    <row r="90" spans="1:9" x14ac:dyDescent="0.25">
      <c r="A90" s="353">
        <f t="shared" si="5"/>
        <v>89</v>
      </c>
    </row>
  </sheetData>
  <autoFilter ref="A1:I90"/>
  <sortState ref="B3:H64">
    <sortCondition ref="B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0"/>
  <dimension ref="A1:AF156"/>
  <sheetViews>
    <sheetView zoomScaleNormal="100" workbookViewId="0">
      <pane ySplit="1" topLeftCell="A44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28515625" style="13" customWidth="1"/>
    <col min="2" max="2" width="49" style="13" customWidth="1"/>
    <col min="3" max="3" width="5" style="13" customWidth="1"/>
    <col min="4" max="4" width="3.5703125" style="378" customWidth="1"/>
    <col min="5" max="5" width="3.28515625" style="488" customWidth="1"/>
    <col min="6" max="6" width="3.28515625" style="378" customWidth="1"/>
    <col min="7" max="7" width="3.42578125" style="488" customWidth="1"/>
    <col min="8" max="8" width="3.42578125" style="378" customWidth="1"/>
    <col min="9" max="9" width="3.5703125" style="488" customWidth="1"/>
    <col min="10" max="10" width="3.140625" style="378" customWidth="1"/>
    <col min="11" max="11" width="3.42578125" style="488" customWidth="1"/>
    <col min="12" max="12" width="3.42578125" style="378" customWidth="1"/>
    <col min="13" max="13" width="3.140625" style="488" customWidth="1"/>
    <col min="14" max="14" width="3.42578125" style="564" customWidth="1"/>
    <col min="15" max="15" width="4.7109375" style="13" customWidth="1"/>
    <col min="16" max="16" width="5.140625" style="315" customWidth="1"/>
    <col min="17" max="17" width="7.5703125" style="13" customWidth="1"/>
    <col min="18" max="18" width="8.42578125" style="13" customWidth="1"/>
    <col min="19" max="19" width="7.5703125" style="13" customWidth="1"/>
    <col min="20" max="20" width="3.7109375" style="13" customWidth="1"/>
    <col min="21" max="21" width="3" style="13" customWidth="1"/>
    <col min="22" max="22" width="7.42578125" style="13" bestFit="1" customWidth="1"/>
    <col min="23" max="23" width="4" style="13" customWidth="1"/>
    <col min="24" max="24" width="3.28515625" style="13" customWidth="1"/>
    <col min="25" max="26" width="3.7109375" style="315" customWidth="1"/>
    <col min="27" max="27" width="4" style="13" customWidth="1"/>
    <col min="28" max="28" width="4.28515625" style="13" customWidth="1"/>
    <col min="29" max="30" width="4" style="13" customWidth="1"/>
    <col min="31" max="31" width="4.5703125" style="294" hidden="1" customWidth="1"/>
    <col min="32" max="16384" width="11.42578125" style="13"/>
  </cols>
  <sheetData>
    <row r="1" spans="1:32" ht="87.75" customHeight="1" x14ac:dyDescent="0.25">
      <c r="A1" s="1" t="s">
        <v>0</v>
      </c>
      <c r="B1" s="1" t="s">
        <v>1</v>
      </c>
      <c r="C1" s="2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182" t="s">
        <v>4</v>
      </c>
      <c r="P1" s="307" t="s">
        <v>110</v>
      </c>
      <c r="Q1" s="183" t="s">
        <v>5</v>
      </c>
      <c r="R1" s="272" t="s">
        <v>111</v>
      </c>
      <c r="S1" s="553" t="s">
        <v>107</v>
      </c>
      <c r="T1" s="277" t="s">
        <v>539</v>
      </c>
      <c r="U1" s="278" t="s">
        <v>540</v>
      </c>
      <c r="V1" s="554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  <c r="AE1" s="460" t="s">
        <v>117</v>
      </c>
      <c r="AF1" s="461"/>
    </row>
    <row r="2" spans="1:32" x14ac:dyDescent="0.25">
      <c r="A2" s="116">
        <v>1</v>
      </c>
      <c r="B2" s="314" t="s">
        <v>622</v>
      </c>
      <c r="C2" s="413">
        <v>3</v>
      </c>
      <c r="D2" s="363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2">
        <f t="shared" ref="O2:O64" si="0">SUM(C2-D2-E2-F2-G2-H2-I2-J2-K2-L2-M2-N2)</f>
        <v>3</v>
      </c>
      <c r="P2" s="692">
        <f t="shared" ref="P2:P64" si="1">AD2-O2</f>
        <v>7</v>
      </c>
      <c r="Q2" s="44">
        <v>29</v>
      </c>
      <c r="R2" s="64"/>
      <c r="S2" s="83">
        <v>46143</v>
      </c>
      <c r="T2" s="315">
        <v>2</v>
      </c>
      <c r="U2" s="318"/>
      <c r="V2" s="83">
        <v>45597</v>
      </c>
      <c r="W2" s="315">
        <v>1</v>
      </c>
      <c r="X2" s="315">
        <v>1</v>
      </c>
      <c r="Y2" s="315">
        <v>2</v>
      </c>
      <c r="Z2" s="315">
        <v>1</v>
      </c>
      <c r="AA2" s="184">
        <f t="shared" ref="AA2:AA64" si="2">W2+X2+Y2+Z2</f>
        <v>5</v>
      </c>
      <c r="AB2" s="185">
        <f t="shared" ref="AB2:AB64" si="3">AA2/4</f>
        <v>1.25</v>
      </c>
      <c r="AC2" s="185">
        <f t="shared" ref="AC2:AC64" si="4">AB2*4</f>
        <v>5</v>
      </c>
      <c r="AD2" s="185">
        <f>AC2*2</f>
        <v>10</v>
      </c>
      <c r="AE2" s="185">
        <f>AD2*2</f>
        <v>20</v>
      </c>
    </row>
    <row r="3" spans="1:32" x14ac:dyDescent="0.25">
      <c r="A3" s="315">
        <f>A2+1</f>
        <v>2</v>
      </c>
      <c r="B3" s="314" t="s">
        <v>980</v>
      </c>
      <c r="C3" s="415">
        <v>3</v>
      </c>
      <c r="D3" s="363"/>
      <c r="E3" s="478"/>
      <c r="F3" s="359"/>
      <c r="G3" s="478"/>
      <c r="H3" s="359"/>
      <c r="I3" s="478"/>
      <c r="J3" s="359"/>
      <c r="K3" s="478"/>
      <c r="L3" s="359"/>
      <c r="M3" s="478"/>
      <c r="N3" s="561"/>
      <c r="O3" s="342">
        <f t="shared" si="0"/>
        <v>3</v>
      </c>
      <c r="P3" s="342">
        <f t="shared" si="1"/>
        <v>-3</v>
      </c>
      <c r="Q3" s="7">
        <v>29</v>
      </c>
      <c r="R3" s="66"/>
      <c r="S3" s="83">
        <v>46296</v>
      </c>
      <c r="T3" s="315">
        <v>0</v>
      </c>
      <c r="U3" s="318"/>
      <c r="V3" s="83">
        <v>45536</v>
      </c>
      <c r="W3" s="315"/>
      <c r="X3" s="315"/>
      <c r="AA3" s="184">
        <f t="shared" si="2"/>
        <v>0</v>
      </c>
      <c r="AB3" s="185">
        <f t="shared" si="3"/>
        <v>0</v>
      </c>
      <c r="AC3" s="185">
        <f t="shared" si="4"/>
        <v>0</v>
      </c>
      <c r="AD3" s="185">
        <f t="shared" ref="AD3:AD64" si="5">AC3*2</f>
        <v>0</v>
      </c>
    </row>
    <row r="4" spans="1:32" x14ac:dyDescent="0.25">
      <c r="A4" s="315">
        <f t="shared" ref="A4:A65" si="6">A3+1</f>
        <v>3</v>
      </c>
      <c r="B4" s="314" t="s">
        <v>1386</v>
      </c>
      <c r="C4" s="413">
        <v>2</v>
      </c>
      <c r="D4" s="359"/>
      <c r="E4" s="478"/>
      <c r="F4" s="359"/>
      <c r="G4" s="478"/>
      <c r="H4" s="359"/>
      <c r="I4" s="478"/>
      <c r="J4" s="359"/>
      <c r="K4" s="478"/>
      <c r="L4" s="359"/>
      <c r="M4" s="478"/>
      <c r="N4" s="561"/>
      <c r="O4" s="342">
        <f t="shared" si="0"/>
        <v>2</v>
      </c>
      <c r="P4" s="692">
        <f t="shared" si="1"/>
        <v>12</v>
      </c>
      <c r="Q4" s="7">
        <v>4</v>
      </c>
      <c r="R4" s="64"/>
      <c r="S4" s="118"/>
      <c r="T4" s="316">
        <v>3</v>
      </c>
      <c r="U4" s="316"/>
      <c r="V4" s="199">
        <v>45566</v>
      </c>
      <c r="W4" s="309">
        <v>1</v>
      </c>
      <c r="X4" s="107">
        <v>3</v>
      </c>
      <c r="Y4" s="309">
        <v>1</v>
      </c>
      <c r="Z4" s="429">
        <v>2</v>
      </c>
      <c r="AA4" s="184">
        <f t="shared" si="2"/>
        <v>7</v>
      </c>
      <c r="AB4" s="185">
        <f t="shared" si="3"/>
        <v>1.75</v>
      </c>
      <c r="AC4" s="185">
        <f t="shared" si="4"/>
        <v>7</v>
      </c>
      <c r="AD4" s="185">
        <f t="shared" si="5"/>
        <v>14</v>
      </c>
      <c r="AE4" s="293">
        <v>0</v>
      </c>
    </row>
    <row r="5" spans="1:32" x14ac:dyDescent="0.25">
      <c r="A5" s="315">
        <f t="shared" si="6"/>
        <v>4</v>
      </c>
      <c r="B5" s="314" t="s">
        <v>670</v>
      </c>
      <c r="C5" s="435">
        <v>3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2">
        <f t="shared" si="0"/>
        <v>3</v>
      </c>
      <c r="P5" s="692">
        <f t="shared" si="1"/>
        <v>13</v>
      </c>
      <c r="Q5" s="7">
        <v>10</v>
      </c>
      <c r="R5" s="64"/>
      <c r="S5" s="118">
        <v>46327</v>
      </c>
      <c r="T5" s="316">
        <v>3</v>
      </c>
      <c r="U5" s="316"/>
      <c r="V5" s="199">
        <v>45658</v>
      </c>
      <c r="W5" s="107">
        <v>1</v>
      </c>
      <c r="X5" s="107">
        <v>5</v>
      </c>
      <c r="Y5" s="309">
        <v>1</v>
      </c>
      <c r="Z5" s="309">
        <v>1</v>
      </c>
      <c r="AA5" s="184">
        <f t="shared" si="2"/>
        <v>8</v>
      </c>
      <c r="AB5" s="185">
        <f t="shared" si="3"/>
        <v>2</v>
      </c>
      <c r="AC5" s="185">
        <f t="shared" si="4"/>
        <v>8</v>
      </c>
      <c r="AD5" s="185">
        <f t="shared" si="5"/>
        <v>16</v>
      </c>
      <c r="AE5" s="293">
        <v>0</v>
      </c>
    </row>
    <row r="6" spans="1:32" x14ac:dyDescent="0.25">
      <c r="A6" s="315">
        <f t="shared" si="6"/>
        <v>5</v>
      </c>
      <c r="B6" s="314" t="s">
        <v>786</v>
      </c>
      <c r="C6" s="413">
        <v>2</v>
      </c>
      <c r="D6" s="367"/>
      <c r="E6" s="479"/>
      <c r="F6" s="367"/>
      <c r="G6" s="479"/>
      <c r="H6" s="367"/>
      <c r="I6" s="479"/>
      <c r="J6" s="367"/>
      <c r="K6" s="479"/>
      <c r="L6" s="367"/>
      <c r="M6" s="479"/>
      <c r="N6" s="570"/>
      <c r="O6" s="342">
        <f t="shared" si="0"/>
        <v>2</v>
      </c>
      <c r="P6" s="692">
        <f t="shared" si="1"/>
        <v>6</v>
      </c>
      <c r="Q6" s="7">
        <v>5</v>
      </c>
      <c r="R6" s="109"/>
      <c r="S6" s="197">
        <v>46113</v>
      </c>
      <c r="T6" s="310">
        <v>10</v>
      </c>
      <c r="U6" s="310"/>
      <c r="V6" s="197">
        <v>45627</v>
      </c>
      <c r="W6" s="309">
        <v>1</v>
      </c>
      <c r="X6" s="189">
        <v>1</v>
      </c>
      <c r="Y6" s="189">
        <v>1</v>
      </c>
      <c r="Z6" s="189">
        <v>1</v>
      </c>
      <c r="AA6" s="184">
        <f t="shared" si="2"/>
        <v>4</v>
      </c>
      <c r="AB6" s="185">
        <f t="shared" si="3"/>
        <v>1</v>
      </c>
      <c r="AC6" s="185">
        <f t="shared" si="4"/>
        <v>4</v>
      </c>
      <c r="AD6" s="185">
        <f t="shared" si="5"/>
        <v>8</v>
      </c>
      <c r="AE6" s="293">
        <v>58</v>
      </c>
    </row>
    <row r="7" spans="1:32" x14ac:dyDescent="0.25">
      <c r="A7" s="315">
        <f t="shared" si="6"/>
        <v>6</v>
      </c>
      <c r="B7" s="314" t="s">
        <v>752</v>
      </c>
      <c r="C7" s="413">
        <v>1</v>
      </c>
      <c r="D7" s="402"/>
      <c r="E7" s="478"/>
      <c r="F7" s="359"/>
      <c r="G7" s="478"/>
      <c r="H7" s="359"/>
      <c r="I7" s="478"/>
      <c r="J7" s="359"/>
      <c r="K7" s="478"/>
      <c r="L7" s="359"/>
      <c r="M7" s="478"/>
      <c r="N7" s="561"/>
      <c r="O7" s="342">
        <f t="shared" si="0"/>
        <v>1</v>
      </c>
      <c r="P7" s="692">
        <f t="shared" si="1"/>
        <v>1</v>
      </c>
      <c r="Q7" s="7">
        <v>15</v>
      </c>
      <c r="R7" s="64"/>
      <c r="S7" s="315"/>
      <c r="T7" s="315">
        <v>2</v>
      </c>
      <c r="U7" s="318"/>
      <c r="V7" s="83">
        <v>45292</v>
      </c>
      <c r="W7" s="315"/>
      <c r="X7" s="315"/>
      <c r="Z7" s="315">
        <v>1</v>
      </c>
      <c r="AA7" s="184">
        <f t="shared" si="2"/>
        <v>1</v>
      </c>
      <c r="AB7" s="185">
        <f t="shared" si="3"/>
        <v>0.25</v>
      </c>
      <c r="AC7" s="185">
        <f t="shared" si="4"/>
        <v>1</v>
      </c>
      <c r="AD7" s="185">
        <f t="shared" si="5"/>
        <v>2</v>
      </c>
      <c r="AE7" s="293">
        <v>16</v>
      </c>
    </row>
    <row r="8" spans="1:32" x14ac:dyDescent="0.25">
      <c r="A8" s="315">
        <f t="shared" si="6"/>
        <v>7</v>
      </c>
      <c r="B8" s="314" t="s">
        <v>41</v>
      </c>
      <c r="C8" s="413">
        <v>2</v>
      </c>
      <c r="D8" s="363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42">
        <f t="shared" si="0"/>
        <v>2</v>
      </c>
      <c r="P8" s="692">
        <f t="shared" si="1"/>
        <v>2</v>
      </c>
      <c r="Q8" s="7">
        <v>53</v>
      </c>
      <c r="R8" s="63"/>
      <c r="S8" s="118">
        <v>46447</v>
      </c>
      <c r="T8" s="322">
        <v>0</v>
      </c>
      <c r="U8" s="316"/>
      <c r="V8" s="199">
        <v>45566</v>
      </c>
      <c r="W8" s="309"/>
      <c r="X8" s="107">
        <v>1</v>
      </c>
      <c r="Y8" s="309">
        <v>1</v>
      </c>
      <c r="Z8" s="429"/>
      <c r="AA8" s="184">
        <f t="shared" si="2"/>
        <v>2</v>
      </c>
      <c r="AB8" s="185">
        <f t="shared" si="3"/>
        <v>0.5</v>
      </c>
      <c r="AC8" s="185">
        <f t="shared" si="4"/>
        <v>2</v>
      </c>
      <c r="AD8" s="185">
        <f t="shared" si="5"/>
        <v>4</v>
      </c>
      <c r="AE8" s="293">
        <v>4</v>
      </c>
    </row>
    <row r="9" spans="1:32" x14ac:dyDescent="0.25">
      <c r="A9" s="315">
        <f t="shared" si="6"/>
        <v>8</v>
      </c>
      <c r="B9" s="314" t="s">
        <v>779</v>
      </c>
      <c r="C9" s="413">
        <v>2</v>
      </c>
      <c r="D9" s="363"/>
      <c r="E9" s="480"/>
      <c r="F9" s="360"/>
      <c r="G9" s="480"/>
      <c r="H9" s="360"/>
      <c r="I9" s="480"/>
      <c r="J9" s="360"/>
      <c r="K9" s="480"/>
      <c r="L9" s="360"/>
      <c r="M9" s="480"/>
      <c r="N9" s="562"/>
      <c r="O9" s="342">
        <f t="shared" si="0"/>
        <v>2</v>
      </c>
      <c r="P9" s="692">
        <f t="shared" si="1"/>
        <v>4</v>
      </c>
      <c r="Q9" s="7">
        <v>20</v>
      </c>
      <c r="R9" s="64"/>
      <c r="S9" s="285">
        <v>46296</v>
      </c>
      <c r="T9" s="318">
        <v>0</v>
      </c>
      <c r="U9" s="316"/>
      <c r="V9" s="83">
        <v>45536</v>
      </c>
      <c r="W9" s="321">
        <v>1</v>
      </c>
      <c r="X9" s="316">
        <v>1</v>
      </c>
      <c r="Y9" s="316">
        <v>1</v>
      </c>
      <c r="Z9" s="316"/>
      <c r="AA9" s="184">
        <f t="shared" si="2"/>
        <v>3</v>
      </c>
      <c r="AB9" s="185">
        <f t="shared" si="3"/>
        <v>0.75</v>
      </c>
      <c r="AC9" s="185">
        <f t="shared" si="4"/>
        <v>3</v>
      </c>
      <c r="AD9" s="185">
        <f t="shared" si="5"/>
        <v>6</v>
      </c>
    </row>
    <row r="10" spans="1:32" ht="16.5" customHeight="1" x14ac:dyDescent="0.25">
      <c r="A10" s="315">
        <f t="shared" si="6"/>
        <v>9</v>
      </c>
      <c r="B10" s="314" t="s">
        <v>981</v>
      </c>
      <c r="C10" s="415">
        <v>3</v>
      </c>
      <c r="D10" s="363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2">
        <f t="shared" si="0"/>
        <v>3</v>
      </c>
      <c r="P10" s="342">
        <f t="shared" si="1"/>
        <v>-3</v>
      </c>
      <c r="Q10" s="7">
        <v>59</v>
      </c>
      <c r="R10" s="66"/>
      <c r="S10" s="83">
        <v>45992</v>
      </c>
      <c r="T10" s="315">
        <v>0</v>
      </c>
      <c r="U10" s="318"/>
      <c r="V10" s="83">
        <v>45536</v>
      </c>
      <c r="W10" s="315"/>
      <c r="X10" s="315"/>
      <c r="AA10" s="184">
        <f t="shared" si="2"/>
        <v>0</v>
      </c>
      <c r="AB10" s="185">
        <f t="shared" si="3"/>
        <v>0</v>
      </c>
      <c r="AC10" s="185">
        <f t="shared" si="4"/>
        <v>0</v>
      </c>
      <c r="AD10" s="185">
        <f t="shared" si="5"/>
        <v>0</v>
      </c>
      <c r="AE10" s="293">
        <v>0</v>
      </c>
    </row>
    <row r="11" spans="1:32" x14ac:dyDescent="0.25">
      <c r="A11" s="315">
        <f t="shared" si="6"/>
        <v>10</v>
      </c>
      <c r="B11" s="314" t="s">
        <v>1089</v>
      </c>
      <c r="C11" s="340">
        <v>9</v>
      </c>
      <c r="D11" s="359"/>
      <c r="E11" s="478">
        <v>1</v>
      </c>
      <c r="F11" s="359">
        <v>2</v>
      </c>
      <c r="G11" s="478">
        <v>1</v>
      </c>
      <c r="H11" s="359"/>
      <c r="I11" s="478"/>
      <c r="J11" s="359"/>
      <c r="K11" s="478"/>
      <c r="L11" s="359"/>
      <c r="M11" s="478"/>
      <c r="N11" s="561"/>
      <c r="O11" s="342">
        <f t="shared" si="0"/>
        <v>5</v>
      </c>
      <c r="P11" s="692">
        <f t="shared" si="1"/>
        <v>33</v>
      </c>
      <c r="Q11" s="7">
        <v>30</v>
      </c>
      <c r="R11" s="459" t="s">
        <v>1088</v>
      </c>
      <c r="S11" s="198">
        <v>46296</v>
      </c>
      <c r="T11" s="318">
        <v>21</v>
      </c>
      <c r="U11" s="318"/>
      <c r="V11" s="199">
        <v>45689</v>
      </c>
      <c r="W11" s="309">
        <v>3</v>
      </c>
      <c r="X11" s="309">
        <v>7</v>
      </c>
      <c r="Y11" s="309">
        <v>4</v>
      </c>
      <c r="Z11" s="429">
        <v>5</v>
      </c>
      <c r="AA11" s="184">
        <f t="shared" si="2"/>
        <v>19</v>
      </c>
      <c r="AB11" s="185">
        <f t="shared" si="3"/>
        <v>4.75</v>
      </c>
      <c r="AC11" s="185">
        <f t="shared" si="4"/>
        <v>19</v>
      </c>
      <c r="AD11" s="185">
        <f t="shared" si="5"/>
        <v>38</v>
      </c>
      <c r="AE11" s="293">
        <v>4</v>
      </c>
    </row>
    <row r="12" spans="1:32" x14ac:dyDescent="0.25">
      <c r="A12" s="315">
        <f t="shared" si="6"/>
        <v>11</v>
      </c>
      <c r="B12" s="314" t="s">
        <v>591</v>
      </c>
      <c r="C12" s="414">
        <v>6</v>
      </c>
      <c r="D12" s="359"/>
      <c r="E12" s="478"/>
      <c r="F12" s="360"/>
      <c r="G12" s="480"/>
      <c r="H12" s="360"/>
      <c r="I12" s="480"/>
      <c r="J12" s="360"/>
      <c r="K12" s="480"/>
      <c r="L12" s="360"/>
      <c r="M12" s="480"/>
      <c r="N12" s="562"/>
      <c r="O12" s="342">
        <f t="shared" si="0"/>
        <v>6</v>
      </c>
      <c r="P12" s="692">
        <f t="shared" si="1"/>
        <v>16</v>
      </c>
      <c r="Q12" s="7">
        <v>22</v>
      </c>
      <c r="R12" s="63"/>
      <c r="S12" s="118">
        <v>45931</v>
      </c>
      <c r="T12" s="316">
        <v>0</v>
      </c>
      <c r="U12" s="316"/>
      <c r="V12" s="344">
        <v>45627</v>
      </c>
      <c r="W12" s="309">
        <v>4</v>
      </c>
      <c r="X12" s="309">
        <v>3</v>
      </c>
      <c r="Y12" s="309">
        <v>1</v>
      </c>
      <c r="Z12" s="309">
        <v>3</v>
      </c>
      <c r="AA12" s="184">
        <f t="shared" si="2"/>
        <v>11</v>
      </c>
      <c r="AB12" s="185">
        <f t="shared" si="3"/>
        <v>2.75</v>
      </c>
      <c r="AC12" s="185">
        <f t="shared" si="4"/>
        <v>11</v>
      </c>
      <c r="AD12" s="185">
        <f t="shared" si="5"/>
        <v>22</v>
      </c>
      <c r="AE12" s="293">
        <v>0</v>
      </c>
    </row>
    <row r="13" spans="1:32" ht="15" customHeight="1" x14ac:dyDescent="0.25">
      <c r="A13" s="315">
        <f t="shared" si="6"/>
        <v>12</v>
      </c>
      <c r="B13" s="314" t="s">
        <v>787</v>
      </c>
      <c r="C13" s="413">
        <v>1</v>
      </c>
      <c r="D13" s="363"/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342">
        <f t="shared" si="0"/>
        <v>1</v>
      </c>
      <c r="P13" s="707">
        <v>4</v>
      </c>
      <c r="Q13" s="7">
        <v>20</v>
      </c>
      <c r="R13" s="64"/>
      <c r="S13" s="271">
        <v>46296</v>
      </c>
      <c r="T13" s="315">
        <v>0</v>
      </c>
      <c r="U13" s="318"/>
      <c r="V13" s="83">
        <v>45658</v>
      </c>
      <c r="W13" s="315">
        <v>1</v>
      </c>
      <c r="X13" s="315">
        <v>1</v>
      </c>
      <c r="Y13" s="315">
        <v>1</v>
      </c>
      <c r="Z13" s="315">
        <v>2</v>
      </c>
      <c r="AA13" s="184">
        <f t="shared" si="2"/>
        <v>5</v>
      </c>
      <c r="AB13" s="185">
        <f t="shared" si="3"/>
        <v>1.25</v>
      </c>
      <c r="AC13" s="185">
        <f t="shared" si="4"/>
        <v>5</v>
      </c>
      <c r="AD13" s="185">
        <f t="shared" si="5"/>
        <v>10</v>
      </c>
      <c r="AE13" s="293">
        <v>4</v>
      </c>
    </row>
    <row r="14" spans="1:32" x14ac:dyDescent="0.25">
      <c r="A14" s="315">
        <f t="shared" si="6"/>
        <v>13</v>
      </c>
      <c r="B14" s="314" t="s">
        <v>621</v>
      </c>
      <c r="C14" s="413">
        <v>0</v>
      </c>
      <c r="D14" s="363"/>
      <c r="E14" s="481"/>
      <c r="F14" s="369"/>
      <c r="G14" s="481"/>
      <c r="H14" s="369"/>
      <c r="I14" s="481"/>
      <c r="J14" s="369"/>
      <c r="K14" s="481"/>
      <c r="L14" s="369"/>
      <c r="M14" s="481"/>
      <c r="N14" s="565"/>
      <c r="O14" s="342">
        <f t="shared" si="0"/>
        <v>0</v>
      </c>
      <c r="P14" s="707">
        <f t="shared" si="1"/>
        <v>12</v>
      </c>
      <c r="Q14" s="44">
        <v>24</v>
      </c>
      <c r="R14" s="64"/>
      <c r="S14" s="529"/>
      <c r="T14" s="315">
        <v>0</v>
      </c>
      <c r="U14" s="318"/>
      <c r="V14" s="118">
        <v>45597</v>
      </c>
      <c r="W14" s="14">
        <v>1</v>
      </c>
      <c r="X14" s="28">
        <v>1</v>
      </c>
      <c r="Y14" s="28">
        <v>2</v>
      </c>
      <c r="Z14" s="28">
        <v>2</v>
      </c>
      <c r="AA14" s="184">
        <f t="shared" si="2"/>
        <v>6</v>
      </c>
      <c r="AB14" s="185">
        <f t="shared" si="3"/>
        <v>1.5</v>
      </c>
      <c r="AC14" s="185">
        <f t="shared" si="4"/>
        <v>6</v>
      </c>
      <c r="AD14" s="185">
        <f t="shared" si="5"/>
        <v>12</v>
      </c>
      <c r="AE14" s="293">
        <v>0</v>
      </c>
    </row>
    <row r="15" spans="1:32" x14ac:dyDescent="0.25">
      <c r="A15" s="315">
        <f t="shared" si="6"/>
        <v>14</v>
      </c>
      <c r="B15" s="314" t="s">
        <v>620</v>
      </c>
      <c r="C15" s="413">
        <v>2</v>
      </c>
      <c r="D15" s="363"/>
      <c r="E15" s="480"/>
      <c r="F15" s="360"/>
      <c r="G15" s="480"/>
      <c r="H15" s="360"/>
      <c r="I15" s="480"/>
      <c r="J15" s="360"/>
      <c r="K15" s="480"/>
      <c r="L15" s="360"/>
      <c r="M15" s="480"/>
      <c r="N15" s="562"/>
      <c r="O15" s="342">
        <f t="shared" si="0"/>
        <v>2</v>
      </c>
      <c r="P15" s="707">
        <v>4</v>
      </c>
      <c r="Q15" s="44">
        <v>17</v>
      </c>
      <c r="R15" s="64"/>
      <c r="S15" s="285">
        <v>46054</v>
      </c>
      <c r="T15" s="315">
        <v>0</v>
      </c>
      <c r="U15" s="318"/>
      <c r="V15" s="118">
        <v>45566</v>
      </c>
      <c r="W15" s="321">
        <v>2</v>
      </c>
      <c r="X15" s="316">
        <v>2</v>
      </c>
      <c r="Y15" s="316">
        <v>1</v>
      </c>
      <c r="Z15" s="316">
        <v>2</v>
      </c>
      <c r="AA15" s="184">
        <f t="shared" si="2"/>
        <v>7</v>
      </c>
      <c r="AB15" s="185">
        <f t="shared" si="3"/>
        <v>1.75</v>
      </c>
      <c r="AC15" s="185">
        <f t="shared" si="4"/>
        <v>7</v>
      </c>
      <c r="AD15" s="185">
        <f t="shared" si="5"/>
        <v>14</v>
      </c>
      <c r="AE15" s="293">
        <v>0</v>
      </c>
    </row>
    <row r="16" spans="1:32" x14ac:dyDescent="0.25">
      <c r="A16" s="315">
        <f t="shared" si="6"/>
        <v>15</v>
      </c>
      <c r="B16" s="651" t="s">
        <v>170</v>
      </c>
      <c r="C16" s="658">
        <v>3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2">
        <f t="shared" si="0"/>
        <v>3</v>
      </c>
      <c r="P16" s="692">
        <f t="shared" si="1"/>
        <v>5</v>
      </c>
      <c r="Q16" s="7">
        <v>15</v>
      </c>
      <c r="R16" s="68"/>
      <c r="S16" s="656">
        <v>45901</v>
      </c>
      <c r="T16" s="318">
        <v>0</v>
      </c>
      <c r="U16" s="318"/>
      <c r="V16" s="118">
        <v>45292</v>
      </c>
      <c r="W16" s="309">
        <v>1</v>
      </c>
      <c r="X16" s="309">
        <v>1</v>
      </c>
      <c r="Y16" s="309">
        <v>1</v>
      </c>
      <c r="Z16" s="429">
        <v>1</v>
      </c>
      <c r="AA16" s="184">
        <f t="shared" si="2"/>
        <v>4</v>
      </c>
      <c r="AB16" s="185">
        <f t="shared" si="3"/>
        <v>1</v>
      </c>
      <c r="AC16" s="185">
        <f t="shared" si="4"/>
        <v>4</v>
      </c>
      <c r="AD16" s="185">
        <f t="shared" si="5"/>
        <v>8</v>
      </c>
      <c r="AE16" s="293">
        <v>0</v>
      </c>
    </row>
    <row r="17" spans="1:31" x14ac:dyDescent="0.25">
      <c r="A17" s="315">
        <f t="shared" si="6"/>
        <v>16</v>
      </c>
      <c r="B17" s="472" t="s">
        <v>624</v>
      </c>
      <c r="C17" s="596">
        <v>0</v>
      </c>
      <c r="D17" s="363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2">
        <f t="shared" si="0"/>
        <v>0</v>
      </c>
      <c r="P17" s="691">
        <f t="shared" si="1"/>
        <v>0</v>
      </c>
      <c r="Q17" s="7">
        <v>16</v>
      </c>
      <c r="R17" s="64"/>
      <c r="S17" s="595"/>
      <c r="T17" s="315">
        <v>0</v>
      </c>
      <c r="U17" s="318"/>
      <c r="V17" s="118"/>
      <c r="W17" s="315"/>
      <c r="X17" s="315"/>
      <c r="AA17" s="184">
        <f t="shared" si="2"/>
        <v>0</v>
      </c>
      <c r="AB17" s="185">
        <f t="shared" si="3"/>
        <v>0</v>
      </c>
      <c r="AC17" s="185">
        <f t="shared" si="4"/>
        <v>0</v>
      </c>
      <c r="AD17" s="185">
        <f t="shared" si="5"/>
        <v>0</v>
      </c>
      <c r="AE17" s="293">
        <v>0</v>
      </c>
    </row>
    <row r="18" spans="1:31" x14ac:dyDescent="0.25">
      <c r="A18" s="315">
        <f t="shared" si="6"/>
        <v>17</v>
      </c>
      <c r="B18" s="314" t="s">
        <v>1175</v>
      </c>
      <c r="C18" s="415">
        <v>84</v>
      </c>
      <c r="D18" s="363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2">
        <f t="shared" si="0"/>
        <v>84</v>
      </c>
      <c r="P18" s="342">
        <f t="shared" si="1"/>
        <v>-52</v>
      </c>
      <c r="Q18" s="338">
        <v>0.25</v>
      </c>
      <c r="R18" s="66"/>
      <c r="S18" s="315"/>
      <c r="T18" s="315">
        <v>0</v>
      </c>
      <c r="U18" s="318"/>
      <c r="V18" s="83">
        <v>45566</v>
      </c>
      <c r="W18" s="315">
        <v>8</v>
      </c>
      <c r="X18" s="315"/>
      <c r="Y18" s="315">
        <v>4</v>
      </c>
      <c r="Z18" s="315">
        <v>4</v>
      </c>
      <c r="AA18" s="184">
        <f t="shared" si="2"/>
        <v>16</v>
      </c>
      <c r="AB18" s="185">
        <f t="shared" si="3"/>
        <v>4</v>
      </c>
      <c r="AC18" s="185">
        <f t="shared" si="4"/>
        <v>16</v>
      </c>
      <c r="AD18" s="185">
        <f t="shared" si="5"/>
        <v>32</v>
      </c>
      <c r="AE18" s="293">
        <v>0</v>
      </c>
    </row>
    <row r="19" spans="1:31" x14ac:dyDescent="0.25">
      <c r="A19" s="315">
        <f t="shared" si="6"/>
        <v>18</v>
      </c>
      <c r="B19" s="314" t="s">
        <v>1177</v>
      </c>
      <c r="C19" s="415">
        <v>2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2">
        <f t="shared" si="0"/>
        <v>2</v>
      </c>
      <c r="P19" s="692">
        <f t="shared" si="1"/>
        <v>4</v>
      </c>
      <c r="Q19" s="7">
        <v>9</v>
      </c>
      <c r="R19" s="63"/>
      <c r="S19" s="344">
        <v>46113</v>
      </c>
      <c r="T19" s="318">
        <v>4</v>
      </c>
      <c r="U19" s="318"/>
      <c r="V19" s="344">
        <v>45566</v>
      </c>
      <c r="W19" s="309">
        <v>1</v>
      </c>
      <c r="X19" s="309"/>
      <c r="Y19" s="309">
        <v>1</v>
      </c>
      <c r="Z19" s="309">
        <v>1</v>
      </c>
      <c r="AA19" s="184">
        <f t="shared" si="2"/>
        <v>3</v>
      </c>
      <c r="AB19" s="185">
        <f t="shared" si="3"/>
        <v>0.75</v>
      </c>
      <c r="AC19" s="185">
        <f t="shared" si="4"/>
        <v>3</v>
      </c>
      <c r="AD19" s="185">
        <f t="shared" si="5"/>
        <v>6</v>
      </c>
    </row>
    <row r="20" spans="1:31" ht="15.75" customHeight="1" x14ac:dyDescent="0.25">
      <c r="A20" s="315">
        <f t="shared" si="6"/>
        <v>19</v>
      </c>
      <c r="B20" s="353" t="s">
        <v>742</v>
      </c>
      <c r="C20" s="415">
        <v>5</v>
      </c>
      <c r="D20" s="376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2">
        <f t="shared" si="0"/>
        <v>5</v>
      </c>
      <c r="P20" s="692">
        <f t="shared" si="1"/>
        <v>7</v>
      </c>
      <c r="Q20" s="7">
        <v>5</v>
      </c>
      <c r="R20" s="315"/>
      <c r="S20" s="83">
        <v>46266</v>
      </c>
      <c r="T20" s="92">
        <v>1</v>
      </c>
      <c r="U20" s="318"/>
      <c r="V20" s="83">
        <v>45566</v>
      </c>
      <c r="W20" s="315">
        <v>1</v>
      </c>
      <c r="X20" s="315">
        <v>1</v>
      </c>
      <c r="Y20" s="315">
        <v>3</v>
      </c>
      <c r="Z20" s="315">
        <v>1</v>
      </c>
      <c r="AA20" s="184">
        <f t="shared" si="2"/>
        <v>6</v>
      </c>
      <c r="AB20" s="185">
        <f t="shared" si="3"/>
        <v>1.5</v>
      </c>
      <c r="AC20" s="185">
        <f t="shared" si="4"/>
        <v>6</v>
      </c>
      <c r="AD20" s="185">
        <f t="shared" si="5"/>
        <v>12</v>
      </c>
    </row>
    <row r="21" spans="1:31" x14ac:dyDescent="0.25">
      <c r="A21" s="315">
        <f t="shared" si="6"/>
        <v>20</v>
      </c>
      <c r="B21" s="651" t="s">
        <v>1090</v>
      </c>
      <c r="C21" s="663">
        <v>4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2">
        <f t="shared" si="0"/>
        <v>4</v>
      </c>
      <c r="P21" s="692">
        <f t="shared" si="1"/>
        <v>10</v>
      </c>
      <c r="Q21" s="7">
        <v>20</v>
      </c>
      <c r="R21" s="63"/>
      <c r="S21" s="659">
        <v>45901</v>
      </c>
      <c r="T21" s="316">
        <v>0</v>
      </c>
      <c r="U21" s="316"/>
      <c r="V21" s="118">
        <v>45352</v>
      </c>
      <c r="W21" s="309">
        <v>2</v>
      </c>
      <c r="X21" s="309">
        <v>2</v>
      </c>
      <c r="Y21" s="309">
        <v>1</v>
      </c>
      <c r="Z21" s="309">
        <v>2</v>
      </c>
      <c r="AA21" s="184">
        <f t="shared" si="2"/>
        <v>7</v>
      </c>
      <c r="AB21" s="185">
        <f t="shared" si="3"/>
        <v>1.75</v>
      </c>
      <c r="AC21" s="185">
        <f t="shared" si="4"/>
        <v>7</v>
      </c>
      <c r="AD21" s="185">
        <f t="shared" si="5"/>
        <v>14</v>
      </c>
    </row>
    <row r="22" spans="1:31" x14ac:dyDescent="0.25">
      <c r="A22" s="315">
        <f t="shared" si="6"/>
        <v>21</v>
      </c>
      <c r="B22" s="314" t="s">
        <v>790</v>
      </c>
      <c r="C22" s="340">
        <v>2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2">
        <f t="shared" si="0"/>
        <v>2</v>
      </c>
      <c r="P22" s="706">
        <v>3</v>
      </c>
      <c r="Q22" s="7">
        <v>80</v>
      </c>
      <c r="R22" s="315"/>
      <c r="S22" s="83">
        <v>46661</v>
      </c>
      <c r="T22" s="315">
        <v>2</v>
      </c>
      <c r="U22" s="318"/>
      <c r="V22" s="118">
        <v>45658</v>
      </c>
      <c r="W22" s="315">
        <v>1</v>
      </c>
      <c r="X22" s="315">
        <v>1</v>
      </c>
      <c r="Y22" s="315">
        <v>1</v>
      </c>
      <c r="Z22" s="315">
        <v>1</v>
      </c>
      <c r="AA22" s="184">
        <f t="shared" si="2"/>
        <v>4</v>
      </c>
      <c r="AB22" s="185">
        <f t="shared" si="3"/>
        <v>1</v>
      </c>
      <c r="AC22" s="185">
        <f t="shared" si="4"/>
        <v>4</v>
      </c>
      <c r="AD22" s="185">
        <f t="shared" si="5"/>
        <v>8</v>
      </c>
    </row>
    <row r="23" spans="1:31" ht="13.5" customHeight="1" x14ac:dyDescent="0.25">
      <c r="A23" s="315">
        <f t="shared" si="6"/>
        <v>22</v>
      </c>
      <c r="B23" s="314" t="s">
        <v>1295</v>
      </c>
      <c r="C23" s="413">
        <v>7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2">
        <f t="shared" si="0"/>
        <v>7</v>
      </c>
      <c r="P23" s="706">
        <v>25</v>
      </c>
      <c r="Q23" s="7">
        <v>17</v>
      </c>
      <c r="R23" s="8"/>
      <c r="S23" s="118">
        <v>46508</v>
      </c>
      <c r="T23" s="316">
        <v>0</v>
      </c>
      <c r="U23" s="316"/>
      <c r="V23" s="118">
        <v>45658</v>
      </c>
      <c r="W23" s="28">
        <v>3</v>
      </c>
      <c r="X23" s="28">
        <v>4</v>
      </c>
      <c r="Y23" s="28">
        <v>9</v>
      </c>
      <c r="Z23" s="28">
        <v>3</v>
      </c>
      <c r="AA23" s="184">
        <f t="shared" si="2"/>
        <v>19</v>
      </c>
      <c r="AB23" s="185">
        <f t="shared" si="3"/>
        <v>4.75</v>
      </c>
      <c r="AC23" s="185">
        <f t="shared" si="4"/>
        <v>19</v>
      </c>
      <c r="AD23" s="185">
        <f t="shared" si="5"/>
        <v>38</v>
      </c>
    </row>
    <row r="24" spans="1:31" x14ac:dyDescent="0.25">
      <c r="A24" s="315">
        <f t="shared" si="6"/>
        <v>23</v>
      </c>
      <c r="B24" s="412" t="s">
        <v>753</v>
      </c>
      <c r="C24" s="415">
        <v>2</v>
      </c>
      <c r="D24" s="359">
        <v>1</v>
      </c>
      <c r="E24" s="478"/>
      <c r="F24" s="359"/>
      <c r="G24" s="478"/>
      <c r="H24" s="359"/>
      <c r="I24" s="478"/>
      <c r="J24" s="359"/>
      <c r="K24" s="478"/>
      <c r="L24" s="359"/>
      <c r="M24" s="478"/>
      <c r="N24" s="561"/>
      <c r="O24" s="342">
        <f t="shared" si="0"/>
        <v>1</v>
      </c>
      <c r="P24" s="692">
        <f t="shared" si="1"/>
        <v>7</v>
      </c>
      <c r="Q24" s="7">
        <v>88</v>
      </c>
      <c r="R24" s="63"/>
      <c r="S24" s="83">
        <v>45809</v>
      </c>
      <c r="T24" s="315">
        <v>1</v>
      </c>
      <c r="U24" s="318"/>
      <c r="V24" s="118">
        <v>45444</v>
      </c>
      <c r="W24" s="315"/>
      <c r="X24" s="315">
        <v>1</v>
      </c>
      <c r="Y24" s="315">
        <v>2</v>
      </c>
      <c r="Z24" s="315">
        <v>1</v>
      </c>
      <c r="AA24" s="184">
        <f t="shared" si="2"/>
        <v>4</v>
      </c>
      <c r="AB24" s="185">
        <f t="shared" si="3"/>
        <v>1</v>
      </c>
      <c r="AC24" s="185">
        <f t="shared" si="4"/>
        <v>4</v>
      </c>
      <c r="AD24" s="185">
        <f t="shared" si="5"/>
        <v>8</v>
      </c>
    </row>
    <row r="25" spans="1:31" x14ac:dyDescent="0.25">
      <c r="A25" s="315">
        <f t="shared" si="6"/>
        <v>24</v>
      </c>
      <c r="B25" s="314" t="s">
        <v>480</v>
      </c>
      <c r="C25" s="413">
        <v>35</v>
      </c>
      <c r="D25" s="359"/>
      <c r="E25" s="478">
        <v>1</v>
      </c>
      <c r="F25" s="359">
        <v>1</v>
      </c>
      <c r="G25" s="478"/>
      <c r="H25" s="359"/>
      <c r="I25" s="478"/>
      <c r="J25" s="359"/>
      <c r="K25" s="478"/>
      <c r="L25" s="359"/>
      <c r="M25" s="478"/>
      <c r="N25" s="561"/>
      <c r="O25" s="342">
        <f t="shared" si="0"/>
        <v>33</v>
      </c>
      <c r="P25" s="706">
        <v>2</v>
      </c>
      <c r="Q25" s="7">
        <v>2.3330000000000002</v>
      </c>
      <c r="R25" s="63"/>
      <c r="S25" s="344">
        <v>46692</v>
      </c>
      <c r="T25" s="318">
        <v>2</v>
      </c>
      <c r="U25" s="318">
        <v>2</v>
      </c>
      <c r="V25" s="118">
        <v>45717</v>
      </c>
      <c r="W25" s="309">
        <v>15</v>
      </c>
      <c r="X25" s="309">
        <v>2</v>
      </c>
      <c r="Y25" s="309">
        <v>15</v>
      </c>
      <c r="Z25" s="309">
        <v>2</v>
      </c>
      <c r="AA25" s="184">
        <f t="shared" si="2"/>
        <v>34</v>
      </c>
      <c r="AB25" s="185">
        <f t="shared" si="3"/>
        <v>8.5</v>
      </c>
      <c r="AC25" s="185">
        <f t="shared" si="4"/>
        <v>34</v>
      </c>
      <c r="AD25" s="185">
        <f t="shared" si="5"/>
        <v>68</v>
      </c>
    </row>
    <row r="26" spans="1:31" x14ac:dyDescent="0.25">
      <c r="A26" s="315">
        <f t="shared" si="6"/>
        <v>25</v>
      </c>
      <c r="B26" s="314" t="s">
        <v>1091</v>
      </c>
      <c r="C26" s="340">
        <v>20</v>
      </c>
      <c r="D26" s="363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42">
        <f t="shared" si="0"/>
        <v>20</v>
      </c>
      <c r="P26" s="692">
        <f t="shared" si="1"/>
        <v>2</v>
      </c>
      <c r="Q26" s="7">
        <v>7</v>
      </c>
      <c r="R26" s="66"/>
      <c r="S26" s="83">
        <v>46266</v>
      </c>
      <c r="T26" s="315">
        <v>0</v>
      </c>
      <c r="U26" s="318"/>
      <c r="V26" s="118">
        <v>45658</v>
      </c>
      <c r="W26" s="315">
        <v>2</v>
      </c>
      <c r="X26" s="315">
        <v>2</v>
      </c>
      <c r="Y26" s="315">
        <v>3</v>
      </c>
      <c r="Z26" s="315">
        <v>4</v>
      </c>
      <c r="AA26" s="184">
        <f t="shared" si="2"/>
        <v>11</v>
      </c>
      <c r="AB26" s="185">
        <f t="shared" si="3"/>
        <v>2.75</v>
      </c>
      <c r="AC26" s="185">
        <f t="shared" si="4"/>
        <v>11</v>
      </c>
      <c r="AD26" s="185">
        <f t="shared" si="5"/>
        <v>22</v>
      </c>
    </row>
    <row r="27" spans="1:31" x14ac:dyDescent="0.25">
      <c r="A27" s="315">
        <f t="shared" si="6"/>
        <v>26</v>
      </c>
      <c r="B27" s="314" t="s">
        <v>834</v>
      </c>
      <c r="C27" s="340">
        <v>6</v>
      </c>
      <c r="D27" s="368"/>
      <c r="E27" s="496"/>
      <c r="F27" s="368"/>
      <c r="G27" s="497"/>
      <c r="H27" s="372">
        <v>1</v>
      </c>
      <c r="I27" s="497"/>
      <c r="J27" s="372"/>
      <c r="K27" s="497"/>
      <c r="L27" s="372"/>
      <c r="M27" s="497"/>
      <c r="N27" s="584"/>
      <c r="O27" s="342">
        <f t="shared" si="0"/>
        <v>5</v>
      </c>
      <c r="P27" s="692">
        <f t="shared" si="1"/>
        <v>9</v>
      </c>
      <c r="Q27" s="7">
        <v>57</v>
      </c>
      <c r="R27" s="8" t="s">
        <v>81</v>
      </c>
      <c r="S27" s="83">
        <v>46266</v>
      </c>
      <c r="T27" s="313">
        <v>0</v>
      </c>
      <c r="U27" s="313">
        <v>6</v>
      </c>
      <c r="V27" s="81">
        <v>45717</v>
      </c>
      <c r="W27" s="28">
        <v>1</v>
      </c>
      <c r="X27" s="28">
        <v>2</v>
      </c>
      <c r="Y27" s="28">
        <v>3</v>
      </c>
      <c r="Z27" s="429">
        <v>1</v>
      </c>
      <c r="AA27" s="184">
        <f t="shared" si="2"/>
        <v>7</v>
      </c>
      <c r="AB27" s="185">
        <f t="shared" si="3"/>
        <v>1.75</v>
      </c>
      <c r="AC27" s="185">
        <f t="shared" si="4"/>
        <v>7</v>
      </c>
      <c r="AD27" s="185">
        <f t="shared" si="5"/>
        <v>14</v>
      </c>
    </row>
    <row r="28" spans="1:31" x14ac:dyDescent="0.25">
      <c r="A28" s="315">
        <f t="shared" si="6"/>
        <v>27</v>
      </c>
      <c r="B28" s="651" t="s">
        <v>788</v>
      </c>
      <c r="C28" s="652">
        <v>2</v>
      </c>
      <c r="D28" s="363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342">
        <f t="shared" si="0"/>
        <v>2</v>
      </c>
      <c r="P28" s="342">
        <f t="shared" si="1"/>
        <v>-2</v>
      </c>
      <c r="Q28" s="7">
        <v>25</v>
      </c>
      <c r="R28" s="64"/>
      <c r="S28" s="654">
        <v>45839</v>
      </c>
      <c r="T28" s="315">
        <v>0</v>
      </c>
      <c r="U28" s="318"/>
      <c r="V28" s="83">
        <v>45323</v>
      </c>
      <c r="W28" s="315"/>
      <c r="X28" s="315"/>
      <c r="AA28" s="184">
        <f t="shared" si="2"/>
        <v>0</v>
      </c>
      <c r="AB28" s="185">
        <f t="shared" si="3"/>
        <v>0</v>
      </c>
      <c r="AC28" s="185">
        <f t="shared" si="4"/>
        <v>0</v>
      </c>
      <c r="AD28" s="185">
        <f t="shared" si="5"/>
        <v>0</v>
      </c>
    </row>
    <row r="29" spans="1:31" x14ac:dyDescent="0.25">
      <c r="A29" s="315">
        <f t="shared" si="6"/>
        <v>28</v>
      </c>
      <c r="B29" s="314" t="s">
        <v>651</v>
      </c>
      <c r="C29" s="413">
        <v>4</v>
      </c>
      <c r="D29" s="363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342">
        <f t="shared" si="0"/>
        <v>4</v>
      </c>
      <c r="P29" s="692">
        <f t="shared" si="1"/>
        <v>14</v>
      </c>
      <c r="Q29" s="7">
        <v>30</v>
      </c>
      <c r="R29" s="8"/>
      <c r="S29" s="83">
        <v>45931</v>
      </c>
      <c r="T29" s="315">
        <v>6</v>
      </c>
      <c r="U29" s="318"/>
      <c r="V29" s="83">
        <v>45536</v>
      </c>
      <c r="W29" s="315">
        <v>1</v>
      </c>
      <c r="X29" s="315">
        <v>6</v>
      </c>
      <c r="Y29" s="315">
        <v>1</v>
      </c>
      <c r="Z29" s="315">
        <v>1</v>
      </c>
      <c r="AA29" s="184">
        <f t="shared" si="2"/>
        <v>9</v>
      </c>
      <c r="AB29" s="185">
        <f t="shared" si="3"/>
        <v>2.25</v>
      </c>
      <c r="AC29" s="185">
        <f t="shared" si="4"/>
        <v>9</v>
      </c>
      <c r="AD29" s="185">
        <f t="shared" si="5"/>
        <v>18</v>
      </c>
    </row>
    <row r="30" spans="1:31" x14ac:dyDescent="0.25">
      <c r="A30" s="315">
        <f t="shared" si="6"/>
        <v>29</v>
      </c>
      <c r="B30" s="314" t="s">
        <v>221</v>
      </c>
      <c r="C30" s="340">
        <v>1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42">
        <f t="shared" si="0"/>
        <v>1</v>
      </c>
      <c r="P30" s="692">
        <f t="shared" si="1"/>
        <v>9</v>
      </c>
      <c r="Q30" s="7">
        <v>32</v>
      </c>
      <c r="R30" s="8"/>
      <c r="S30" s="28"/>
      <c r="T30" s="316">
        <v>4</v>
      </c>
      <c r="U30" s="316"/>
      <c r="V30" s="344">
        <v>45627</v>
      </c>
      <c r="W30" s="309">
        <v>1</v>
      </c>
      <c r="X30" s="309">
        <v>2</v>
      </c>
      <c r="Y30" s="309">
        <v>1</v>
      </c>
      <c r="Z30" s="309">
        <v>1</v>
      </c>
      <c r="AA30" s="184">
        <f t="shared" si="2"/>
        <v>5</v>
      </c>
      <c r="AB30" s="185">
        <f t="shared" si="3"/>
        <v>1.25</v>
      </c>
      <c r="AC30" s="185">
        <f t="shared" si="4"/>
        <v>5</v>
      </c>
      <c r="AD30" s="185">
        <f t="shared" si="5"/>
        <v>10</v>
      </c>
    </row>
    <row r="31" spans="1:31" x14ac:dyDescent="0.25">
      <c r="A31" s="315">
        <f t="shared" si="6"/>
        <v>30</v>
      </c>
      <c r="B31" s="314" t="s">
        <v>94</v>
      </c>
      <c r="C31" s="340">
        <v>1</v>
      </c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342">
        <f t="shared" si="0"/>
        <v>1</v>
      </c>
      <c r="P31" s="692">
        <f t="shared" si="1"/>
        <v>7</v>
      </c>
      <c r="Q31" s="7">
        <v>32</v>
      </c>
      <c r="R31" s="63"/>
      <c r="S31" s="125"/>
      <c r="T31" s="323">
        <v>4</v>
      </c>
      <c r="U31" s="323">
        <v>3</v>
      </c>
      <c r="V31" s="344">
        <v>45717</v>
      </c>
      <c r="W31" s="309">
        <v>1</v>
      </c>
      <c r="X31" s="309">
        <v>1</v>
      </c>
      <c r="Y31" s="309">
        <v>1</v>
      </c>
      <c r="Z31" s="309">
        <v>1</v>
      </c>
      <c r="AA31" s="184">
        <f t="shared" si="2"/>
        <v>4</v>
      </c>
      <c r="AB31" s="185">
        <f t="shared" si="3"/>
        <v>1</v>
      </c>
      <c r="AC31" s="185">
        <f t="shared" si="4"/>
        <v>4</v>
      </c>
      <c r="AD31" s="185">
        <f t="shared" si="5"/>
        <v>8</v>
      </c>
    </row>
    <row r="32" spans="1:31" x14ac:dyDescent="0.25">
      <c r="A32" s="315">
        <f t="shared" si="6"/>
        <v>31</v>
      </c>
      <c r="B32" s="314" t="s">
        <v>722</v>
      </c>
      <c r="C32" s="413">
        <v>4</v>
      </c>
      <c r="D32" s="359"/>
      <c r="E32" s="478"/>
      <c r="F32" s="360"/>
      <c r="G32" s="480"/>
      <c r="H32" s="360"/>
      <c r="I32" s="480"/>
      <c r="J32" s="360"/>
      <c r="K32" s="480"/>
      <c r="L32" s="360"/>
      <c r="M32" s="480"/>
      <c r="N32" s="562"/>
      <c r="O32" s="342">
        <f t="shared" si="0"/>
        <v>4</v>
      </c>
      <c r="P32" s="692">
        <f t="shared" si="1"/>
        <v>4</v>
      </c>
      <c r="Q32" s="7">
        <v>4</v>
      </c>
      <c r="R32" s="63"/>
      <c r="S32" s="118">
        <v>45992</v>
      </c>
      <c r="T32" s="316">
        <v>0</v>
      </c>
      <c r="U32" s="316"/>
      <c r="V32" s="344">
        <v>45231</v>
      </c>
      <c r="W32" s="309"/>
      <c r="X32" s="309"/>
      <c r="Y32" s="309"/>
      <c r="Z32" s="429">
        <v>4</v>
      </c>
      <c r="AA32" s="184">
        <f t="shared" si="2"/>
        <v>4</v>
      </c>
      <c r="AB32" s="185">
        <f t="shared" si="3"/>
        <v>1</v>
      </c>
      <c r="AC32" s="185">
        <f t="shared" si="4"/>
        <v>4</v>
      </c>
      <c r="AD32" s="185">
        <f t="shared" si="5"/>
        <v>8</v>
      </c>
    </row>
    <row r="33" spans="1:31" x14ac:dyDescent="0.25">
      <c r="A33" s="315">
        <f t="shared" si="6"/>
        <v>32</v>
      </c>
      <c r="B33" s="314" t="s">
        <v>448</v>
      </c>
      <c r="C33" s="413">
        <v>14</v>
      </c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342">
        <f t="shared" si="0"/>
        <v>14</v>
      </c>
      <c r="P33" s="342">
        <f t="shared" si="1"/>
        <v>-6</v>
      </c>
      <c r="Q33" s="7">
        <v>7</v>
      </c>
      <c r="R33" s="63" t="s">
        <v>883</v>
      </c>
      <c r="S33" s="344">
        <v>46508</v>
      </c>
      <c r="T33" s="318">
        <v>1</v>
      </c>
      <c r="U33" s="318"/>
      <c r="V33" s="344">
        <v>45689</v>
      </c>
      <c r="W33" s="309">
        <v>1</v>
      </c>
      <c r="X33" s="309">
        <v>1</v>
      </c>
      <c r="Y33" s="309">
        <v>1</v>
      </c>
      <c r="Z33" s="429">
        <v>1</v>
      </c>
      <c r="AA33" s="184">
        <f t="shared" si="2"/>
        <v>4</v>
      </c>
      <c r="AB33" s="185">
        <f t="shared" si="3"/>
        <v>1</v>
      </c>
      <c r="AC33" s="185">
        <f t="shared" si="4"/>
        <v>4</v>
      </c>
      <c r="AD33" s="185">
        <f t="shared" si="5"/>
        <v>8</v>
      </c>
    </row>
    <row r="34" spans="1:31" x14ac:dyDescent="0.25">
      <c r="A34" s="315">
        <f t="shared" si="6"/>
        <v>33</v>
      </c>
      <c r="B34" s="314" t="s">
        <v>1009</v>
      </c>
      <c r="C34" s="415">
        <v>38</v>
      </c>
      <c r="D34" s="359"/>
      <c r="E34" s="478">
        <v>2</v>
      </c>
      <c r="F34" s="359"/>
      <c r="G34" s="478"/>
      <c r="H34" s="359"/>
      <c r="I34" s="478">
        <v>1</v>
      </c>
      <c r="J34" s="359"/>
      <c r="K34" s="478"/>
      <c r="L34" s="359"/>
      <c r="M34" s="478">
        <v>1</v>
      </c>
      <c r="N34" s="561"/>
      <c r="O34" s="342">
        <f t="shared" si="0"/>
        <v>34</v>
      </c>
      <c r="P34" s="342">
        <f t="shared" si="1"/>
        <v>-18</v>
      </c>
      <c r="Q34" s="7">
        <v>12</v>
      </c>
      <c r="R34" s="63"/>
      <c r="S34" s="344">
        <v>45992</v>
      </c>
      <c r="T34" s="318">
        <v>0</v>
      </c>
      <c r="U34" s="318"/>
      <c r="V34" s="344">
        <v>45566</v>
      </c>
      <c r="W34" s="309">
        <v>2</v>
      </c>
      <c r="X34" s="309">
        <v>2</v>
      </c>
      <c r="Y34" s="309">
        <v>3</v>
      </c>
      <c r="Z34" s="309">
        <v>1</v>
      </c>
      <c r="AA34" s="184">
        <f t="shared" si="2"/>
        <v>8</v>
      </c>
      <c r="AB34" s="185">
        <f t="shared" si="3"/>
        <v>2</v>
      </c>
      <c r="AC34" s="185">
        <f t="shared" si="4"/>
        <v>8</v>
      </c>
      <c r="AD34" s="185">
        <f t="shared" si="5"/>
        <v>16</v>
      </c>
    </row>
    <row r="35" spans="1:31" s="315" customFormat="1" x14ac:dyDescent="0.25">
      <c r="A35" s="315">
        <f t="shared" si="6"/>
        <v>34</v>
      </c>
      <c r="B35" s="314" t="s">
        <v>1320</v>
      </c>
      <c r="C35" s="415">
        <v>21</v>
      </c>
      <c r="D35" s="363"/>
      <c r="E35" s="478"/>
      <c r="F35" s="359"/>
      <c r="G35" s="478"/>
      <c r="H35" s="359"/>
      <c r="I35" s="478"/>
      <c r="J35" s="359"/>
      <c r="K35" s="478"/>
      <c r="L35" s="359"/>
      <c r="M35" s="478">
        <v>3</v>
      </c>
      <c r="N35" s="561"/>
      <c r="O35" s="342">
        <f t="shared" si="0"/>
        <v>18</v>
      </c>
      <c r="P35" s="342">
        <f t="shared" si="1"/>
        <v>-4</v>
      </c>
      <c r="Q35" s="7">
        <v>12</v>
      </c>
      <c r="R35" s="66"/>
      <c r="S35" s="83">
        <v>46174</v>
      </c>
      <c r="T35" s="315">
        <v>0</v>
      </c>
      <c r="U35" s="318"/>
      <c r="V35" s="83">
        <v>45627</v>
      </c>
      <c r="W35" s="315">
        <v>1</v>
      </c>
      <c r="X35" s="315">
        <v>1</v>
      </c>
      <c r="Y35" s="315">
        <v>2</v>
      </c>
      <c r="Z35" s="315">
        <v>3</v>
      </c>
      <c r="AA35" s="184">
        <f t="shared" si="2"/>
        <v>7</v>
      </c>
      <c r="AB35" s="185">
        <f t="shared" si="3"/>
        <v>1.75</v>
      </c>
      <c r="AC35" s="185">
        <f t="shared" si="4"/>
        <v>7</v>
      </c>
      <c r="AD35" s="185">
        <f t="shared" si="5"/>
        <v>14</v>
      </c>
      <c r="AE35" s="294"/>
    </row>
    <row r="36" spans="1:31" s="315" customFormat="1" x14ac:dyDescent="0.25">
      <c r="A36" s="315">
        <f t="shared" si="6"/>
        <v>35</v>
      </c>
      <c r="B36" s="314" t="s">
        <v>351</v>
      </c>
      <c r="C36" s="340">
        <v>0</v>
      </c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342">
        <f t="shared" si="0"/>
        <v>0</v>
      </c>
      <c r="P36" s="707">
        <f t="shared" si="1"/>
        <v>10</v>
      </c>
      <c r="Q36" s="7">
        <v>3</v>
      </c>
      <c r="R36" s="63"/>
      <c r="S36" s="344">
        <v>46874</v>
      </c>
      <c r="T36" s="318">
        <v>0</v>
      </c>
      <c r="U36" s="318"/>
      <c r="V36" s="344">
        <v>45078</v>
      </c>
      <c r="W36" s="309">
        <v>1</v>
      </c>
      <c r="X36" s="309">
        <v>1</v>
      </c>
      <c r="Y36" s="309">
        <v>2</v>
      </c>
      <c r="Z36" s="309">
        <v>1</v>
      </c>
      <c r="AA36" s="184">
        <f t="shared" si="2"/>
        <v>5</v>
      </c>
      <c r="AB36" s="185">
        <f t="shared" si="3"/>
        <v>1.25</v>
      </c>
      <c r="AC36" s="185">
        <f t="shared" si="4"/>
        <v>5</v>
      </c>
      <c r="AD36" s="185">
        <f t="shared" si="5"/>
        <v>10</v>
      </c>
      <c r="AE36" s="294"/>
    </row>
    <row r="37" spans="1:31" s="315" customFormat="1" x14ac:dyDescent="0.25">
      <c r="A37" s="315">
        <f t="shared" si="6"/>
        <v>36</v>
      </c>
      <c r="B37" s="314" t="s">
        <v>632</v>
      </c>
      <c r="C37" s="435">
        <v>0</v>
      </c>
      <c r="D37" s="363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342">
        <f t="shared" si="0"/>
        <v>0</v>
      </c>
      <c r="P37" s="707">
        <f t="shared" si="1"/>
        <v>12</v>
      </c>
      <c r="Q37" s="7">
        <v>6</v>
      </c>
      <c r="R37" s="63"/>
      <c r="S37" s="83"/>
      <c r="T37" s="315">
        <v>0</v>
      </c>
      <c r="U37" s="318"/>
      <c r="V37" s="83">
        <v>45474</v>
      </c>
      <c r="W37" s="315">
        <v>1</v>
      </c>
      <c r="Y37" s="315">
        <v>4</v>
      </c>
      <c r="Z37" s="315">
        <v>1</v>
      </c>
      <c r="AA37" s="184">
        <f t="shared" si="2"/>
        <v>6</v>
      </c>
      <c r="AB37" s="185">
        <f t="shared" si="3"/>
        <v>1.5</v>
      </c>
      <c r="AC37" s="185">
        <f t="shared" si="4"/>
        <v>6</v>
      </c>
      <c r="AD37" s="185">
        <f t="shared" si="5"/>
        <v>12</v>
      </c>
      <c r="AE37" s="294"/>
    </row>
    <row r="38" spans="1:31" s="315" customFormat="1" x14ac:dyDescent="0.25">
      <c r="A38" s="315">
        <f t="shared" si="6"/>
        <v>37</v>
      </c>
      <c r="B38" s="314" t="s">
        <v>791</v>
      </c>
      <c r="C38" s="340">
        <v>0</v>
      </c>
      <c r="D38" s="363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342">
        <f t="shared" si="0"/>
        <v>0</v>
      </c>
      <c r="P38" s="692">
        <f t="shared" si="1"/>
        <v>0</v>
      </c>
      <c r="Q38" s="7">
        <v>21</v>
      </c>
      <c r="R38" s="66"/>
      <c r="S38" s="83"/>
      <c r="U38" s="318"/>
      <c r="V38" s="83"/>
      <c r="AA38" s="184">
        <f t="shared" si="2"/>
        <v>0</v>
      </c>
      <c r="AB38" s="185">
        <f t="shared" si="3"/>
        <v>0</v>
      </c>
      <c r="AC38" s="185">
        <f t="shared" si="4"/>
        <v>0</v>
      </c>
      <c r="AD38" s="185">
        <f t="shared" si="5"/>
        <v>0</v>
      </c>
      <c r="AE38" s="294"/>
    </row>
    <row r="39" spans="1:31" x14ac:dyDescent="0.25">
      <c r="A39" s="315">
        <f t="shared" si="6"/>
        <v>38</v>
      </c>
      <c r="B39" s="314" t="s">
        <v>1329</v>
      </c>
      <c r="C39" s="413">
        <v>1</v>
      </c>
      <c r="D39" s="363"/>
      <c r="E39" s="478"/>
      <c r="F39" s="359"/>
      <c r="G39" s="480"/>
      <c r="H39" s="360"/>
      <c r="I39" s="480"/>
      <c r="J39" s="360"/>
      <c r="K39" s="480"/>
      <c r="L39" s="360"/>
      <c r="M39" s="480"/>
      <c r="N39" s="562"/>
      <c r="O39" s="342">
        <f t="shared" si="0"/>
        <v>1</v>
      </c>
      <c r="P39" s="707">
        <f t="shared" si="1"/>
        <v>3</v>
      </c>
      <c r="Q39" s="7">
        <v>18</v>
      </c>
      <c r="R39" s="125"/>
      <c r="S39" s="83">
        <v>45931</v>
      </c>
      <c r="T39" s="315">
        <v>0</v>
      </c>
      <c r="U39" s="318"/>
      <c r="V39" s="83">
        <v>45627</v>
      </c>
      <c r="W39" s="315"/>
      <c r="X39" s="315"/>
      <c r="Y39" s="315">
        <v>1</v>
      </c>
      <c r="Z39" s="315">
        <v>1</v>
      </c>
      <c r="AA39" s="184">
        <f t="shared" si="2"/>
        <v>2</v>
      </c>
      <c r="AB39" s="185">
        <f t="shared" si="3"/>
        <v>0.5</v>
      </c>
      <c r="AC39" s="185">
        <f t="shared" si="4"/>
        <v>2</v>
      </c>
      <c r="AD39" s="185">
        <f t="shared" si="5"/>
        <v>4</v>
      </c>
    </row>
    <row r="40" spans="1:31" s="315" customFormat="1" x14ac:dyDescent="0.25">
      <c r="A40" s="315">
        <f t="shared" si="6"/>
        <v>39</v>
      </c>
      <c r="B40" s="4" t="s">
        <v>789</v>
      </c>
      <c r="C40" s="414">
        <v>2</v>
      </c>
      <c r="D40" s="360"/>
      <c r="E40" s="480"/>
      <c r="F40" s="360"/>
      <c r="G40" s="480"/>
      <c r="H40" s="360"/>
      <c r="I40" s="480"/>
      <c r="J40" s="360"/>
      <c r="K40" s="480"/>
      <c r="L40" s="360"/>
      <c r="M40" s="480"/>
      <c r="N40" s="562"/>
      <c r="O40" s="342">
        <f t="shared" si="0"/>
        <v>2</v>
      </c>
      <c r="P40" s="692">
        <f t="shared" si="1"/>
        <v>4</v>
      </c>
      <c r="Q40" s="7">
        <v>16</v>
      </c>
      <c r="R40" s="63"/>
      <c r="S40" s="118">
        <v>46143</v>
      </c>
      <c r="T40" s="316">
        <v>0</v>
      </c>
      <c r="U40" s="316"/>
      <c r="V40" s="344">
        <v>45323</v>
      </c>
      <c r="W40" s="309"/>
      <c r="X40" s="309">
        <v>1</v>
      </c>
      <c r="Y40" s="309">
        <v>1</v>
      </c>
      <c r="Z40" s="309">
        <v>1</v>
      </c>
      <c r="AA40" s="184">
        <f t="shared" si="2"/>
        <v>3</v>
      </c>
      <c r="AB40" s="185">
        <f t="shared" si="3"/>
        <v>0.75</v>
      </c>
      <c r="AC40" s="185">
        <f t="shared" si="4"/>
        <v>3</v>
      </c>
      <c r="AD40" s="185">
        <f t="shared" si="5"/>
        <v>6</v>
      </c>
      <c r="AE40" s="294"/>
    </row>
    <row r="41" spans="1:31" s="315" customFormat="1" x14ac:dyDescent="0.25">
      <c r="A41" s="315">
        <f t="shared" si="6"/>
        <v>40</v>
      </c>
      <c r="B41" s="472" t="s">
        <v>831</v>
      </c>
      <c r="C41" s="597">
        <v>1</v>
      </c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342">
        <f t="shared" si="0"/>
        <v>1</v>
      </c>
      <c r="P41" s="706">
        <v>1</v>
      </c>
      <c r="Q41" s="7">
        <v>29</v>
      </c>
      <c r="R41" s="63"/>
      <c r="S41" s="291">
        <v>46905</v>
      </c>
      <c r="T41" s="318">
        <v>0</v>
      </c>
      <c r="U41" s="318"/>
      <c r="V41" s="344">
        <v>45444</v>
      </c>
      <c r="W41" s="309">
        <v>1</v>
      </c>
      <c r="X41" s="309">
        <v>1</v>
      </c>
      <c r="Y41" s="309">
        <v>1</v>
      </c>
      <c r="Z41" s="429">
        <v>1</v>
      </c>
      <c r="AA41" s="184">
        <f t="shared" si="2"/>
        <v>4</v>
      </c>
      <c r="AB41" s="185">
        <f t="shared" si="3"/>
        <v>1</v>
      </c>
      <c r="AC41" s="185">
        <f t="shared" si="4"/>
        <v>4</v>
      </c>
      <c r="AD41" s="185">
        <f t="shared" si="5"/>
        <v>8</v>
      </c>
      <c r="AE41" s="294"/>
    </row>
    <row r="42" spans="1:31" s="315" customFormat="1" x14ac:dyDescent="0.25">
      <c r="A42" s="315">
        <f t="shared" si="6"/>
        <v>41</v>
      </c>
      <c r="B42" s="314" t="s">
        <v>832</v>
      </c>
      <c r="C42" s="415">
        <v>1</v>
      </c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342">
        <f t="shared" si="0"/>
        <v>1</v>
      </c>
      <c r="P42" s="692">
        <f t="shared" si="1"/>
        <v>7</v>
      </c>
      <c r="Q42" s="7">
        <v>29</v>
      </c>
      <c r="R42" s="63"/>
      <c r="S42" s="344">
        <v>46966</v>
      </c>
      <c r="T42" s="318">
        <v>4</v>
      </c>
      <c r="U42" s="318"/>
      <c r="V42" s="199">
        <v>45444</v>
      </c>
      <c r="W42" s="309">
        <v>1</v>
      </c>
      <c r="X42" s="309">
        <v>1</v>
      </c>
      <c r="Y42" s="309">
        <v>1</v>
      </c>
      <c r="Z42" s="429">
        <v>1</v>
      </c>
      <c r="AA42" s="184">
        <f t="shared" si="2"/>
        <v>4</v>
      </c>
      <c r="AB42" s="185">
        <f t="shared" si="3"/>
        <v>1</v>
      </c>
      <c r="AC42" s="185">
        <f t="shared" si="4"/>
        <v>4</v>
      </c>
      <c r="AD42" s="185">
        <f t="shared" si="5"/>
        <v>8</v>
      </c>
      <c r="AE42" s="294"/>
    </row>
    <row r="43" spans="1:31" s="315" customFormat="1" x14ac:dyDescent="0.25">
      <c r="A43" s="315">
        <f t="shared" si="6"/>
        <v>42</v>
      </c>
      <c r="B43" s="314" t="s">
        <v>830</v>
      </c>
      <c r="C43" s="415">
        <v>1</v>
      </c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342">
        <f t="shared" si="0"/>
        <v>1</v>
      </c>
      <c r="P43" s="706">
        <v>4</v>
      </c>
      <c r="Q43" s="7">
        <v>29</v>
      </c>
      <c r="R43" s="63"/>
      <c r="S43" s="344">
        <v>47270</v>
      </c>
      <c r="T43" s="318">
        <v>2</v>
      </c>
      <c r="U43" s="318">
        <v>3</v>
      </c>
      <c r="V43" s="199">
        <v>45717</v>
      </c>
      <c r="W43" s="309">
        <v>1</v>
      </c>
      <c r="X43" s="309">
        <v>3</v>
      </c>
      <c r="Y43" s="309">
        <v>1</v>
      </c>
      <c r="Z43" s="429">
        <v>2</v>
      </c>
      <c r="AA43" s="184">
        <f t="shared" si="2"/>
        <v>7</v>
      </c>
      <c r="AB43" s="185">
        <f t="shared" si="3"/>
        <v>1.75</v>
      </c>
      <c r="AC43" s="185">
        <f t="shared" si="4"/>
        <v>7</v>
      </c>
      <c r="AD43" s="185">
        <f t="shared" si="5"/>
        <v>14</v>
      </c>
      <c r="AE43" s="294"/>
    </row>
    <row r="44" spans="1:31" s="315" customFormat="1" x14ac:dyDescent="0.25">
      <c r="A44" s="315">
        <f t="shared" si="6"/>
        <v>43</v>
      </c>
      <c r="B44" s="651" t="s">
        <v>1092</v>
      </c>
      <c r="C44" s="653">
        <v>7.8</v>
      </c>
      <c r="D44" s="363"/>
      <c r="E44" s="478"/>
      <c r="F44" s="359"/>
      <c r="G44" s="478"/>
      <c r="H44" s="359"/>
      <c r="I44" s="478"/>
      <c r="J44" s="359"/>
      <c r="K44" s="478"/>
      <c r="L44" s="359"/>
      <c r="M44" s="478">
        <v>1</v>
      </c>
      <c r="N44" s="561"/>
      <c r="O44" s="342">
        <f t="shared" si="0"/>
        <v>6.8</v>
      </c>
      <c r="P44" s="342">
        <f t="shared" si="1"/>
        <v>-4.4000000000000004</v>
      </c>
      <c r="Q44" s="7">
        <v>18</v>
      </c>
      <c r="R44" s="66"/>
      <c r="S44" s="654">
        <v>45901</v>
      </c>
      <c r="T44" s="315">
        <v>0</v>
      </c>
      <c r="U44" s="318"/>
      <c r="V44" s="83">
        <v>45323</v>
      </c>
      <c r="X44" s="315">
        <v>0.2</v>
      </c>
      <c r="Z44" s="315">
        <v>1</v>
      </c>
      <c r="AA44" s="184">
        <f t="shared" si="2"/>
        <v>1.2</v>
      </c>
      <c r="AB44" s="185">
        <f t="shared" si="3"/>
        <v>0.3</v>
      </c>
      <c r="AC44" s="185">
        <f t="shared" si="4"/>
        <v>1.2</v>
      </c>
      <c r="AD44" s="185">
        <f t="shared" si="5"/>
        <v>2.4</v>
      </c>
      <c r="AE44" s="294"/>
    </row>
    <row r="45" spans="1:31" s="315" customFormat="1" x14ac:dyDescent="0.25">
      <c r="A45" s="315">
        <f t="shared" si="6"/>
        <v>44</v>
      </c>
      <c r="B45" s="4" t="s">
        <v>804</v>
      </c>
      <c r="C45" s="413">
        <v>9</v>
      </c>
      <c r="D45" s="360"/>
      <c r="E45" s="480"/>
      <c r="F45" s="360"/>
      <c r="G45" s="480"/>
      <c r="H45" s="360"/>
      <c r="I45" s="480"/>
      <c r="J45" s="360"/>
      <c r="K45" s="480"/>
      <c r="L45" s="360"/>
      <c r="M45" s="480"/>
      <c r="N45" s="562"/>
      <c r="O45" s="342">
        <f t="shared" si="0"/>
        <v>9</v>
      </c>
      <c r="P45" s="692">
        <f t="shared" si="1"/>
        <v>3</v>
      </c>
      <c r="Q45" s="7">
        <v>6</v>
      </c>
      <c r="R45" s="64"/>
      <c r="S45" s="118">
        <v>46023</v>
      </c>
      <c r="T45" s="316">
        <v>0</v>
      </c>
      <c r="U45" s="316"/>
      <c r="V45" s="81">
        <v>45658</v>
      </c>
      <c r="W45" s="14">
        <v>4</v>
      </c>
      <c r="X45" s="14">
        <v>1</v>
      </c>
      <c r="Y45" s="28"/>
      <c r="Z45" s="28">
        <v>1</v>
      </c>
      <c r="AA45" s="184">
        <f t="shared" si="2"/>
        <v>6</v>
      </c>
      <c r="AB45" s="185">
        <f t="shared" si="3"/>
        <v>1.5</v>
      </c>
      <c r="AC45" s="185">
        <f t="shared" si="4"/>
        <v>6</v>
      </c>
      <c r="AD45" s="185">
        <f t="shared" si="5"/>
        <v>12</v>
      </c>
      <c r="AE45" s="294"/>
    </row>
    <row r="46" spans="1:31" s="315" customFormat="1" x14ac:dyDescent="0.25">
      <c r="A46" s="315">
        <f t="shared" si="6"/>
        <v>45</v>
      </c>
      <c r="B46" s="314" t="s">
        <v>1093</v>
      </c>
      <c r="C46" s="413">
        <v>114</v>
      </c>
      <c r="D46" s="367"/>
      <c r="E46" s="479"/>
      <c r="F46" s="367"/>
      <c r="G46" s="479"/>
      <c r="H46" s="367"/>
      <c r="I46" s="479"/>
      <c r="J46" s="367"/>
      <c r="K46" s="479">
        <v>10</v>
      </c>
      <c r="L46" s="367"/>
      <c r="M46" s="479">
        <v>6</v>
      </c>
      <c r="N46" s="570"/>
      <c r="O46" s="342">
        <f t="shared" si="0"/>
        <v>98</v>
      </c>
      <c r="P46" s="342">
        <f t="shared" si="1"/>
        <v>-60</v>
      </c>
      <c r="Q46" s="7">
        <v>1.2</v>
      </c>
      <c r="R46" s="109" t="s">
        <v>883</v>
      </c>
      <c r="S46" s="112">
        <v>47300</v>
      </c>
      <c r="T46" s="322">
        <v>5</v>
      </c>
      <c r="U46" s="318"/>
      <c r="V46" s="197">
        <v>45658</v>
      </c>
      <c r="W46" s="315">
        <v>10</v>
      </c>
      <c r="X46" s="315">
        <v>2</v>
      </c>
      <c r="Y46" s="315">
        <v>2</v>
      </c>
      <c r="Z46" s="315">
        <v>5</v>
      </c>
      <c r="AA46" s="184">
        <f t="shared" si="2"/>
        <v>19</v>
      </c>
      <c r="AB46" s="185">
        <f t="shared" si="3"/>
        <v>4.75</v>
      </c>
      <c r="AC46" s="185">
        <f t="shared" si="4"/>
        <v>19</v>
      </c>
      <c r="AD46" s="185">
        <f t="shared" si="5"/>
        <v>38</v>
      </c>
      <c r="AE46" s="294"/>
    </row>
    <row r="47" spans="1:31" s="315" customFormat="1" x14ac:dyDescent="0.25">
      <c r="A47" s="315">
        <f t="shared" si="6"/>
        <v>46</v>
      </c>
      <c r="B47" s="314" t="s">
        <v>687</v>
      </c>
      <c r="C47" s="413">
        <v>5</v>
      </c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342">
        <f t="shared" si="0"/>
        <v>5</v>
      </c>
      <c r="P47" s="692">
        <f t="shared" si="1"/>
        <v>3</v>
      </c>
      <c r="Q47" s="7">
        <v>30</v>
      </c>
      <c r="R47" s="63"/>
      <c r="S47" s="118">
        <v>46478</v>
      </c>
      <c r="T47" s="316">
        <v>3</v>
      </c>
      <c r="U47" s="316"/>
      <c r="V47" s="118">
        <v>45474</v>
      </c>
      <c r="W47" s="309">
        <v>1</v>
      </c>
      <c r="X47" s="309"/>
      <c r="Y47" s="309">
        <v>3</v>
      </c>
      <c r="Z47" s="309"/>
      <c r="AA47" s="184">
        <f t="shared" si="2"/>
        <v>4</v>
      </c>
      <c r="AB47" s="185">
        <f t="shared" si="3"/>
        <v>1</v>
      </c>
      <c r="AC47" s="185">
        <f t="shared" si="4"/>
        <v>4</v>
      </c>
      <c r="AD47" s="185">
        <f t="shared" si="5"/>
        <v>8</v>
      </c>
      <c r="AE47" s="294"/>
    </row>
    <row r="48" spans="1:31" s="315" customFormat="1" x14ac:dyDescent="0.25">
      <c r="A48" s="315">
        <f t="shared" si="6"/>
        <v>47</v>
      </c>
      <c r="B48" s="314" t="s">
        <v>929</v>
      </c>
      <c r="C48" s="340">
        <v>11</v>
      </c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342">
        <f t="shared" si="0"/>
        <v>11</v>
      </c>
      <c r="P48" s="692">
        <f t="shared" si="1"/>
        <v>7</v>
      </c>
      <c r="Q48" s="7">
        <v>6</v>
      </c>
      <c r="R48" s="28"/>
      <c r="S48" s="118">
        <v>46296</v>
      </c>
      <c r="T48" s="316">
        <v>1</v>
      </c>
      <c r="U48" s="316">
        <v>2</v>
      </c>
      <c r="V48" s="344">
        <v>45717</v>
      </c>
      <c r="W48" s="309">
        <v>1</v>
      </c>
      <c r="X48" s="309">
        <v>4</v>
      </c>
      <c r="Y48" s="309">
        <v>1</v>
      </c>
      <c r="Z48" s="309">
        <v>3</v>
      </c>
      <c r="AA48" s="184">
        <f t="shared" si="2"/>
        <v>9</v>
      </c>
      <c r="AB48" s="185">
        <f t="shared" si="3"/>
        <v>2.25</v>
      </c>
      <c r="AC48" s="185">
        <f t="shared" si="4"/>
        <v>9</v>
      </c>
      <c r="AD48" s="185">
        <f t="shared" si="5"/>
        <v>18</v>
      </c>
      <c r="AE48" s="294"/>
    </row>
    <row r="49" spans="1:31" s="315" customFormat="1" x14ac:dyDescent="0.25">
      <c r="A49" s="315">
        <f t="shared" si="6"/>
        <v>48</v>
      </c>
      <c r="B49" s="651" t="s">
        <v>623</v>
      </c>
      <c r="C49" s="652">
        <v>13</v>
      </c>
      <c r="D49" s="363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342">
        <f t="shared" si="0"/>
        <v>13</v>
      </c>
      <c r="P49" s="692">
        <f t="shared" si="1"/>
        <v>1</v>
      </c>
      <c r="Q49" s="44">
        <v>3</v>
      </c>
      <c r="R49" s="10"/>
      <c r="S49" s="654">
        <v>45870</v>
      </c>
      <c r="T49" s="315">
        <v>0</v>
      </c>
      <c r="U49" s="318"/>
      <c r="V49" s="83">
        <v>45017</v>
      </c>
      <c r="X49" s="315">
        <v>3</v>
      </c>
      <c r="Y49" s="315">
        <v>1</v>
      </c>
      <c r="Z49" s="315">
        <v>3</v>
      </c>
      <c r="AA49" s="184">
        <f t="shared" si="2"/>
        <v>7</v>
      </c>
      <c r="AB49" s="185">
        <f t="shared" si="3"/>
        <v>1.75</v>
      </c>
      <c r="AC49" s="185">
        <f t="shared" si="4"/>
        <v>7</v>
      </c>
      <c r="AD49" s="185">
        <f t="shared" si="5"/>
        <v>14</v>
      </c>
      <c r="AE49" s="294"/>
    </row>
    <row r="50" spans="1:31" s="315" customFormat="1" x14ac:dyDescent="0.25">
      <c r="A50" s="315">
        <f t="shared" si="6"/>
        <v>49</v>
      </c>
      <c r="B50" s="314" t="s">
        <v>1094</v>
      </c>
      <c r="C50" s="413">
        <v>81</v>
      </c>
      <c r="D50" s="367"/>
      <c r="E50" s="479"/>
      <c r="F50" s="367"/>
      <c r="G50" s="479"/>
      <c r="H50" s="367">
        <v>20</v>
      </c>
      <c r="I50" s="479"/>
      <c r="J50" s="367">
        <v>5</v>
      </c>
      <c r="K50" s="479">
        <v>10</v>
      </c>
      <c r="L50" s="367"/>
      <c r="M50" s="479">
        <v>70</v>
      </c>
      <c r="N50" s="570"/>
      <c r="O50" s="342">
        <f t="shared" si="0"/>
        <v>-24</v>
      </c>
      <c r="P50" s="692">
        <f t="shared" si="1"/>
        <v>328</v>
      </c>
      <c r="Q50" s="7">
        <v>2</v>
      </c>
      <c r="R50" s="559"/>
      <c r="S50" s="112">
        <v>46661</v>
      </c>
      <c r="T50" s="322">
        <v>5</v>
      </c>
      <c r="U50" s="322">
        <v>2</v>
      </c>
      <c r="V50" s="197">
        <v>45717</v>
      </c>
      <c r="W50" s="315">
        <v>23</v>
      </c>
      <c r="X50" s="315">
        <v>20</v>
      </c>
      <c r="Y50" s="315">
        <v>57</v>
      </c>
      <c r="Z50" s="315">
        <v>52</v>
      </c>
      <c r="AA50" s="184">
        <f t="shared" si="2"/>
        <v>152</v>
      </c>
      <c r="AB50" s="185">
        <f t="shared" si="3"/>
        <v>38</v>
      </c>
      <c r="AC50" s="185">
        <f t="shared" si="4"/>
        <v>152</v>
      </c>
      <c r="AD50" s="185">
        <f t="shared" si="5"/>
        <v>304</v>
      </c>
      <c r="AE50" s="294"/>
    </row>
    <row r="51" spans="1:31" s="315" customFormat="1" x14ac:dyDescent="0.25">
      <c r="A51" s="315">
        <f t="shared" si="6"/>
        <v>50</v>
      </c>
      <c r="B51" s="314" t="s">
        <v>1294</v>
      </c>
      <c r="C51" s="413">
        <v>27</v>
      </c>
      <c r="D51" s="363"/>
      <c r="E51" s="478"/>
      <c r="F51" s="359">
        <v>1</v>
      </c>
      <c r="G51" s="478"/>
      <c r="H51" s="359"/>
      <c r="I51" s="478"/>
      <c r="J51" s="359"/>
      <c r="K51" s="478"/>
      <c r="L51" s="359"/>
      <c r="M51" s="478"/>
      <c r="N51" s="561"/>
      <c r="O51" s="342">
        <f t="shared" si="0"/>
        <v>26</v>
      </c>
      <c r="P51" s="342">
        <f t="shared" si="1"/>
        <v>-12</v>
      </c>
      <c r="Q51" s="44">
        <v>4</v>
      </c>
      <c r="R51" s="10"/>
      <c r="S51" s="83">
        <v>46143</v>
      </c>
      <c r="T51" s="315">
        <v>0</v>
      </c>
      <c r="U51" s="318"/>
      <c r="V51" s="118">
        <v>45597</v>
      </c>
      <c r="W51" s="14">
        <v>1</v>
      </c>
      <c r="X51" s="315">
        <v>3</v>
      </c>
      <c r="Y51" s="315">
        <v>2</v>
      </c>
      <c r="Z51" s="315">
        <v>1</v>
      </c>
      <c r="AA51" s="184">
        <f t="shared" si="2"/>
        <v>7</v>
      </c>
      <c r="AB51" s="185">
        <f t="shared" si="3"/>
        <v>1.75</v>
      </c>
      <c r="AC51" s="185">
        <f t="shared" si="4"/>
        <v>7</v>
      </c>
      <c r="AD51" s="185">
        <f t="shared" si="5"/>
        <v>14</v>
      </c>
      <c r="AE51" s="294"/>
    </row>
    <row r="52" spans="1:31" s="315" customFormat="1" x14ac:dyDescent="0.25">
      <c r="A52" s="315">
        <f t="shared" si="6"/>
        <v>51</v>
      </c>
      <c r="B52" s="472" t="s">
        <v>1095</v>
      </c>
      <c r="C52" s="596">
        <v>2</v>
      </c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342">
        <f t="shared" si="0"/>
        <v>2</v>
      </c>
      <c r="P52" s="692">
        <f t="shared" si="1"/>
        <v>6</v>
      </c>
      <c r="Q52" s="7">
        <v>27</v>
      </c>
      <c r="R52" s="8"/>
      <c r="S52" s="614">
        <v>46174</v>
      </c>
      <c r="T52" s="316">
        <v>2</v>
      </c>
      <c r="U52" s="316"/>
      <c r="V52" s="118">
        <v>45627</v>
      </c>
      <c r="W52" s="309">
        <v>1</v>
      </c>
      <c r="X52" s="309">
        <v>1</v>
      </c>
      <c r="Y52" s="309">
        <v>1</v>
      </c>
      <c r="Z52" s="309">
        <v>1</v>
      </c>
      <c r="AA52" s="184">
        <f t="shared" si="2"/>
        <v>4</v>
      </c>
      <c r="AB52" s="185">
        <f t="shared" si="3"/>
        <v>1</v>
      </c>
      <c r="AC52" s="185">
        <f t="shared" si="4"/>
        <v>4</v>
      </c>
      <c r="AD52" s="185">
        <f t="shared" si="5"/>
        <v>8</v>
      </c>
      <c r="AE52" s="294"/>
    </row>
    <row r="53" spans="1:31" s="315" customFormat="1" x14ac:dyDescent="0.25">
      <c r="A53" s="315">
        <f t="shared" si="6"/>
        <v>52</v>
      </c>
      <c r="B53" s="314" t="s">
        <v>781</v>
      </c>
      <c r="C53" s="413">
        <v>13</v>
      </c>
      <c r="D53" s="359">
        <v>1</v>
      </c>
      <c r="E53" s="478">
        <v>2</v>
      </c>
      <c r="F53" s="360"/>
      <c r="G53" s="480"/>
      <c r="H53" s="360"/>
      <c r="I53" s="480"/>
      <c r="J53" s="360"/>
      <c r="K53" s="480"/>
      <c r="L53" s="360"/>
      <c r="M53" s="480"/>
      <c r="N53" s="562"/>
      <c r="O53" s="342">
        <f t="shared" si="0"/>
        <v>10</v>
      </c>
      <c r="P53" s="706">
        <v>2</v>
      </c>
      <c r="Q53" s="7">
        <v>10</v>
      </c>
      <c r="R53" s="8"/>
      <c r="S53" s="118">
        <v>46600</v>
      </c>
      <c r="T53" s="316">
        <v>1</v>
      </c>
      <c r="U53" s="316">
        <v>2</v>
      </c>
      <c r="V53" s="344">
        <v>45717</v>
      </c>
      <c r="W53" s="318">
        <v>3</v>
      </c>
      <c r="X53" s="309">
        <v>6</v>
      </c>
      <c r="Y53" s="309">
        <v>6</v>
      </c>
      <c r="Z53" s="309">
        <v>7</v>
      </c>
      <c r="AA53" s="184">
        <f t="shared" si="2"/>
        <v>22</v>
      </c>
      <c r="AB53" s="185">
        <f t="shared" si="3"/>
        <v>5.5</v>
      </c>
      <c r="AC53" s="185">
        <f t="shared" si="4"/>
        <v>22</v>
      </c>
      <c r="AD53" s="185">
        <f t="shared" si="5"/>
        <v>44</v>
      </c>
      <c r="AE53" s="294"/>
    </row>
    <row r="54" spans="1:31" x14ac:dyDescent="0.25">
      <c r="A54" s="315">
        <f t="shared" si="6"/>
        <v>53</v>
      </c>
      <c r="B54" s="4" t="s">
        <v>570</v>
      </c>
      <c r="C54" s="413">
        <v>4</v>
      </c>
      <c r="D54" s="557"/>
      <c r="E54" s="480"/>
      <c r="F54" s="360"/>
      <c r="G54" s="480"/>
      <c r="H54" s="360"/>
      <c r="I54" s="480">
        <v>1</v>
      </c>
      <c r="J54" s="360"/>
      <c r="K54" s="480">
        <v>1</v>
      </c>
      <c r="L54" s="360"/>
      <c r="M54" s="480"/>
      <c r="N54" s="562"/>
      <c r="O54" s="342">
        <f t="shared" si="0"/>
        <v>2</v>
      </c>
      <c r="P54" s="706">
        <v>4</v>
      </c>
      <c r="Q54" s="7">
        <v>52</v>
      </c>
      <c r="R54" s="558" t="s">
        <v>597</v>
      </c>
      <c r="S54" s="285">
        <v>46419</v>
      </c>
      <c r="T54" s="315">
        <v>3</v>
      </c>
      <c r="U54" s="318">
        <v>3</v>
      </c>
      <c r="V54" s="199">
        <v>45717</v>
      </c>
      <c r="W54" s="309">
        <v>1</v>
      </c>
      <c r="X54" s="309">
        <v>1</v>
      </c>
      <c r="Y54" s="309">
        <v>1</v>
      </c>
      <c r="Z54" s="309">
        <v>1</v>
      </c>
      <c r="AA54" s="184">
        <f t="shared" si="2"/>
        <v>4</v>
      </c>
      <c r="AB54" s="185">
        <f t="shared" si="3"/>
        <v>1</v>
      </c>
      <c r="AC54" s="185">
        <f t="shared" si="4"/>
        <v>4</v>
      </c>
      <c r="AD54" s="185">
        <f t="shared" si="5"/>
        <v>8</v>
      </c>
    </row>
    <row r="55" spans="1:31" x14ac:dyDescent="0.25">
      <c r="A55" s="315">
        <f t="shared" si="6"/>
        <v>54</v>
      </c>
      <c r="B55" s="314" t="s">
        <v>875</v>
      </c>
      <c r="C55" s="340">
        <v>23</v>
      </c>
      <c r="D55" s="359"/>
      <c r="E55" s="478">
        <v>2</v>
      </c>
      <c r="F55" s="359"/>
      <c r="G55" s="478"/>
      <c r="H55" s="359"/>
      <c r="I55" s="478"/>
      <c r="J55" s="359"/>
      <c r="K55" s="478"/>
      <c r="L55" s="359"/>
      <c r="M55" s="478"/>
      <c r="N55" s="561"/>
      <c r="O55" s="342">
        <f t="shared" si="0"/>
        <v>21</v>
      </c>
      <c r="P55" s="692">
        <f t="shared" si="1"/>
        <v>15</v>
      </c>
      <c r="Q55" s="7">
        <v>4</v>
      </c>
      <c r="R55" s="8" t="s">
        <v>619</v>
      </c>
      <c r="S55" s="118">
        <v>46447</v>
      </c>
      <c r="T55" s="316">
        <v>0</v>
      </c>
      <c r="U55" s="316"/>
      <c r="V55" s="199">
        <v>45689</v>
      </c>
      <c r="W55" s="107">
        <v>6</v>
      </c>
      <c r="X55" s="107">
        <v>1</v>
      </c>
      <c r="Y55" s="309">
        <v>4</v>
      </c>
      <c r="Z55" s="309">
        <v>7</v>
      </c>
      <c r="AA55" s="184">
        <f t="shared" si="2"/>
        <v>18</v>
      </c>
      <c r="AB55" s="185">
        <f t="shared" si="3"/>
        <v>4.5</v>
      </c>
      <c r="AC55" s="185">
        <f t="shared" si="4"/>
        <v>18</v>
      </c>
      <c r="AD55" s="185">
        <f t="shared" si="5"/>
        <v>36</v>
      </c>
    </row>
    <row r="56" spans="1:31" x14ac:dyDescent="0.25">
      <c r="A56" s="315">
        <f t="shared" si="6"/>
        <v>55</v>
      </c>
      <c r="B56" s="314" t="s">
        <v>626</v>
      </c>
      <c r="C56" s="413">
        <v>0</v>
      </c>
      <c r="D56" s="363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342">
        <f t="shared" si="0"/>
        <v>0</v>
      </c>
      <c r="P56" s="691">
        <f t="shared" si="1"/>
        <v>0</v>
      </c>
      <c r="Q56" s="7">
        <v>30</v>
      </c>
      <c r="R56" s="64"/>
      <c r="S56" s="83"/>
      <c r="T56" s="315">
        <v>0</v>
      </c>
      <c r="U56" s="318"/>
      <c r="V56" s="83"/>
      <c r="W56" s="315"/>
      <c r="X56" s="315"/>
      <c r="AA56" s="184">
        <f t="shared" si="2"/>
        <v>0</v>
      </c>
      <c r="AB56" s="185">
        <f t="shared" si="3"/>
        <v>0</v>
      </c>
      <c r="AC56" s="185">
        <f t="shared" si="4"/>
        <v>0</v>
      </c>
      <c r="AD56" s="185">
        <f t="shared" si="5"/>
        <v>0</v>
      </c>
    </row>
    <row r="57" spans="1:31" x14ac:dyDescent="0.25">
      <c r="A57" s="315">
        <f t="shared" si="6"/>
        <v>56</v>
      </c>
      <c r="B57" s="314" t="s">
        <v>697</v>
      </c>
      <c r="C57" s="413">
        <v>9</v>
      </c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342">
        <f t="shared" si="0"/>
        <v>9</v>
      </c>
      <c r="P57" s="706">
        <v>1</v>
      </c>
      <c r="Q57" s="7">
        <v>5</v>
      </c>
      <c r="R57" s="63"/>
      <c r="S57" s="118">
        <v>46478</v>
      </c>
      <c r="T57" s="316">
        <v>0</v>
      </c>
      <c r="U57" s="316">
        <v>1</v>
      </c>
      <c r="V57" s="199">
        <v>45717</v>
      </c>
      <c r="W57" s="107">
        <v>4</v>
      </c>
      <c r="X57" s="107">
        <v>2</v>
      </c>
      <c r="Y57" s="309">
        <v>6</v>
      </c>
      <c r="Z57" s="309">
        <v>5</v>
      </c>
      <c r="AA57" s="184">
        <f t="shared" si="2"/>
        <v>17</v>
      </c>
      <c r="AB57" s="185">
        <f t="shared" si="3"/>
        <v>4.25</v>
      </c>
      <c r="AC57" s="185">
        <f t="shared" si="4"/>
        <v>17</v>
      </c>
      <c r="AD57" s="185">
        <f t="shared" si="5"/>
        <v>34</v>
      </c>
    </row>
    <row r="58" spans="1:31" x14ac:dyDescent="0.25">
      <c r="A58" s="315">
        <f t="shared" si="6"/>
        <v>57</v>
      </c>
      <c r="B58" s="314" t="s">
        <v>674</v>
      </c>
      <c r="C58" s="413">
        <v>0</v>
      </c>
      <c r="D58" s="359"/>
      <c r="E58" s="478"/>
      <c r="F58" s="360"/>
      <c r="G58" s="480"/>
      <c r="H58" s="360"/>
      <c r="I58" s="480"/>
      <c r="J58" s="360"/>
      <c r="K58" s="480"/>
      <c r="L58" s="360"/>
      <c r="M58" s="480"/>
      <c r="N58" s="562"/>
      <c r="O58" s="342">
        <f t="shared" si="0"/>
        <v>0</v>
      </c>
      <c r="P58" s="706">
        <v>4</v>
      </c>
      <c r="Q58" s="10">
        <v>37</v>
      </c>
      <c r="R58" s="8"/>
      <c r="S58" s="118">
        <v>46023</v>
      </c>
      <c r="T58" s="28">
        <v>0</v>
      </c>
      <c r="U58" s="28"/>
      <c r="V58" s="81">
        <v>45352</v>
      </c>
      <c r="W58" s="315"/>
      <c r="X58" s="315">
        <v>1</v>
      </c>
      <c r="Y58" s="315">
        <v>1</v>
      </c>
      <c r="Z58" s="315">
        <v>2</v>
      </c>
      <c r="AA58" s="184">
        <f t="shared" si="2"/>
        <v>4</v>
      </c>
      <c r="AB58" s="185">
        <f t="shared" si="3"/>
        <v>1</v>
      </c>
      <c r="AC58" s="185">
        <f t="shared" si="4"/>
        <v>4</v>
      </c>
      <c r="AD58" s="185">
        <f t="shared" si="5"/>
        <v>8</v>
      </c>
    </row>
    <row r="59" spans="1:31" x14ac:dyDescent="0.25">
      <c r="A59" s="315">
        <f t="shared" si="6"/>
        <v>58</v>
      </c>
      <c r="B59" s="314" t="s">
        <v>708</v>
      </c>
      <c r="C59" s="413">
        <v>2</v>
      </c>
      <c r="D59" s="359"/>
      <c r="E59" s="478"/>
      <c r="F59" s="360"/>
      <c r="G59" s="480"/>
      <c r="H59" s="360"/>
      <c r="I59" s="480"/>
      <c r="J59" s="360"/>
      <c r="K59" s="480"/>
      <c r="L59" s="360"/>
      <c r="M59" s="480"/>
      <c r="N59" s="562"/>
      <c r="O59" s="342">
        <f t="shared" si="0"/>
        <v>2</v>
      </c>
      <c r="P59" s="692">
        <f t="shared" si="1"/>
        <v>6</v>
      </c>
      <c r="Q59" s="7">
        <v>40</v>
      </c>
      <c r="R59" s="8"/>
      <c r="S59" s="118">
        <v>46113</v>
      </c>
      <c r="T59" s="316">
        <v>2</v>
      </c>
      <c r="U59" s="316"/>
      <c r="V59" s="344">
        <v>45566</v>
      </c>
      <c r="W59" s="309"/>
      <c r="X59" s="309">
        <v>1</v>
      </c>
      <c r="Y59" s="309">
        <v>2</v>
      </c>
      <c r="Z59" s="429">
        <v>1</v>
      </c>
      <c r="AA59" s="184">
        <f t="shared" si="2"/>
        <v>4</v>
      </c>
      <c r="AB59" s="185">
        <f t="shared" si="3"/>
        <v>1</v>
      </c>
      <c r="AC59" s="185">
        <f t="shared" si="4"/>
        <v>4</v>
      </c>
      <c r="AD59" s="185">
        <f t="shared" si="5"/>
        <v>8</v>
      </c>
    </row>
    <row r="60" spans="1:31" x14ac:dyDescent="0.25">
      <c r="A60" s="315">
        <f t="shared" si="6"/>
        <v>59</v>
      </c>
      <c r="B60" s="314" t="s">
        <v>667</v>
      </c>
      <c r="C60" s="413">
        <v>0</v>
      </c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342">
        <f t="shared" si="0"/>
        <v>0</v>
      </c>
      <c r="P60" s="706">
        <v>2</v>
      </c>
      <c r="Q60" s="7">
        <v>66</v>
      </c>
      <c r="R60" s="8"/>
      <c r="S60" s="118">
        <v>46266</v>
      </c>
      <c r="T60" s="316">
        <v>0</v>
      </c>
      <c r="U60" s="316"/>
      <c r="V60" s="199">
        <v>45566</v>
      </c>
      <c r="W60" s="107">
        <v>1</v>
      </c>
      <c r="X60" s="107"/>
      <c r="Y60" s="309">
        <v>1</v>
      </c>
      <c r="Z60" s="309"/>
      <c r="AA60" s="184">
        <f t="shared" si="2"/>
        <v>2</v>
      </c>
      <c r="AB60" s="185">
        <f t="shared" si="3"/>
        <v>0.5</v>
      </c>
      <c r="AC60" s="185">
        <f t="shared" si="4"/>
        <v>2</v>
      </c>
      <c r="AD60" s="185">
        <f t="shared" si="5"/>
        <v>4</v>
      </c>
    </row>
    <row r="61" spans="1:31" x14ac:dyDescent="0.25">
      <c r="A61" s="315">
        <f t="shared" si="6"/>
        <v>60</v>
      </c>
      <c r="B61" s="314" t="s">
        <v>1176</v>
      </c>
      <c r="C61" s="413">
        <v>6</v>
      </c>
      <c r="D61" s="359"/>
      <c r="E61" s="478"/>
      <c r="F61" s="359"/>
      <c r="G61" s="478"/>
      <c r="H61" s="359"/>
      <c r="I61" s="478"/>
      <c r="J61" s="359"/>
      <c r="K61" s="478"/>
      <c r="L61" s="359">
        <v>1</v>
      </c>
      <c r="M61" s="478"/>
      <c r="N61" s="561"/>
      <c r="O61" s="342">
        <f t="shared" si="0"/>
        <v>5</v>
      </c>
      <c r="P61" s="692">
        <f t="shared" si="1"/>
        <v>5</v>
      </c>
      <c r="Q61" s="7">
        <v>40</v>
      </c>
      <c r="R61" s="63"/>
      <c r="S61" s="118">
        <v>46388</v>
      </c>
      <c r="T61" s="316">
        <v>0</v>
      </c>
      <c r="U61" s="316">
        <v>4</v>
      </c>
      <c r="V61" s="199">
        <v>45717</v>
      </c>
      <c r="W61" s="107">
        <v>2</v>
      </c>
      <c r="X61" s="107">
        <v>1</v>
      </c>
      <c r="Y61" s="309">
        <v>1</v>
      </c>
      <c r="Z61" s="309">
        <v>1</v>
      </c>
      <c r="AA61" s="184">
        <f t="shared" si="2"/>
        <v>5</v>
      </c>
      <c r="AB61" s="185">
        <f t="shared" si="3"/>
        <v>1.25</v>
      </c>
      <c r="AC61" s="185">
        <f t="shared" si="4"/>
        <v>5</v>
      </c>
      <c r="AD61" s="185">
        <f t="shared" si="5"/>
        <v>10</v>
      </c>
    </row>
    <row r="62" spans="1:31" x14ac:dyDescent="0.25">
      <c r="A62" s="315">
        <f t="shared" si="6"/>
        <v>61</v>
      </c>
      <c r="B62" s="314" t="s">
        <v>415</v>
      </c>
      <c r="C62" s="413">
        <v>2</v>
      </c>
      <c r="D62" s="359"/>
      <c r="E62" s="478"/>
      <c r="F62" s="360"/>
      <c r="G62" s="480"/>
      <c r="H62" s="360"/>
      <c r="I62" s="480"/>
      <c r="J62" s="360"/>
      <c r="K62" s="480"/>
      <c r="L62" s="360"/>
      <c r="M62" s="480"/>
      <c r="N62" s="562"/>
      <c r="O62" s="342">
        <f t="shared" si="0"/>
        <v>2</v>
      </c>
      <c r="P62" s="692">
        <f t="shared" si="1"/>
        <v>6</v>
      </c>
      <c r="Q62" s="7">
        <v>25</v>
      </c>
      <c r="R62" s="63"/>
      <c r="S62" s="118">
        <v>46266</v>
      </c>
      <c r="T62" s="316">
        <v>2</v>
      </c>
      <c r="U62" s="316">
        <v>2</v>
      </c>
      <c r="V62" s="344">
        <v>45717</v>
      </c>
      <c r="W62" s="309">
        <v>1</v>
      </c>
      <c r="X62" s="309">
        <v>1</v>
      </c>
      <c r="Y62" s="309">
        <v>1</v>
      </c>
      <c r="Z62" s="429">
        <v>1</v>
      </c>
      <c r="AA62" s="184">
        <f t="shared" si="2"/>
        <v>4</v>
      </c>
      <c r="AB62" s="185">
        <f t="shared" si="3"/>
        <v>1</v>
      </c>
      <c r="AC62" s="185">
        <f t="shared" si="4"/>
        <v>4</v>
      </c>
      <c r="AD62" s="185">
        <f t="shared" si="5"/>
        <v>8</v>
      </c>
    </row>
    <row r="63" spans="1:31" x14ac:dyDescent="0.25">
      <c r="A63" s="315">
        <f t="shared" si="6"/>
        <v>62</v>
      </c>
      <c r="B63" s="314" t="s">
        <v>1096</v>
      </c>
      <c r="C63" s="340">
        <v>4</v>
      </c>
      <c r="D63" s="403"/>
      <c r="E63" s="478">
        <v>1</v>
      </c>
      <c r="F63" s="359"/>
      <c r="G63" s="478"/>
      <c r="H63" s="359"/>
      <c r="I63" s="478"/>
      <c r="J63" s="359"/>
      <c r="K63" s="478"/>
      <c r="L63" s="359"/>
      <c r="M63" s="478"/>
      <c r="N63" s="561"/>
      <c r="O63" s="342">
        <f t="shared" si="0"/>
        <v>3</v>
      </c>
      <c r="P63" s="706">
        <v>1</v>
      </c>
      <c r="Q63" s="7">
        <v>10</v>
      </c>
      <c r="R63" s="8"/>
      <c r="S63" s="118">
        <v>46204</v>
      </c>
      <c r="T63" s="315">
        <v>0</v>
      </c>
      <c r="U63" s="318"/>
      <c r="V63" s="83">
        <v>45627</v>
      </c>
      <c r="W63" s="315">
        <v>1</v>
      </c>
      <c r="X63" s="315">
        <v>1</v>
      </c>
      <c r="Y63" s="315">
        <v>1</v>
      </c>
      <c r="Z63" s="315">
        <v>1</v>
      </c>
      <c r="AA63" s="184">
        <f t="shared" si="2"/>
        <v>4</v>
      </c>
      <c r="AB63" s="185">
        <f t="shared" si="3"/>
        <v>1</v>
      </c>
      <c r="AC63" s="185">
        <f t="shared" si="4"/>
        <v>4</v>
      </c>
      <c r="AD63" s="185">
        <f t="shared" si="5"/>
        <v>8</v>
      </c>
    </row>
    <row r="64" spans="1:31" x14ac:dyDescent="0.25">
      <c r="A64" s="315">
        <f t="shared" si="6"/>
        <v>63</v>
      </c>
      <c r="B64" s="314" t="s">
        <v>824</v>
      </c>
      <c r="C64" s="415">
        <v>13</v>
      </c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342">
        <f t="shared" si="0"/>
        <v>13</v>
      </c>
      <c r="P64" s="692">
        <f t="shared" si="1"/>
        <v>1</v>
      </c>
      <c r="Q64" s="7">
        <v>5</v>
      </c>
      <c r="R64" s="8"/>
      <c r="S64" s="118">
        <v>46600</v>
      </c>
      <c r="T64" s="316">
        <v>0</v>
      </c>
      <c r="U64" s="316"/>
      <c r="V64" s="199">
        <v>45658</v>
      </c>
      <c r="W64" s="309">
        <v>1</v>
      </c>
      <c r="X64" s="107">
        <v>3</v>
      </c>
      <c r="Y64" s="309">
        <v>2</v>
      </c>
      <c r="Z64" s="309">
        <v>1</v>
      </c>
      <c r="AA64" s="184">
        <f t="shared" si="2"/>
        <v>7</v>
      </c>
      <c r="AB64" s="185">
        <f t="shared" si="3"/>
        <v>1.75</v>
      </c>
      <c r="AC64" s="185">
        <f t="shared" si="4"/>
        <v>7</v>
      </c>
      <c r="AD64" s="185">
        <f t="shared" si="5"/>
        <v>14</v>
      </c>
    </row>
    <row r="65" spans="1:21" x14ac:dyDescent="0.25">
      <c r="A65" s="315">
        <f t="shared" si="6"/>
        <v>64</v>
      </c>
      <c r="B65" s="3"/>
      <c r="C65" s="340">
        <v>0</v>
      </c>
      <c r="D65" s="363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47"/>
      <c r="P65" s="342"/>
      <c r="Q65" s="47"/>
      <c r="U65" s="120"/>
    </row>
    <row r="66" spans="1:21" x14ac:dyDescent="0.25">
      <c r="A66" s="315">
        <f t="shared" ref="A66:A73" si="7">A65+1</f>
        <v>65</v>
      </c>
      <c r="B66" s="3"/>
      <c r="C66" s="340"/>
      <c r="D66" s="363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47"/>
      <c r="P66" s="342"/>
      <c r="Q66" s="47"/>
      <c r="U66" s="120"/>
    </row>
    <row r="67" spans="1:21" ht="15" customHeight="1" x14ac:dyDescent="0.25">
      <c r="A67" s="315">
        <f t="shared" si="7"/>
        <v>66</v>
      </c>
      <c r="B67" s="3"/>
      <c r="C67" s="340"/>
      <c r="D67" s="363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47"/>
      <c r="P67" s="342"/>
      <c r="Q67" s="47"/>
      <c r="U67" s="120"/>
    </row>
    <row r="68" spans="1:21" x14ac:dyDescent="0.25">
      <c r="A68" s="315">
        <f t="shared" si="7"/>
        <v>67</v>
      </c>
      <c r="B68" s="3"/>
      <c r="C68" s="340"/>
      <c r="D68" s="363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47"/>
      <c r="P68" s="342"/>
      <c r="Q68" s="47"/>
      <c r="U68" s="120"/>
    </row>
    <row r="69" spans="1:21" x14ac:dyDescent="0.25">
      <c r="A69" s="315">
        <f t="shared" si="7"/>
        <v>68</v>
      </c>
      <c r="B69" s="3"/>
      <c r="C69" s="340"/>
      <c r="D69" s="363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47"/>
      <c r="P69" s="342"/>
      <c r="Q69" s="47"/>
      <c r="U69" s="120"/>
    </row>
    <row r="70" spans="1:21" x14ac:dyDescent="0.25">
      <c r="A70" s="315">
        <f t="shared" si="7"/>
        <v>69</v>
      </c>
      <c r="B70" s="3"/>
      <c r="C70" s="340"/>
      <c r="D70" s="363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47"/>
      <c r="P70" s="342"/>
      <c r="Q70" s="47"/>
      <c r="U70" s="120"/>
    </row>
    <row r="71" spans="1:21" x14ac:dyDescent="0.25">
      <c r="A71" s="315">
        <f t="shared" si="7"/>
        <v>70</v>
      </c>
      <c r="B71" s="3"/>
      <c r="C71" s="340"/>
      <c r="D71" s="363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47"/>
      <c r="P71" s="342"/>
      <c r="Q71" s="47"/>
      <c r="U71" s="120"/>
    </row>
    <row r="72" spans="1:21" x14ac:dyDescent="0.25">
      <c r="A72" s="315">
        <f t="shared" si="7"/>
        <v>71</v>
      </c>
      <c r="B72" s="3"/>
      <c r="C72" s="340"/>
      <c r="D72" s="363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47"/>
      <c r="P72" s="340"/>
      <c r="Q72" s="47"/>
      <c r="U72" s="120"/>
    </row>
    <row r="73" spans="1:21" x14ac:dyDescent="0.25">
      <c r="A73" s="315">
        <f t="shared" si="7"/>
        <v>72</v>
      </c>
      <c r="B73" s="3"/>
      <c r="C73" s="340"/>
      <c r="D73" s="363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47"/>
      <c r="P73" s="340"/>
      <c r="Q73" s="47"/>
      <c r="U73" s="120"/>
    </row>
    <row r="74" spans="1:21" x14ac:dyDescent="0.25">
      <c r="B74" s="3"/>
      <c r="C74" s="340"/>
      <c r="D74" s="363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47"/>
      <c r="P74" s="340"/>
      <c r="Q74" s="47"/>
      <c r="U74" s="120"/>
    </row>
    <row r="75" spans="1:21" x14ac:dyDescent="0.25">
      <c r="B75" s="3"/>
      <c r="C75" s="340"/>
      <c r="D75" s="363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47"/>
      <c r="P75" s="340"/>
      <c r="Q75" s="47"/>
      <c r="U75" s="120"/>
    </row>
    <row r="76" spans="1:21" x14ac:dyDescent="0.25">
      <c r="B76" s="3"/>
      <c r="C76" s="340"/>
      <c r="D76" s="363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47"/>
      <c r="P76" s="340"/>
      <c r="Q76" s="47"/>
      <c r="U76" s="120"/>
    </row>
    <row r="77" spans="1:21" x14ac:dyDescent="0.25">
      <c r="B77" s="3"/>
      <c r="C77" s="340"/>
      <c r="D77" s="363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47"/>
      <c r="P77" s="340"/>
      <c r="Q77" s="47"/>
      <c r="U77" s="120"/>
    </row>
    <row r="78" spans="1:21" x14ac:dyDescent="0.25">
      <c r="B78" s="3"/>
      <c r="C78" s="340"/>
      <c r="D78" s="363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47"/>
      <c r="P78" s="340"/>
      <c r="Q78" s="47"/>
      <c r="U78" s="120"/>
    </row>
    <row r="79" spans="1:21" x14ac:dyDescent="0.25">
      <c r="B79" s="3"/>
      <c r="C79" s="340"/>
      <c r="D79" s="363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47"/>
      <c r="P79" s="340"/>
      <c r="Q79" s="47"/>
      <c r="U79" s="120"/>
    </row>
    <row r="80" spans="1:21" x14ac:dyDescent="0.25">
      <c r="B80" s="3"/>
      <c r="C80" s="340"/>
      <c r="D80" s="393"/>
      <c r="E80" s="495"/>
      <c r="F80" s="392"/>
      <c r="G80" s="478"/>
      <c r="H80" s="359"/>
      <c r="I80" s="478"/>
      <c r="J80" s="359"/>
      <c r="K80" s="478"/>
      <c r="L80" s="359"/>
      <c r="M80" s="478"/>
      <c r="N80" s="561"/>
      <c r="O80" s="47"/>
      <c r="P80" s="340"/>
      <c r="Q80" s="47"/>
      <c r="U80" s="120"/>
    </row>
    <row r="81" spans="2:21" x14ac:dyDescent="0.25">
      <c r="B81" s="3"/>
      <c r="C81" s="340"/>
      <c r="D81" s="363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47"/>
      <c r="P81" s="340"/>
      <c r="Q81" s="47"/>
      <c r="U81" s="120"/>
    </row>
    <row r="82" spans="2:21" x14ac:dyDescent="0.25">
      <c r="B82" s="3"/>
      <c r="C82" s="340"/>
      <c r="D82" s="363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47"/>
      <c r="P82" s="340"/>
      <c r="Q82" s="47"/>
      <c r="U82" s="120"/>
    </row>
    <row r="83" spans="2:21" x14ac:dyDescent="0.25">
      <c r="B83" s="3"/>
      <c r="C83" s="340"/>
      <c r="D83" s="363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47"/>
      <c r="P83" s="340"/>
      <c r="Q83" s="47"/>
      <c r="U83" s="120"/>
    </row>
    <row r="84" spans="2:21" x14ac:dyDescent="0.25">
      <c r="B84" s="3"/>
      <c r="C84" s="340"/>
      <c r="D84" s="363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47"/>
      <c r="P84" s="340"/>
      <c r="Q84" s="47"/>
      <c r="U84" s="120"/>
    </row>
    <row r="85" spans="2:21" x14ac:dyDescent="0.25">
      <c r="B85" s="3"/>
      <c r="C85" s="340"/>
      <c r="D85" s="363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47"/>
      <c r="P85" s="340"/>
      <c r="Q85" s="47"/>
      <c r="U85" s="120"/>
    </row>
    <row r="86" spans="2:21" x14ac:dyDescent="0.25">
      <c r="B86" s="3"/>
      <c r="C86" s="340"/>
      <c r="D86" s="363"/>
      <c r="E86" s="478"/>
      <c r="F86" s="359"/>
      <c r="G86" s="499"/>
      <c r="H86" s="362"/>
      <c r="I86" s="499"/>
      <c r="J86" s="362"/>
      <c r="K86" s="499"/>
      <c r="L86" s="362"/>
      <c r="M86" s="499"/>
      <c r="N86" s="576"/>
      <c r="O86" s="47"/>
      <c r="P86" s="340"/>
      <c r="Q86" s="47"/>
      <c r="U86" s="120"/>
    </row>
    <row r="87" spans="2:21" x14ac:dyDescent="0.25">
      <c r="B87" s="3"/>
      <c r="C87" s="340"/>
      <c r="D87" s="363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47"/>
      <c r="P87" s="340"/>
      <c r="Q87" s="47"/>
      <c r="U87" s="120"/>
    </row>
    <row r="88" spans="2:21" x14ac:dyDescent="0.25">
      <c r="B88" s="3"/>
      <c r="C88" s="340"/>
      <c r="D88" s="363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47"/>
      <c r="P88" s="340"/>
      <c r="Q88" s="47"/>
      <c r="U88" s="120"/>
    </row>
    <row r="89" spans="2:21" x14ac:dyDescent="0.25">
      <c r="B89" s="3"/>
      <c r="C89" s="340"/>
      <c r="D89" s="363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47"/>
      <c r="P89" s="340"/>
      <c r="Q89" s="47"/>
      <c r="U89" s="120"/>
    </row>
    <row r="90" spans="2:21" x14ac:dyDescent="0.25">
      <c r="B90" s="3"/>
      <c r="C90" s="340"/>
      <c r="D90" s="363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47"/>
      <c r="P90" s="340"/>
      <c r="Q90" s="47"/>
      <c r="U90" s="120"/>
    </row>
    <row r="91" spans="2:21" x14ac:dyDescent="0.25">
      <c r="B91" s="3"/>
      <c r="C91" s="340"/>
      <c r="D91" s="363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47"/>
      <c r="P91" s="340"/>
      <c r="Q91" s="47"/>
      <c r="U91" s="120"/>
    </row>
    <row r="92" spans="2:21" x14ac:dyDescent="0.25">
      <c r="B92" s="3"/>
      <c r="C92" s="340"/>
      <c r="D92" s="363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47"/>
      <c r="P92" s="340"/>
      <c r="Q92" s="47"/>
      <c r="U92" s="120"/>
    </row>
    <row r="93" spans="2:21" x14ac:dyDescent="0.25">
      <c r="B93" s="3"/>
      <c r="C93" s="340"/>
      <c r="D93" s="363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47"/>
      <c r="P93" s="340"/>
      <c r="Q93" s="47"/>
      <c r="U93" s="120"/>
    </row>
    <row r="94" spans="2:21" x14ac:dyDescent="0.25">
      <c r="B94" s="3"/>
      <c r="C94" s="47"/>
      <c r="D94" s="363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47"/>
      <c r="P94" s="340"/>
      <c r="Q94" s="47"/>
      <c r="U94" s="120"/>
    </row>
    <row r="95" spans="2:21" x14ac:dyDescent="0.25">
      <c r="B95" s="3"/>
      <c r="C95" s="47"/>
      <c r="D95" s="363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47"/>
      <c r="P95" s="340"/>
      <c r="Q95" s="47"/>
      <c r="U95" s="120"/>
    </row>
    <row r="96" spans="2:21" x14ac:dyDescent="0.25">
      <c r="B96" s="3"/>
      <c r="C96" s="47"/>
      <c r="D96" s="363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47"/>
      <c r="P96" s="340"/>
      <c r="Q96" s="47"/>
      <c r="U96" s="120"/>
    </row>
    <row r="97" spans="2:21" x14ac:dyDescent="0.25">
      <c r="B97" s="3"/>
      <c r="C97" s="47"/>
      <c r="D97" s="363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47"/>
      <c r="P97" s="340"/>
      <c r="Q97" s="47"/>
      <c r="U97" s="120"/>
    </row>
    <row r="98" spans="2:21" x14ac:dyDescent="0.25">
      <c r="B98" s="3"/>
      <c r="C98" s="47"/>
      <c r="D98" s="363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47"/>
      <c r="P98" s="340"/>
      <c r="Q98" s="47"/>
      <c r="U98" s="120"/>
    </row>
    <row r="99" spans="2:21" x14ac:dyDescent="0.25">
      <c r="B99" s="3"/>
      <c r="C99" s="47"/>
      <c r="D99" s="363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47"/>
      <c r="P99" s="340"/>
      <c r="Q99" s="47"/>
      <c r="U99" s="120"/>
    </row>
    <row r="100" spans="2:21" x14ac:dyDescent="0.25">
      <c r="B100" s="3"/>
      <c r="C100" s="47"/>
      <c r="D100" s="363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47"/>
      <c r="P100" s="340"/>
      <c r="Q100" s="47"/>
      <c r="U100" s="120"/>
    </row>
    <row r="101" spans="2:21" x14ac:dyDescent="0.25">
      <c r="B101" s="3"/>
      <c r="C101" s="47"/>
      <c r="D101" s="363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47"/>
      <c r="P101" s="340"/>
      <c r="Q101" s="47"/>
      <c r="U101" s="120"/>
    </row>
    <row r="102" spans="2:21" x14ac:dyDescent="0.25">
      <c r="B102" s="3"/>
      <c r="C102" s="47"/>
      <c r="D102" s="363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47"/>
      <c r="P102" s="340"/>
      <c r="Q102" s="47"/>
      <c r="U102" s="120"/>
    </row>
    <row r="103" spans="2:21" x14ac:dyDescent="0.25">
      <c r="B103" s="3"/>
      <c r="C103" s="47"/>
      <c r="D103" s="363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47"/>
      <c r="P103" s="340"/>
      <c r="Q103" s="47"/>
      <c r="U103" s="120"/>
    </row>
    <row r="104" spans="2:21" x14ac:dyDescent="0.25">
      <c r="B104" s="3"/>
      <c r="C104" s="47"/>
      <c r="D104" s="363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47"/>
      <c r="P104" s="340"/>
      <c r="Q104" s="47"/>
      <c r="U104" s="120"/>
    </row>
    <row r="105" spans="2:21" x14ac:dyDescent="0.25">
      <c r="B105" s="3"/>
      <c r="C105" s="47"/>
      <c r="D105" s="363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47"/>
      <c r="P105" s="340"/>
      <c r="Q105" s="47"/>
      <c r="U105" s="120"/>
    </row>
    <row r="106" spans="2:21" x14ac:dyDescent="0.25">
      <c r="B106" s="3"/>
      <c r="C106" s="47"/>
      <c r="D106" s="363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47"/>
      <c r="P106" s="340"/>
      <c r="Q106" s="47"/>
      <c r="U106" s="120"/>
    </row>
    <row r="107" spans="2:21" x14ac:dyDescent="0.25">
      <c r="B107" s="3"/>
      <c r="C107" s="47"/>
      <c r="D107" s="363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47"/>
      <c r="P107" s="340"/>
      <c r="Q107" s="47"/>
      <c r="U107" s="120"/>
    </row>
    <row r="108" spans="2:21" x14ac:dyDescent="0.25">
      <c r="B108" s="3"/>
      <c r="C108" s="47"/>
      <c r="D108" s="363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47"/>
      <c r="P108" s="340"/>
      <c r="Q108" s="47"/>
      <c r="U108" s="120"/>
    </row>
    <row r="109" spans="2:21" x14ac:dyDescent="0.25">
      <c r="B109" s="3"/>
      <c r="C109" s="47"/>
      <c r="D109" s="363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47"/>
      <c r="P109" s="340"/>
      <c r="Q109" s="47"/>
      <c r="U109" s="120"/>
    </row>
    <row r="110" spans="2:21" x14ac:dyDescent="0.25">
      <c r="B110" s="3"/>
      <c r="C110" s="47"/>
      <c r="D110" s="363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47"/>
      <c r="P110" s="340"/>
      <c r="Q110" s="47"/>
      <c r="U110" s="120"/>
    </row>
    <row r="111" spans="2:21" x14ac:dyDescent="0.25">
      <c r="B111" s="3"/>
      <c r="C111" s="47"/>
      <c r="D111" s="363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47"/>
      <c r="P111" s="340"/>
      <c r="Q111" s="47"/>
      <c r="U111" s="120"/>
    </row>
    <row r="112" spans="2:21" x14ac:dyDescent="0.25">
      <c r="B112" s="3"/>
      <c r="C112" s="47"/>
      <c r="D112" s="363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47"/>
      <c r="P112" s="340"/>
      <c r="Q112" s="47"/>
      <c r="U112" s="120"/>
    </row>
    <row r="113" spans="2:21" x14ac:dyDescent="0.25">
      <c r="B113" s="3"/>
      <c r="C113" s="47"/>
      <c r="D113" s="363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47"/>
      <c r="P113" s="340"/>
      <c r="Q113" s="47"/>
      <c r="U113" s="120"/>
    </row>
    <row r="114" spans="2:21" x14ac:dyDescent="0.25">
      <c r="B114" s="3"/>
      <c r="C114" s="47"/>
      <c r="D114" s="363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47"/>
      <c r="P114" s="340"/>
      <c r="Q114" s="47"/>
      <c r="U114" s="120"/>
    </row>
    <row r="115" spans="2:21" x14ac:dyDescent="0.25">
      <c r="B115" s="3"/>
      <c r="C115" s="47"/>
      <c r="D115" s="363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47"/>
      <c r="P115" s="340"/>
      <c r="Q115" s="47"/>
      <c r="U115" s="120"/>
    </row>
    <row r="116" spans="2:21" x14ac:dyDescent="0.25">
      <c r="B116" s="3"/>
      <c r="C116" s="47"/>
      <c r="D116" s="363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47"/>
      <c r="P116" s="340"/>
      <c r="Q116" s="47"/>
      <c r="U116" s="120"/>
    </row>
    <row r="117" spans="2:21" x14ac:dyDescent="0.25">
      <c r="B117" s="3"/>
      <c r="C117" s="47"/>
      <c r="D117" s="363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47"/>
      <c r="P117" s="340"/>
      <c r="Q117" s="47"/>
      <c r="U117" s="120"/>
    </row>
    <row r="118" spans="2:21" x14ac:dyDescent="0.25">
      <c r="B118" s="3"/>
      <c r="C118" s="47"/>
      <c r="D118" s="363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47"/>
      <c r="P118" s="340"/>
      <c r="Q118" s="47"/>
      <c r="U118" s="120"/>
    </row>
    <row r="119" spans="2:21" x14ac:dyDescent="0.25">
      <c r="B119" s="3"/>
      <c r="C119" s="47"/>
      <c r="D119" s="363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47"/>
      <c r="P119" s="340"/>
      <c r="Q119" s="47"/>
      <c r="U119" s="120"/>
    </row>
    <row r="120" spans="2:21" x14ac:dyDescent="0.25">
      <c r="B120" s="3"/>
      <c r="C120" s="47"/>
      <c r="D120" s="363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47"/>
      <c r="P120" s="340"/>
      <c r="Q120" s="47"/>
      <c r="U120" s="120"/>
    </row>
    <row r="121" spans="2:21" x14ac:dyDescent="0.25">
      <c r="B121" s="3"/>
      <c r="C121" s="47"/>
      <c r="D121" s="363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47"/>
      <c r="P121" s="340"/>
      <c r="Q121" s="47"/>
      <c r="U121" s="120"/>
    </row>
    <row r="122" spans="2:21" x14ac:dyDescent="0.25">
      <c r="B122" s="3"/>
      <c r="C122" s="47"/>
      <c r="D122" s="363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47"/>
      <c r="P122" s="340"/>
      <c r="Q122" s="47"/>
    </row>
    <row r="123" spans="2:21" x14ac:dyDescent="0.25">
      <c r="B123" s="3"/>
      <c r="C123" s="47"/>
      <c r="D123" s="363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47"/>
      <c r="P123" s="340"/>
      <c r="Q123" s="47"/>
    </row>
    <row r="124" spans="2:21" x14ac:dyDescent="0.25">
      <c r="B124" s="3"/>
      <c r="C124" s="47"/>
      <c r="D124" s="363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47"/>
      <c r="P124" s="340"/>
      <c r="Q124" s="47"/>
    </row>
    <row r="125" spans="2:21" x14ac:dyDescent="0.25">
      <c r="B125" s="3"/>
      <c r="C125" s="47"/>
      <c r="D125" s="363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47"/>
      <c r="P125" s="340"/>
      <c r="Q125" s="47"/>
    </row>
    <row r="126" spans="2:21" x14ac:dyDescent="0.25">
      <c r="B126" s="3"/>
      <c r="C126" s="47"/>
      <c r="D126" s="363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47"/>
      <c r="P126" s="340"/>
      <c r="Q126" s="47"/>
    </row>
    <row r="127" spans="2:21" x14ac:dyDescent="0.25">
      <c r="B127" s="3"/>
      <c r="C127" s="47"/>
      <c r="D127" s="363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47"/>
      <c r="P127" s="340"/>
      <c r="Q127" s="47"/>
    </row>
    <row r="128" spans="2:21" x14ac:dyDescent="0.25">
      <c r="B128" s="3"/>
      <c r="C128" s="47"/>
      <c r="D128" s="363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47"/>
      <c r="P128" s="340"/>
      <c r="Q128" s="47"/>
    </row>
    <row r="129" spans="2:17" x14ac:dyDescent="0.25">
      <c r="B129" s="3"/>
      <c r="C129" s="47"/>
      <c r="D129" s="363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47"/>
      <c r="P129" s="340"/>
      <c r="Q129" s="47"/>
    </row>
    <row r="130" spans="2:17" x14ac:dyDescent="0.25">
      <c r="B130" s="3"/>
      <c r="C130" s="47"/>
      <c r="D130" s="363"/>
      <c r="E130" s="478"/>
      <c r="F130" s="359"/>
      <c r="G130" s="478"/>
      <c r="H130" s="359"/>
      <c r="I130" s="499"/>
      <c r="J130" s="362"/>
      <c r="K130" s="478"/>
      <c r="L130" s="359"/>
      <c r="M130" s="478"/>
      <c r="N130" s="561"/>
      <c r="O130" s="47"/>
      <c r="P130" s="340"/>
      <c r="Q130" s="47"/>
    </row>
    <row r="131" spans="2:17" x14ac:dyDescent="0.25">
      <c r="B131" s="3"/>
      <c r="C131" s="47"/>
      <c r="D131" s="363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47"/>
      <c r="P131" s="340"/>
      <c r="Q131" s="47"/>
    </row>
    <row r="132" spans="2:17" x14ac:dyDescent="0.25">
      <c r="B132" s="3"/>
      <c r="C132" s="47"/>
      <c r="D132" s="363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47"/>
      <c r="P132" s="340"/>
      <c r="Q132" s="47"/>
    </row>
    <row r="133" spans="2:17" x14ac:dyDescent="0.25">
      <c r="B133" s="3"/>
      <c r="C133" s="47"/>
      <c r="D133" s="363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47"/>
      <c r="P133" s="340"/>
      <c r="Q133" s="47"/>
    </row>
    <row r="134" spans="2:17" x14ac:dyDescent="0.25">
      <c r="B134" s="3"/>
      <c r="C134" s="47"/>
      <c r="D134" s="363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47"/>
      <c r="P134" s="340"/>
      <c r="Q134" s="47"/>
    </row>
    <row r="135" spans="2:17" x14ac:dyDescent="0.25">
      <c r="B135" s="3"/>
      <c r="C135" s="47"/>
      <c r="D135" s="363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47"/>
      <c r="P135" s="340"/>
      <c r="Q135" s="47"/>
    </row>
    <row r="136" spans="2:17" x14ac:dyDescent="0.25">
      <c r="B136" s="3"/>
      <c r="C136" s="47"/>
      <c r="D136" s="363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47"/>
      <c r="P136" s="340"/>
      <c r="Q136" s="47"/>
    </row>
    <row r="137" spans="2:17" x14ac:dyDescent="0.25">
      <c r="B137" s="3"/>
      <c r="C137" s="46"/>
      <c r="D137" s="394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47"/>
      <c r="P137" s="340"/>
      <c r="Q137" s="47"/>
    </row>
    <row r="138" spans="2:17" x14ac:dyDescent="0.25">
      <c r="B138" s="3"/>
      <c r="C138" s="47"/>
      <c r="D138" s="363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47"/>
      <c r="P138" s="340"/>
      <c r="Q138" s="47"/>
    </row>
    <row r="139" spans="2:17" x14ac:dyDescent="0.25">
      <c r="B139" s="3"/>
      <c r="C139" s="47"/>
      <c r="D139" s="363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47"/>
      <c r="P139" s="340"/>
      <c r="Q139" s="47"/>
    </row>
    <row r="140" spans="2:17" x14ac:dyDescent="0.25">
      <c r="B140" s="3"/>
      <c r="C140" s="47"/>
      <c r="D140" s="363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47"/>
      <c r="P140" s="340"/>
      <c r="Q140" s="47"/>
    </row>
    <row r="141" spans="2:17" x14ac:dyDescent="0.25">
      <c r="B141" s="3"/>
      <c r="C141" s="47"/>
      <c r="D141" s="363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47"/>
      <c r="P141" s="340"/>
      <c r="Q141" s="47"/>
    </row>
    <row r="142" spans="2:17" x14ac:dyDescent="0.25">
      <c r="B142" s="3"/>
      <c r="C142" s="47"/>
      <c r="D142" s="363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47"/>
      <c r="P142" s="340"/>
      <c r="Q142" s="47"/>
    </row>
    <row r="143" spans="2:17" x14ac:dyDescent="0.25">
      <c r="B143" s="3"/>
      <c r="C143" s="47"/>
      <c r="D143" s="363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47"/>
      <c r="P143" s="340"/>
      <c r="Q143" s="47"/>
    </row>
    <row r="144" spans="2:17" x14ac:dyDescent="0.25">
      <c r="B144" s="3"/>
      <c r="C144" s="47"/>
      <c r="D144" s="363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47"/>
      <c r="P144" s="340"/>
      <c r="Q144" s="47"/>
    </row>
    <row r="145" spans="2:17" x14ac:dyDescent="0.25">
      <c r="B145" s="3"/>
      <c r="C145" s="47"/>
      <c r="D145" s="363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47"/>
      <c r="P145" s="340"/>
      <c r="Q145" s="47"/>
    </row>
    <row r="146" spans="2:17" x14ac:dyDescent="0.25">
      <c r="B146" s="3"/>
      <c r="C146" s="47"/>
      <c r="D146" s="363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47"/>
      <c r="P146" s="340"/>
      <c r="Q146" s="47"/>
    </row>
    <row r="147" spans="2:17" x14ac:dyDescent="0.25">
      <c r="B147" s="3"/>
      <c r="C147" s="47"/>
      <c r="D147" s="363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47"/>
      <c r="P147" s="340"/>
      <c r="Q147" s="47"/>
    </row>
    <row r="148" spans="2:17" x14ac:dyDescent="0.25">
      <c r="B148" s="3"/>
      <c r="C148" s="47"/>
      <c r="D148" s="363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47"/>
      <c r="P148" s="340"/>
      <c r="Q148" s="47"/>
    </row>
    <row r="149" spans="2:17" x14ac:dyDescent="0.25">
      <c r="B149" s="3"/>
      <c r="C149" s="47"/>
      <c r="D149" s="363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47"/>
      <c r="P149" s="340"/>
      <c r="Q149" s="47"/>
    </row>
    <row r="150" spans="2:17" x14ac:dyDescent="0.25">
      <c r="B150" s="3"/>
      <c r="C150" s="47"/>
      <c r="D150" s="363"/>
      <c r="E150" s="478"/>
      <c r="F150" s="359"/>
      <c r="G150" s="478"/>
      <c r="H150" s="359"/>
      <c r="I150" s="478"/>
      <c r="J150" s="359"/>
      <c r="K150" s="478"/>
      <c r="L150" s="359"/>
      <c r="M150" s="478"/>
      <c r="N150" s="561"/>
      <c r="O150" s="47"/>
      <c r="P150" s="340"/>
      <c r="Q150" s="47"/>
    </row>
    <row r="151" spans="2:17" x14ac:dyDescent="0.25">
      <c r="B151" s="3"/>
      <c r="C151" s="47"/>
      <c r="D151" s="363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47"/>
      <c r="P151" s="340"/>
      <c r="Q151" s="47"/>
    </row>
    <row r="152" spans="2:17" x14ac:dyDescent="0.25">
      <c r="B152" s="3"/>
      <c r="C152" s="47"/>
      <c r="D152" s="363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47"/>
      <c r="P152" s="340"/>
      <c r="Q152" s="47"/>
    </row>
    <row r="153" spans="2:17" x14ac:dyDescent="0.25">
      <c r="B153" s="3"/>
      <c r="C153" s="47"/>
      <c r="D153" s="363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47"/>
      <c r="P153" s="340"/>
      <c r="Q153" s="47"/>
    </row>
    <row r="154" spans="2:17" x14ac:dyDescent="0.25">
      <c r="B154" s="3"/>
      <c r="C154" s="47"/>
      <c r="D154" s="363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47"/>
      <c r="P154" s="340"/>
      <c r="Q154" s="47"/>
    </row>
    <row r="155" spans="2:17" x14ac:dyDescent="0.25">
      <c r="B155" s="3"/>
      <c r="C155" s="47"/>
      <c r="D155" s="363"/>
      <c r="E155" s="478"/>
      <c r="F155" s="392"/>
      <c r="G155" s="492"/>
      <c r="H155" s="395"/>
      <c r="I155" s="478"/>
      <c r="J155" s="359"/>
      <c r="K155" s="478"/>
      <c r="L155" s="359"/>
      <c r="M155" s="478"/>
      <c r="N155" s="561"/>
      <c r="O155" s="47"/>
      <c r="P155" s="340"/>
      <c r="Q155" s="47"/>
    </row>
    <row r="156" spans="2:17" x14ac:dyDescent="0.25">
      <c r="B156" s="3"/>
    </row>
  </sheetData>
  <autoFilter ref="C1:V68"/>
  <sortState ref="B2:AD64">
    <sortCondition ref="B2"/>
  </sortState>
  <pageMargins left="0.7" right="0.7" top="0.75" bottom="0.75" header="0.3" footer="0.3"/>
  <pageSetup paperSize="9" orientation="portrait" horizontalDpi="429496729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Q355"/>
  <sheetViews>
    <sheetView workbookViewId="0">
      <selection activeCell="G15" sqref="G15"/>
    </sheetView>
  </sheetViews>
  <sheetFormatPr baseColWidth="10" defaultRowHeight="15" x14ac:dyDescent="0.25"/>
  <cols>
    <col min="1" max="1" width="4.42578125" style="13" customWidth="1"/>
    <col min="2" max="2" width="50.85546875" style="16" bestFit="1" customWidth="1"/>
    <col min="3" max="3" width="10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9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  <c r="I1" s="55"/>
    </row>
    <row r="2" spans="1:9" x14ac:dyDescent="0.25">
      <c r="A2" s="3">
        <v>1</v>
      </c>
      <c r="B2" s="314" t="s">
        <v>1021</v>
      </c>
      <c r="C2" s="339">
        <v>65</v>
      </c>
      <c r="D2" s="15">
        <v>2.5</v>
      </c>
      <c r="E2" s="7">
        <v>4.8</v>
      </c>
      <c r="F2" s="26">
        <f t="shared" ref="F2:F14" si="0">(E2-D2)/(E2)</f>
        <v>0.47916666666666663</v>
      </c>
      <c r="G2" s="30">
        <f t="shared" ref="G2:G11" si="1">D2*C2</f>
        <v>162.5</v>
      </c>
      <c r="H2" s="25">
        <f t="shared" ref="H2:H10" si="2">E2*C2</f>
        <v>312</v>
      </c>
      <c r="I2" s="16"/>
    </row>
    <row r="3" spans="1:9" x14ac:dyDescent="0.25">
      <c r="A3" s="3">
        <f t="shared" ref="A3:A17" si="3">A2+1</f>
        <v>2</v>
      </c>
      <c r="B3" s="314" t="s">
        <v>1015</v>
      </c>
      <c r="C3" s="298">
        <v>40</v>
      </c>
      <c r="D3" s="15">
        <v>2.4</v>
      </c>
      <c r="E3" s="7">
        <v>4.8</v>
      </c>
      <c r="F3" s="26">
        <f t="shared" si="0"/>
        <v>0.5</v>
      </c>
      <c r="G3" s="30">
        <f t="shared" si="1"/>
        <v>96</v>
      </c>
      <c r="H3" s="25">
        <f t="shared" si="2"/>
        <v>192</v>
      </c>
      <c r="I3" s="49"/>
    </row>
    <row r="4" spans="1:9" x14ac:dyDescent="0.25">
      <c r="A4" s="3">
        <f t="shared" si="3"/>
        <v>3</v>
      </c>
      <c r="B4" s="314" t="s">
        <v>1016</v>
      </c>
      <c r="C4" s="340">
        <v>79</v>
      </c>
      <c r="D4" s="15">
        <v>2.63</v>
      </c>
      <c r="E4" s="7">
        <v>4.8</v>
      </c>
      <c r="F4" s="26">
        <f t="shared" si="0"/>
        <v>0.45208333333333334</v>
      </c>
      <c r="G4" s="30">
        <f t="shared" si="1"/>
        <v>207.76999999999998</v>
      </c>
      <c r="H4" s="25">
        <f t="shared" si="2"/>
        <v>379.2</v>
      </c>
      <c r="I4" s="49"/>
    </row>
    <row r="5" spans="1:9" x14ac:dyDescent="0.25">
      <c r="A5" s="3">
        <f t="shared" si="3"/>
        <v>4</v>
      </c>
      <c r="B5" s="314" t="s">
        <v>1017</v>
      </c>
      <c r="C5" s="340">
        <v>150</v>
      </c>
      <c r="D5" s="15">
        <v>2.87</v>
      </c>
      <c r="E5" s="7">
        <v>5</v>
      </c>
      <c r="F5" s="26">
        <f t="shared" si="0"/>
        <v>0.42599999999999999</v>
      </c>
      <c r="G5" s="30">
        <f t="shared" si="1"/>
        <v>430.5</v>
      </c>
      <c r="H5" s="25">
        <f t="shared" si="2"/>
        <v>750</v>
      </c>
      <c r="I5" s="49"/>
    </row>
    <row r="6" spans="1:9" x14ac:dyDescent="0.25">
      <c r="A6" s="3">
        <f t="shared" si="3"/>
        <v>5</v>
      </c>
      <c r="B6" s="314" t="s">
        <v>1018</v>
      </c>
      <c r="C6" s="340">
        <v>0</v>
      </c>
      <c r="D6" s="15">
        <v>8.7899999999999991</v>
      </c>
      <c r="E6" s="7">
        <v>16</v>
      </c>
      <c r="F6" s="26">
        <f t="shared" si="0"/>
        <v>0.45062500000000005</v>
      </c>
      <c r="G6" s="30">
        <f t="shared" si="1"/>
        <v>0</v>
      </c>
      <c r="H6" s="25">
        <f t="shared" si="2"/>
        <v>0</v>
      </c>
      <c r="I6" s="49"/>
    </row>
    <row r="7" spans="1:9" ht="14.25" customHeight="1" x14ac:dyDescent="0.25">
      <c r="A7" s="3">
        <f t="shared" si="3"/>
        <v>6</v>
      </c>
      <c r="B7" s="314" t="s">
        <v>1019</v>
      </c>
      <c r="C7" s="340">
        <v>37</v>
      </c>
      <c r="D7" s="15">
        <v>2.9</v>
      </c>
      <c r="E7" s="7">
        <v>6</v>
      </c>
      <c r="F7" s="26">
        <f t="shared" si="0"/>
        <v>0.51666666666666672</v>
      </c>
      <c r="G7" s="30">
        <f t="shared" si="1"/>
        <v>107.3</v>
      </c>
      <c r="H7" s="25">
        <f t="shared" si="2"/>
        <v>222</v>
      </c>
      <c r="I7" s="49"/>
    </row>
    <row r="8" spans="1:9" x14ac:dyDescent="0.25">
      <c r="A8" s="3">
        <f t="shared" si="3"/>
        <v>7</v>
      </c>
      <c r="B8" s="314" t="s">
        <v>1338</v>
      </c>
      <c r="C8" s="340">
        <v>69</v>
      </c>
      <c r="D8" s="15">
        <v>1.38</v>
      </c>
      <c r="E8" s="7">
        <v>2.8</v>
      </c>
      <c r="F8" s="26">
        <f t="shared" si="0"/>
        <v>0.50714285714285712</v>
      </c>
      <c r="G8" s="30">
        <f t="shared" si="1"/>
        <v>95.22</v>
      </c>
      <c r="H8" s="25">
        <f t="shared" si="2"/>
        <v>193.2</v>
      </c>
      <c r="I8" s="49"/>
    </row>
    <row r="9" spans="1:9" x14ac:dyDescent="0.25">
      <c r="A9" s="3">
        <f t="shared" si="3"/>
        <v>8</v>
      </c>
      <c r="B9" s="314" t="s">
        <v>1020</v>
      </c>
      <c r="C9" s="340">
        <v>46</v>
      </c>
      <c r="D9" s="15">
        <v>2.8</v>
      </c>
      <c r="E9" s="7">
        <v>4.8</v>
      </c>
      <c r="F9" s="26">
        <f t="shared" si="0"/>
        <v>0.41666666666666669</v>
      </c>
      <c r="G9" s="30">
        <f t="shared" si="1"/>
        <v>128.79999999999998</v>
      </c>
      <c r="H9" s="25">
        <f t="shared" si="2"/>
        <v>220.79999999999998</v>
      </c>
      <c r="I9" s="49"/>
    </row>
    <row r="10" spans="1:9" x14ac:dyDescent="0.25">
      <c r="A10" s="3">
        <f t="shared" si="3"/>
        <v>9</v>
      </c>
      <c r="B10" s="3"/>
      <c r="C10" s="340">
        <v>0</v>
      </c>
      <c r="D10" s="15"/>
      <c r="E10" s="7"/>
      <c r="G10" s="30">
        <f t="shared" si="1"/>
        <v>0</v>
      </c>
      <c r="H10" s="25">
        <f t="shared" si="2"/>
        <v>0</v>
      </c>
      <c r="I10" s="49"/>
    </row>
    <row r="11" spans="1:9" x14ac:dyDescent="0.25">
      <c r="A11" s="3">
        <f t="shared" si="3"/>
        <v>10</v>
      </c>
      <c r="B11" s="165"/>
      <c r="C11" s="8"/>
      <c r="D11" s="166"/>
      <c r="E11" s="167"/>
      <c r="F11" s="26" t="e">
        <f t="shared" si="0"/>
        <v>#DIV/0!</v>
      </c>
      <c r="G11" s="30">
        <f t="shared" si="1"/>
        <v>0</v>
      </c>
      <c r="H11" s="25">
        <f>E11*C11</f>
        <v>0</v>
      </c>
      <c r="I11" s="49"/>
    </row>
    <row r="12" spans="1:9" x14ac:dyDescent="0.25">
      <c r="A12" s="314">
        <f t="shared" si="3"/>
        <v>11</v>
      </c>
      <c r="B12" s="4"/>
      <c r="C12" s="8"/>
      <c r="D12" s="10"/>
      <c r="E12" s="7"/>
      <c r="F12" s="26" t="e">
        <f t="shared" si="0"/>
        <v>#DIV/0!</v>
      </c>
      <c r="G12" s="30">
        <f>D12*C12</f>
        <v>0</v>
      </c>
      <c r="H12" s="25">
        <f>E12*C12</f>
        <v>0</v>
      </c>
      <c r="I12" s="49"/>
    </row>
    <row r="13" spans="1:9" x14ac:dyDescent="0.25">
      <c r="A13" s="314">
        <f t="shared" si="3"/>
        <v>12</v>
      </c>
      <c r="B13" s="4"/>
      <c r="C13" s="8"/>
      <c r="D13" s="15"/>
      <c r="E13" s="7"/>
      <c r="F13" s="26" t="e">
        <f t="shared" si="0"/>
        <v>#DIV/0!</v>
      </c>
      <c r="G13" s="30">
        <f>D13*C13</f>
        <v>0</v>
      </c>
      <c r="H13" s="25">
        <f>E13*C13</f>
        <v>0</v>
      </c>
      <c r="I13" s="16"/>
    </row>
    <row r="14" spans="1:9" x14ac:dyDescent="0.25">
      <c r="A14" s="314">
        <f t="shared" si="3"/>
        <v>13</v>
      </c>
      <c r="B14" s="4"/>
      <c r="C14" s="8"/>
      <c r="D14" s="15"/>
      <c r="E14" s="7"/>
      <c r="F14" s="26" t="e">
        <f t="shared" si="0"/>
        <v>#DIV/0!</v>
      </c>
      <c r="G14" s="30">
        <f>D14*C14</f>
        <v>0</v>
      </c>
      <c r="H14" s="25">
        <f>E14*C14</f>
        <v>0</v>
      </c>
      <c r="I14" s="16"/>
    </row>
    <row r="15" spans="1:9" x14ac:dyDescent="0.25">
      <c r="A15" s="314">
        <f t="shared" si="3"/>
        <v>14</v>
      </c>
      <c r="B15" s="4"/>
      <c r="C15" s="54"/>
      <c r="D15" s="10"/>
      <c r="E15" s="7"/>
      <c r="G15" s="30">
        <f>SUM(G2:G14)</f>
        <v>1228.0899999999999</v>
      </c>
      <c r="H15" s="25">
        <f>SUM(H2:H14)</f>
        <v>2269.2000000000003</v>
      </c>
      <c r="I15" s="16"/>
    </row>
    <row r="16" spans="1:9" x14ac:dyDescent="0.25">
      <c r="A16" s="314">
        <f t="shared" si="3"/>
        <v>15</v>
      </c>
      <c r="B16" s="4"/>
      <c r="C16" s="9"/>
      <c r="D16" s="10"/>
      <c r="E16" s="7"/>
      <c r="G16" s="30"/>
      <c r="H16" s="25">
        <f>H15-G15</f>
        <v>1041.1100000000004</v>
      </c>
    </row>
    <row r="17" spans="1:8" x14ac:dyDescent="0.25">
      <c r="A17" s="314">
        <f t="shared" si="3"/>
        <v>16</v>
      </c>
      <c r="B17" s="4"/>
      <c r="C17" s="9"/>
      <c r="D17" s="15"/>
      <c r="E17" s="7"/>
      <c r="G17" s="30"/>
      <c r="H17" s="29">
        <f>H16/H15</f>
        <v>0.45880045831129923</v>
      </c>
    </row>
    <row r="18" spans="1:8" x14ac:dyDescent="0.25">
      <c r="B18" s="4"/>
      <c r="C18" s="9"/>
      <c r="D18" s="15"/>
      <c r="E18" s="7"/>
      <c r="G18" s="30"/>
      <c r="H18" s="25"/>
    </row>
    <row r="19" spans="1:8" x14ac:dyDescent="0.25">
      <c r="B19" s="4"/>
      <c r="C19" s="8"/>
      <c r="D19" s="15"/>
      <c r="E19" s="7"/>
      <c r="G19" s="30"/>
      <c r="H19" s="25"/>
    </row>
    <row r="20" spans="1:8" x14ac:dyDescent="0.25">
      <c r="B20" s="4"/>
      <c r="C20" s="9"/>
      <c r="D20" s="15"/>
      <c r="E20" s="7"/>
      <c r="G20" s="30"/>
      <c r="H20" s="25"/>
    </row>
    <row r="21" spans="1:8" x14ac:dyDescent="0.25">
      <c r="B21" s="4"/>
      <c r="C21" s="9"/>
      <c r="D21" s="15"/>
      <c r="E21" s="7"/>
      <c r="G21" s="30"/>
      <c r="H21" s="25"/>
    </row>
    <row r="22" spans="1:8" x14ac:dyDescent="0.25">
      <c r="B22" s="4"/>
      <c r="C22" s="9"/>
      <c r="D22" s="10"/>
      <c r="E22" s="7"/>
      <c r="G22" s="30"/>
      <c r="H22" s="25"/>
    </row>
    <row r="23" spans="1:8" x14ac:dyDescent="0.25">
      <c r="B23" s="4"/>
      <c r="C23" s="9"/>
      <c r="D23" s="15"/>
      <c r="E23" s="7"/>
      <c r="G23" s="30"/>
      <c r="H23" s="25"/>
    </row>
    <row r="24" spans="1:8" x14ac:dyDescent="0.25">
      <c r="B24" s="4"/>
      <c r="C24" s="8"/>
      <c r="D24" s="15"/>
      <c r="E24" s="7"/>
      <c r="G24" s="30"/>
      <c r="H24" s="25"/>
    </row>
    <row r="25" spans="1:8" x14ac:dyDescent="0.25">
      <c r="B25" s="4"/>
      <c r="C25" s="8"/>
      <c r="D25" s="10"/>
      <c r="E25" s="7"/>
      <c r="G25" s="30"/>
      <c r="H25" s="25"/>
    </row>
    <row r="26" spans="1:8" x14ac:dyDescent="0.25">
      <c r="B26" s="4"/>
      <c r="C26" s="9"/>
      <c r="D26" s="10"/>
      <c r="E26" s="7"/>
      <c r="G26" s="30"/>
      <c r="H26" s="25"/>
    </row>
    <row r="27" spans="1:8" x14ac:dyDescent="0.25">
      <c r="B27" s="4"/>
      <c r="C27" s="8"/>
      <c r="D27" s="15"/>
      <c r="E27" s="7"/>
      <c r="G27" s="30"/>
      <c r="H27" s="25"/>
    </row>
    <row r="28" spans="1:8" x14ac:dyDescent="0.25">
      <c r="B28" s="4"/>
      <c r="C28" s="9"/>
      <c r="D28" s="15"/>
      <c r="E28" s="7"/>
      <c r="G28" s="30"/>
      <c r="H28" s="25"/>
    </row>
    <row r="29" spans="1:8" x14ac:dyDescent="0.25">
      <c r="B29" s="4"/>
      <c r="C29" s="8"/>
      <c r="D29" s="15"/>
      <c r="E29" s="7"/>
      <c r="G29" s="30"/>
      <c r="H29" s="25"/>
    </row>
    <row r="30" spans="1:8" x14ac:dyDescent="0.25">
      <c r="B30" s="4"/>
      <c r="C30" s="9"/>
      <c r="D30" s="15"/>
      <c r="E30" s="7"/>
      <c r="G30" s="30"/>
      <c r="H30" s="25"/>
    </row>
    <row r="31" spans="1:8" x14ac:dyDescent="0.25">
      <c r="B31" s="4"/>
      <c r="C31" s="9"/>
      <c r="D31" s="15"/>
      <c r="E31" s="7"/>
      <c r="G31" s="30"/>
      <c r="H31" s="25"/>
    </row>
    <row r="32" spans="1:8" x14ac:dyDescent="0.25">
      <c r="B32" s="4"/>
      <c r="C32" s="9"/>
      <c r="D32" s="15"/>
      <c r="E32" s="7"/>
      <c r="G32" s="30"/>
      <c r="H32" s="25"/>
    </row>
    <row r="33" spans="2:17" x14ac:dyDescent="0.25">
      <c r="B33" s="4"/>
      <c r="C33" s="8"/>
      <c r="D33" s="15"/>
      <c r="E33" s="7"/>
      <c r="G33" s="30"/>
      <c r="H33" s="25"/>
    </row>
    <row r="34" spans="2:17" x14ac:dyDescent="0.25">
      <c r="B34" s="4"/>
      <c r="C34" s="8"/>
      <c r="D34" s="15"/>
      <c r="E34" s="7"/>
      <c r="G34" s="30"/>
      <c r="H34" s="25"/>
    </row>
    <row r="35" spans="2:17" x14ac:dyDescent="0.25">
      <c r="B35" s="4"/>
      <c r="C35" s="8"/>
      <c r="D35" s="15"/>
      <c r="E35" s="7"/>
      <c r="G35" s="30"/>
      <c r="H35" s="25"/>
    </row>
    <row r="36" spans="2:17" x14ac:dyDescent="0.25">
      <c r="B36" s="4"/>
      <c r="C36" s="9"/>
      <c r="D36" s="15"/>
      <c r="E36" s="7"/>
      <c r="G36" s="30"/>
      <c r="H36" s="25"/>
    </row>
    <row r="37" spans="2:17" x14ac:dyDescent="0.25">
      <c r="B37" s="4"/>
      <c r="C37" s="9"/>
      <c r="D37" s="15"/>
      <c r="E37" s="7"/>
      <c r="G37" s="30"/>
      <c r="H37" s="25"/>
    </row>
    <row r="38" spans="2:17" x14ac:dyDescent="0.25">
      <c r="B38" s="4"/>
      <c r="C38" s="9"/>
      <c r="D38" s="15"/>
      <c r="E38" s="7"/>
      <c r="G38" s="30"/>
      <c r="H38" s="25"/>
    </row>
    <row r="39" spans="2:17" x14ac:dyDescent="0.25">
      <c r="B39" s="4"/>
      <c r="C39" s="8"/>
      <c r="D39" s="15"/>
      <c r="E39" s="7"/>
      <c r="G39" s="30"/>
      <c r="H39" s="25"/>
    </row>
    <row r="40" spans="2:17" x14ac:dyDescent="0.25">
      <c r="B40" s="4"/>
      <c r="C40" s="9"/>
      <c r="D40" s="15"/>
      <c r="E40" s="7"/>
      <c r="G40" s="30"/>
      <c r="H40" s="25"/>
    </row>
    <row r="41" spans="2:17" x14ac:dyDescent="0.25">
      <c r="B41" s="4"/>
      <c r="C41" s="9"/>
      <c r="D41" s="15"/>
      <c r="E41" s="7"/>
      <c r="G41" s="30"/>
      <c r="H41" s="25"/>
      <c r="J41" s="38"/>
      <c r="K41" s="38"/>
      <c r="L41" s="37"/>
      <c r="M41" s="36"/>
      <c r="N41" s="36"/>
      <c r="O41" s="35"/>
      <c r="P41" s="34"/>
      <c r="Q41" s="33"/>
    </row>
    <row r="42" spans="2:17" x14ac:dyDescent="0.25">
      <c r="B42" s="4"/>
      <c r="C42" s="8"/>
      <c r="D42" s="15"/>
      <c r="E42" s="7"/>
      <c r="G42" s="30"/>
      <c r="H42" s="25"/>
    </row>
    <row r="43" spans="2:17" x14ac:dyDescent="0.25">
      <c r="B43" s="4"/>
      <c r="C43" s="9"/>
      <c r="D43" s="15"/>
      <c r="E43" s="7"/>
      <c r="G43" s="30"/>
      <c r="H43" s="25"/>
    </row>
    <row r="44" spans="2:17" x14ac:dyDescent="0.25">
      <c r="B44" s="4"/>
      <c r="C44" s="8"/>
      <c r="D44" s="15"/>
      <c r="E44" s="7"/>
      <c r="G44" s="30"/>
      <c r="H44" s="25"/>
    </row>
    <row r="45" spans="2:17" x14ac:dyDescent="0.25">
      <c r="B45" s="4"/>
      <c r="C45" s="8"/>
      <c r="D45" s="15"/>
      <c r="E45" s="7"/>
      <c r="G45" s="30"/>
      <c r="H45" s="25"/>
    </row>
    <row r="46" spans="2:17" x14ac:dyDescent="0.25">
      <c r="B46" s="4"/>
      <c r="C46" s="8"/>
      <c r="D46" s="15"/>
      <c r="E46" s="7"/>
      <c r="G46" s="30"/>
      <c r="H46" s="25"/>
    </row>
    <row r="47" spans="2:17" x14ac:dyDescent="0.25">
      <c r="B47" s="4"/>
      <c r="C47" s="9"/>
      <c r="D47" s="15"/>
      <c r="E47" s="7"/>
      <c r="G47" s="30"/>
      <c r="H47" s="25"/>
    </row>
    <row r="48" spans="2:17" x14ac:dyDescent="0.25">
      <c r="B48" s="4"/>
      <c r="C48" s="9"/>
      <c r="D48" s="15"/>
      <c r="E48" s="7"/>
      <c r="G48" s="30"/>
      <c r="H48" s="25"/>
    </row>
    <row r="49" spans="2:8" x14ac:dyDescent="0.25">
      <c r="B49" s="4"/>
      <c r="C49" s="9"/>
      <c r="D49" s="15"/>
      <c r="E49" s="7"/>
      <c r="H49" s="25"/>
    </row>
    <row r="50" spans="2:8" x14ac:dyDescent="0.25">
      <c r="B50" s="4"/>
      <c r="C50" s="9"/>
      <c r="D50" s="15"/>
      <c r="E50" s="7"/>
      <c r="G50" s="30"/>
      <c r="H50" s="25"/>
    </row>
    <row r="51" spans="2:8" x14ac:dyDescent="0.25">
      <c r="B51" s="4"/>
      <c r="C51" s="9"/>
      <c r="D51" s="15"/>
      <c r="E51" s="7"/>
      <c r="G51" s="30"/>
      <c r="H51" s="25"/>
    </row>
    <row r="52" spans="2:8" x14ac:dyDescent="0.25">
      <c r="B52" s="4"/>
      <c r="C52" s="9"/>
      <c r="D52" s="15"/>
      <c r="E52" s="7"/>
      <c r="G52" s="30"/>
      <c r="H52" s="25"/>
    </row>
    <row r="53" spans="2:8" x14ac:dyDescent="0.25">
      <c r="B53" s="4"/>
      <c r="C53" s="8"/>
      <c r="D53" s="15"/>
      <c r="E53" s="7"/>
      <c r="G53" s="30"/>
      <c r="H53" s="25"/>
    </row>
    <row r="54" spans="2:8" x14ac:dyDescent="0.25">
      <c r="B54" s="4"/>
      <c r="C54" s="9"/>
      <c r="D54" s="15"/>
      <c r="E54" s="7"/>
      <c r="G54" s="30"/>
      <c r="H54" s="25"/>
    </row>
    <row r="55" spans="2:8" x14ac:dyDescent="0.25">
      <c r="B55" s="4"/>
      <c r="C55" s="9"/>
      <c r="D55" s="10"/>
      <c r="E55" s="7"/>
      <c r="G55" s="30"/>
      <c r="H55" s="25"/>
    </row>
    <row r="56" spans="2:8" x14ac:dyDescent="0.25">
      <c r="B56" s="4"/>
      <c r="C56" s="9"/>
      <c r="D56" s="15"/>
      <c r="E56" s="7"/>
      <c r="G56" s="30"/>
      <c r="H56" s="25"/>
    </row>
    <row r="57" spans="2:8" x14ac:dyDescent="0.25">
      <c r="B57" s="4"/>
      <c r="C57" s="9"/>
      <c r="D57" s="15"/>
      <c r="E57" s="7"/>
      <c r="G57" s="30"/>
      <c r="H57" s="25"/>
    </row>
    <row r="58" spans="2:8" x14ac:dyDescent="0.25">
      <c r="B58" s="4"/>
      <c r="C58" s="9"/>
      <c r="D58" s="15"/>
      <c r="E58" s="7"/>
      <c r="G58" s="30"/>
      <c r="H58" s="25"/>
    </row>
    <row r="59" spans="2:8" x14ac:dyDescent="0.25">
      <c r="B59" s="4"/>
      <c r="C59" s="9"/>
      <c r="D59" s="15"/>
      <c r="E59" s="7"/>
      <c r="G59" s="30"/>
      <c r="H59" s="25"/>
    </row>
    <row r="60" spans="2:8" x14ac:dyDescent="0.25">
      <c r="B60" s="4"/>
      <c r="C60" s="9"/>
      <c r="D60" s="15"/>
      <c r="E60" s="7"/>
      <c r="G60" s="30"/>
      <c r="H60" s="25"/>
    </row>
    <row r="61" spans="2:8" x14ac:dyDescent="0.25">
      <c r="B61" s="4"/>
      <c r="C61" s="9"/>
      <c r="D61" s="15"/>
      <c r="E61" s="7"/>
      <c r="G61" s="30"/>
      <c r="H61" s="25"/>
    </row>
    <row r="62" spans="2:8" x14ac:dyDescent="0.25">
      <c r="B62" s="4"/>
      <c r="C62" s="9"/>
      <c r="D62" s="15"/>
      <c r="E62" s="7"/>
      <c r="G62" s="30"/>
      <c r="H62" s="25"/>
    </row>
    <row r="63" spans="2:8" x14ac:dyDescent="0.25">
      <c r="B63" s="4"/>
      <c r="C63" s="9"/>
      <c r="D63" s="15"/>
      <c r="E63" s="7"/>
      <c r="G63" s="30"/>
      <c r="H63" s="25"/>
    </row>
    <row r="64" spans="2:8" x14ac:dyDescent="0.25">
      <c r="B64" s="4"/>
      <c r="C64" s="9"/>
      <c r="D64" s="15"/>
      <c r="E64" s="7"/>
      <c r="G64" s="30"/>
      <c r="H64" s="25"/>
    </row>
    <row r="65" spans="2:9" x14ac:dyDescent="0.25">
      <c r="B65" s="3"/>
      <c r="C65" s="9"/>
      <c r="D65" s="15"/>
      <c r="E65" s="7"/>
      <c r="G65" s="30"/>
      <c r="H65" s="25"/>
    </row>
    <row r="66" spans="2:9" x14ac:dyDescent="0.25">
      <c r="B66" s="4"/>
      <c r="C66" s="9"/>
      <c r="D66" s="15"/>
      <c r="E66" s="7"/>
      <c r="G66" s="30"/>
      <c r="H66" s="25"/>
    </row>
    <row r="67" spans="2:9" x14ac:dyDescent="0.25">
      <c r="B67" s="4"/>
      <c r="C67" s="9"/>
      <c r="D67" s="15"/>
      <c r="E67" s="7"/>
      <c r="G67" s="30"/>
      <c r="H67" s="25"/>
    </row>
    <row r="68" spans="2:9" ht="14.25" customHeight="1" x14ac:dyDescent="0.25">
      <c r="B68" s="4"/>
      <c r="C68" s="9"/>
      <c r="D68" s="15"/>
      <c r="E68" s="7"/>
      <c r="G68" s="30"/>
      <c r="H68" s="25"/>
    </row>
    <row r="69" spans="2:9" x14ac:dyDescent="0.25">
      <c r="B69" s="4"/>
      <c r="C69" s="9"/>
      <c r="D69" s="15"/>
      <c r="E69" s="7"/>
      <c r="G69" s="30"/>
      <c r="H69" s="25"/>
    </row>
    <row r="70" spans="2:9" x14ac:dyDescent="0.25">
      <c r="B70" s="4"/>
      <c r="C70" s="9"/>
      <c r="D70" s="15"/>
      <c r="E70" s="7"/>
      <c r="G70" s="30"/>
      <c r="H70" s="25"/>
    </row>
    <row r="71" spans="2:9" x14ac:dyDescent="0.25">
      <c r="B71" s="4"/>
      <c r="C71" s="9"/>
      <c r="D71" s="15"/>
      <c r="E71" s="7"/>
      <c r="G71" s="30"/>
      <c r="H71" s="25"/>
    </row>
    <row r="72" spans="2:9" x14ac:dyDescent="0.25">
      <c r="B72" s="4"/>
      <c r="C72" s="9"/>
      <c r="D72" s="15"/>
      <c r="E72" s="7"/>
      <c r="G72" s="30"/>
      <c r="H72" s="25"/>
    </row>
    <row r="73" spans="2:9" x14ac:dyDescent="0.25">
      <c r="B73" s="4"/>
      <c r="C73" s="9"/>
      <c r="D73" s="15"/>
      <c r="E73" s="7"/>
      <c r="G73" s="30"/>
      <c r="H73" s="25"/>
    </row>
    <row r="74" spans="2:9" x14ac:dyDescent="0.25">
      <c r="B74" s="4"/>
      <c r="C74" s="9"/>
      <c r="D74" s="15"/>
      <c r="E74" s="7"/>
      <c r="G74" s="30"/>
      <c r="H74" s="25"/>
    </row>
    <row r="75" spans="2:9" x14ac:dyDescent="0.25">
      <c r="B75" s="4"/>
      <c r="C75" s="9"/>
      <c r="D75" s="15"/>
      <c r="E75" s="7"/>
      <c r="G75" s="30"/>
      <c r="H75" s="25"/>
      <c r="I75" s="32"/>
    </row>
    <row r="76" spans="2:9" x14ac:dyDescent="0.25">
      <c r="B76" s="4"/>
      <c r="C76" s="9"/>
      <c r="D76" s="15"/>
      <c r="E76" s="7"/>
      <c r="G76" s="30"/>
      <c r="H76" s="25"/>
      <c r="I76" s="31"/>
    </row>
    <row r="77" spans="2:9" x14ac:dyDescent="0.25">
      <c r="B77" s="4"/>
      <c r="C77" s="9"/>
      <c r="D77" s="15"/>
      <c r="E77" s="7"/>
      <c r="G77" s="30"/>
      <c r="H77" s="25"/>
      <c r="I77" s="32"/>
    </row>
    <row r="78" spans="2:9" x14ac:dyDescent="0.25">
      <c r="B78" s="4"/>
      <c r="C78" s="9"/>
      <c r="D78" s="15"/>
      <c r="E78" s="7"/>
      <c r="G78" s="30"/>
      <c r="H78" s="25"/>
      <c r="I78" s="32"/>
    </row>
    <row r="79" spans="2:9" ht="14.25" customHeight="1" x14ac:dyDescent="0.25">
      <c r="B79" s="4"/>
      <c r="C79" s="9"/>
      <c r="D79" s="15"/>
      <c r="E79" s="7"/>
      <c r="G79" s="30"/>
      <c r="H79" s="25"/>
    </row>
    <row r="80" spans="2:9" x14ac:dyDescent="0.25">
      <c r="B80" s="4"/>
      <c r="C80" s="8"/>
      <c r="D80" s="15"/>
      <c r="E80" s="7"/>
      <c r="G80" s="30"/>
      <c r="H80" s="25"/>
    </row>
    <row r="81" spans="2:9" x14ac:dyDescent="0.25">
      <c r="B81" s="4"/>
      <c r="C81" s="8"/>
      <c r="D81" s="15"/>
      <c r="E81" s="7"/>
      <c r="G81" s="30"/>
      <c r="H81" s="25"/>
      <c r="I81" s="31"/>
    </row>
    <row r="82" spans="2:9" x14ac:dyDescent="0.25">
      <c r="B82" s="4"/>
      <c r="C82" s="8"/>
      <c r="D82" s="15"/>
      <c r="E82" s="7"/>
      <c r="G82" s="30"/>
      <c r="H82" s="25"/>
    </row>
    <row r="83" spans="2:9" x14ac:dyDescent="0.25">
      <c r="B83" s="4"/>
      <c r="C83" s="9"/>
      <c r="D83" s="15"/>
      <c r="E83" s="7"/>
      <c r="G83" s="30"/>
      <c r="H83" s="25"/>
    </row>
    <row r="84" spans="2:9" x14ac:dyDescent="0.25">
      <c r="B84" s="3"/>
      <c r="C84" s="9"/>
      <c r="D84" s="15"/>
      <c r="E84" s="7"/>
      <c r="G84" s="30"/>
      <c r="H84" s="25"/>
    </row>
    <row r="85" spans="2:9" x14ac:dyDescent="0.25">
      <c r="B85" s="4"/>
      <c r="C85" s="9"/>
      <c r="D85" s="15"/>
      <c r="E85" s="7"/>
      <c r="G85" s="30"/>
      <c r="H85" s="25"/>
    </row>
    <row r="86" spans="2:9" x14ac:dyDescent="0.25">
      <c r="B86" s="4"/>
      <c r="C86" s="9"/>
      <c r="D86" s="15"/>
      <c r="E86" s="7"/>
      <c r="G86" s="30"/>
      <c r="H86" s="25"/>
    </row>
    <row r="87" spans="2:9" x14ac:dyDescent="0.25">
      <c r="B87" s="4"/>
      <c r="C87" s="8"/>
      <c r="D87" s="15"/>
      <c r="E87" s="7"/>
      <c r="G87" s="30"/>
      <c r="H87" s="25"/>
    </row>
    <row r="88" spans="2:9" x14ac:dyDescent="0.25">
      <c r="B88" s="4"/>
      <c r="C88" s="9"/>
      <c r="D88" s="10"/>
      <c r="E88" s="7"/>
      <c r="G88" s="30"/>
      <c r="H88" s="25"/>
    </row>
    <row r="89" spans="2:9" x14ac:dyDescent="0.25">
      <c r="B89" s="4"/>
      <c r="C89" s="9"/>
      <c r="D89" s="15"/>
      <c r="E89" s="7"/>
      <c r="G89" s="30"/>
      <c r="H89" s="25"/>
    </row>
    <row r="90" spans="2:9" x14ac:dyDescent="0.25">
      <c r="B90" s="4"/>
      <c r="C90" s="9"/>
      <c r="D90" s="15"/>
      <c r="E90" s="7"/>
      <c r="G90" s="30"/>
      <c r="H90" s="25"/>
    </row>
    <row r="91" spans="2:9" x14ac:dyDescent="0.25">
      <c r="B91" s="4"/>
      <c r="C91" s="9"/>
      <c r="D91" s="15"/>
      <c r="E91" s="7"/>
      <c r="G91" s="30"/>
      <c r="H91" s="25"/>
    </row>
    <row r="92" spans="2:9" x14ac:dyDescent="0.25">
      <c r="B92" s="4"/>
      <c r="C92" s="9"/>
      <c r="D92" s="15"/>
      <c r="E92" s="7"/>
      <c r="G92" s="30"/>
      <c r="H92" s="25"/>
    </row>
    <row r="93" spans="2:9" x14ac:dyDescent="0.25">
      <c r="B93" s="4"/>
      <c r="C93" s="8"/>
      <c r="D93" s="15"/>
      <c r="E93" s="7"/>
      <c r="G93" s="30"/>
      <c r="H93" s="25"/>
    </row>
    <row r="94" spans="2:9" x14ac:dyDescent="0.25">
      <c r="B94" s="4"/>
      <c r="C94" s="9"/>
      <c r="D94" s="15"/>
      <c r="E94" s="7"/>
      <c r="G94" s="30"/>
      <c r="H94" s="25"/>
    </row>
    <row r="95" spans="2:9" x14ac:dyDescent="0.25">
      <c r="B95" s="4"/>
      <c r="C95" s="9"/>
      <c r="D95" s="15"/>
      <c r="E95" s="7"/>
      <c r="G95" s="30"/>
      <c r="H95" s="25"/>
    </row>
    <row r="96" spans="2:9" x14ac:dyDescent="0.25">
      <c r="B96" s="3"/>
      <c r="C96" s="9"/>
      <c r="D96" s="15"/>
      <c r="E96" s="7"/>
      <c r="G96" s="30"/>
      <c r="H96" s="25"/>
    </row>
    <row r="97" spans="2:8" x14ac:dyDescent="0.25">
      <c r="B97" s="4"/>
      <c r="C97" s="8"/>
      <c r="D97" s="15"/>
      <c r="E97" s="7"/>
      <c r="G97" s="30"/>
      <c r="H97" s="25"/>
    </row>
    <row r="98" spans="2:8" x14ac:dyDescent="0.25">
      <c r="B98" s="4"/>
      <c r="C98" s="8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4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3"/>
      <c r="C103" s="9"/>
      <c r="D103" s="15"/>
      <c r="E103" s="7"/>
      <c r="G103" s="30"/>
      <c r="H103" s="25"/>
    </row>
    <row r="104" spans="2:8" x14ac:dyDescent="0.25">
      <c r="B104" s="4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8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9"/>
      <c r="D115" s="15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0"/>
      <c r="E117" s="7"/>
      <c r="G117" s="30"/>
      <c r="H117" s="25"/>
    </row>
    <row r="118" spans="2:8" x14ac:dyDescent="0.25">
      <c r="B118" s="4"/>
      <c r="C118" s="9"/>
      <c r="D118" s="15"/>
      <c r="E118" s="7"/>
      <c r="G118" s="30"/>
      <c r="H118" s="25"/>
    </row>
    <row r="119" spans="2:8" x14ac:dyDescent="0.25">
      <c r="B119" s="4"/>
      <c r="C119" s="9"/>
      <c r="D119" s="15"/>
      <c r="E119" s="7"/>
      <c r="G119" s="30"/>
      <c r="H119" s="25"/>
    </row>
    <row r="120" spans="2:8" x14ac:dyDescent="0.25">
      <c r="B120" s="4"/>
      <c r="C120" s="9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4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9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8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8"/>
      <c r="D138" s="15"/>
      <c r="E138" s="7"/>
      <c r="G138" s="30"/>
      <c r="H138" s="25"/>
    </row>
    <row r="139" spans="2:8" x14ac:dyDescent="0.25">
      <c r="B139" s="4"/>
      <c r="C139" s="9"/>
      <c r="D139" s="15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8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0"/>
      <c r="E154" s="7"/>
      <c r="G154" s="30"/>
      <c r="H154" s="25"/>
    </row>
    <row r="155" spans="2:8" x14ac:dyDescent="0.25">
      <c r="B155" s="3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3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8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8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8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8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3"/>
      <c r="C195" s="8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8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8"/>
      <c r="D203" s="15"/>
      <c r="E203" s="7"/>
      <c r="G203" s="30"/>
      <c r="H203" s="25"/>
    </row>
    <row r="204" spans="2:8" x14ac:dyDescent="0.25">
      <c r="B204" s="4"/>
      <c r="C204" s="8"/>
      <c r="D204" s="15"/>
      <c r="E204" s="7"/>
      <c r="G204" s="30"/>
      <c r="H204" s="25"/>
    </row>
    <row r="205" spans="2:8" x14ac:dyDescent="0.25">
      <c r="B205" s="4"/>
      <c r="C205" s="9"/>
      <c r="D205" s="15"/>
      <c r="E205" s="7"/>
      <c r="G205" s="30"/>
      <c r="H205" s="25"/>
    </row>
    <row r="206" spans="2:8" x14ac:dyDescent="0.25">
      <c r="B206" s="4"/>
      <c r="C206" s="8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8"/>
      <c r="D212" s="15"/>
      <c r="E212" s="7"/>
      <c r="G212" s="30"/>
      <c r="H212" s="25"/>
    </row>
    <row r="213" spans="2:8" x14ac:dyDescent="0.25">
      <c r="B213" s="4"/>
      <c r="C213" s="9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3"/>
      <c r="C216" s="8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9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8"/>
      <c r="D224" s="15"/>
      <c r="E224" s="7"/>
      <c r="G224" s="30"/>
      <c r="H224" s="25"/>
    </row>
    <row r="225" spans="2:8" x14ac:dyDescent="0.25">
      <c r="B225" s="4"/>
      <c r="C225" s="9"/>
      <c r="D225" s="15"/>
      <c r="E225" s="7"/>
      <c r="G225" s="30"/>
      <c r="H225" s="25"/>
    </row>
    <row r="226" spans="2:8" x14ac:dyDescent="0.25">
      <c r="B226" s="4"/>
      <c r="C226" s="9"/>
      <c r="D226" s="15"/>
      <c r="E226" s="7"/>
      <c r="G226" s="30"/>
      <c r="H226" s="25"/>
    </row>
    <row r="227" spans="2:8" ht="13.5" customHeight="1" x14ac:dyDescent="0.25">
      <c r="B227" s="4"/>
      <c r="C227" s="9"/>
      <c r="D227" s="15"/>
      <c r="E227" s="7"/>
      <c r="G227" s="30"/>
      <c r="H227" s="25"/>
    </row>
    <row r="228" spans="2:8" ht="13.5" customHeight="1" x14ac:dyDescent="0.25">
      <c r="B228" s="4"/>
      <c r="C228" s="9"/>
      <c r="D228" s="15"/>
      <c r="E228" s="7"/>
      <c r="G228" s="30"/>
      <c r="H228" s="25"/>
    </row>
    <row r="229" spans="2:8" ht="13.5" customHeight="1" x14ac:dyDescent="0.25">
      <c r="B229" s="4"/>
      <c r="C229" s="8"/>
      <c r="D229" s="15"/>
      <c r="E229" s="7"/>
      <c r="G229" s="30"/>
      <c r="H229" s="25"/>
    </row>
    <row r="230" spans="2:8" ht="13.5" customHeight="1" x14ac:dyDescent="0.25">
      <c r="B230" s="4"/>
      <c r="C230" s="9"/>
      <c r="D230" s="15"/>
      <c r="E230" s="7"/>
      <c r="G230" s="30"/>
      <c r="H230" s="25"/>
    </row>
    <row r="231" spans="2:8" ht="13.5" customHeight="1" x14ac:dyDescent="0.25">
      <c r="B231" s="4"/>
      <c r="C231" s="9"/>
      <c r="D231" s="15"/>
      <c r="E231" s="7"/>
      <c r="G231" s="30"/>
      <c r="H231" s="25"/>
    </row>
    <row r="232" spans="2:8" ht="13.5" customHeight="1" x14ac:dyDescent="0.25">
      <c r="B232" s="4"/>
      <c r="C232" s="9"/>
      <c r="D232" s="15"/>
      <c r="E232" s="7"/>
      <c r="G232" s="30"/>
      <c r="H232" s="25"/>
    </row>
    <row r="233" spans="2:8" ht="13.5" customHeight="1" x14ac:dyDescent="0.25">
      <c r="B233" s="4"/>
      <c r="C233" s="9"/>
      <c r="D233" s="15"/>
      <c r="E233" s="7"/>
      <c r="G233" s="30"/>
      <c r="H233" s="25"/>
    </row>
    <row r="234" spans="2:8" ht="13.5" customHeight="1" x14ac:dyDescent="0.25">
      <c r="B234" s="4"/>
      <c r="C234" s="9"/>
      <c r="D234" s="15"/>
      <c r="E234" s="7"/>
      <c r="G234" s="30"/>
      <c r="H234" s="25"/>
    </row>
    <row r="235" spans="2:8" ht="13.5" customHeight="1" x14ac:dyDescent="0.25">
      <c r="B235" s="4"/>
      <c r="C235" s="9"/>
      <c r="D235" s="15"/>
      <c r="E235" s="7"/>
      <c r="G235" s="30"/>
      <c r="H235" s="25"/>
    </row>
    <row r="236" spans="2:8" ht="13.5" customHeight="1" x14ac:dyDescent="0.25">
      <c r="B236" s="4"/>
      <c r="C236" s="8"/>
      <c r="D236" s="15"/>
      <c r="E236" s="7"/>
      <c r="G236" s="30"/>
      <c r="H236" s="25"/>
    </row>
    <row r="237" spans="2:8" ht="13.5" customHeight="1" x14ac:dyDescent="0.25">
      <c r="B237" s="4"/>
      <c r="C237" s="9"/>
      <c r="D237" s="15"/>
      <c r="E237" s="7"/>
      <c r="G237" s="30"/>
      <c r="H237" s="25"/>
    </row>
    <row r="238" spans="2:8" ht="13.5" customHeight="1" x14ac:dyDescent="0.25">
      <c r="B238" s="4"/>
      <c r="C238" s="9"/>
      <c r="D238" s="15"/>
      <c r="E238" s="7"/>
      <c r="G238" s="30"/>
      <c r="H238" s="25"/>
    </row>
    <row r="239" spans="2:8" ht="13.5" customHeight="1" x14ac:dyDescent="0.25">
      <c r="B239" s="4"/>
      <c r="C239" s="9"/>
      <c r="D239" s="15"/>
      <c r="E239" s="7"/>
      <c r="G239" s="30"/>
      <c r="H239" s="25"/>
    </row>
    <row r="240" spans="2:8" ht="13.5" customHeight="1" x14ac:dyDescent="0.25">
      <c r="B240" s="4"/>
      <c r="C240" s="9"/>
      <c r="D240" s="10"/>
      <c r="E240" s="7"/>
      <c r="G240" s="30"/>
      <c r="H240" s="25"/>
    </row>
    <row r="241" spans="2:8" ht="13.5" customHeight="1" x14ac:dyDescent="0.25">
      <c r="B241" s="4"/>
      <c r="C241" s="9"/>
      <c r="D241" s="15"/>
      <c r="E241" s="7"/>
      <c r="G241" s="30"/>
      <c r="H241" s="25"/>
    </row>
    <row r="242" spans="2:8" ht="13.5" customHeight="1" x14ac:dyDescent="0.25">
      <c r="B242" s="4"/>
      <c r="C242" s="9"/>
      <c r="D242" s="15"/>
      <c r="E242" s="7"/>
      <c r="G242" s="30"/>
      <c r="H242" s="25"/>
    </row>
    <row r="243" spans="2:8" ht="13.5" customHeight="1" x14ac:dyDescent="0.25">
      <c r="B243" s="4"/>
      <c r="C243" s="9"/>
      <c r="D243" s="10"/>
      <c r="E243" s="7"/>
      <c r="G243" s="30"/>
      <c r="H243" s="25"/>
    </row>
    <row r="244" spans="2:8" ht="13.5" customHeight="1" x14ac:dyDescent="0.25">
      <c r="B244" s="4"/>
      <c r="C244" s="9"/>
      <c r="D244" s="10"/>
      <c r="E244" s="7"/>
      <c r="G244" s="30"/>
      <c r="H244" s="25"/>
    </row>
    <row r="245" spans="2:8" ht="13.5" customHeight="1" x14ac:dyDescent="0.25">
      <c r="B245" s="4"/>
      <c r="C245" s="8"/>
      <c r="D245" s="15"/>
      <c r="E245" s="7"/>
      <c r="G245" s="30"/>
      <c r="H245" s="25"/>
    </row>
    <row r="246" spans="2:8" ht="13.5" customHeight="1" x14ac:dyDescent="0.25">
      <c r="G246" s="30"/>
      <c r="H246" s="25"/>
    </row>
    <row r="247" spans="2:8" ht="13.5" customHeight="1" x14ac:dyDescent="0.25">
      <c r="G247" s="30"/>
      <c r="H247" s="25"/>
    </row>
    <row r="248" spans="2:8" ht="13.5" customHeight="1" x14ac:dyDescent="0.25">
      <c r="G248" s="30"/>
      <c r="H248" s="25"/>
    </row>
    <row r="249" spans="2:8" ht="13.5" customHeight="1" x14ac:dyDescent="0.25">
      <c r="G249" s="30"/>
      <c r="H249" s="25"/>
    </row>
    <row r="250" spans="2:8" x14ac:dyDescent="0.25">
      <c r="B250" s="4"/>
      <c r="C250" s="9"/>
      <c r="D250" s="15"/>
      <c r="E250" s="7"/>
      <c r="G250" s="30"/>
      <c r="H250" s="25"/>
    </row>
    <row r="251" spans="2:8" x14ac:dyDescent="0.25">
      <c r="B251" s="4"/>
      <c r="C251" s="9"/>
      <c r="D251" s="10"/>
      <c r="E251" s="7"/>
      <c r="H251" s="25"/>
    </row>
    <row r="252" spans="2:8" x14ac:dyDescent="0.25">
      <c r="B252" s="4"/>
      <c r="C252" s="9"/>
      <c r="D252" s="10"/>
      <c r="E252" s="7"/>
      <c r="H252" s="25"/>
    </row>
    <row r="253" spans="2:8" x14ac:dyDescent="0.25">
      <c r="B253" s="4"/>
      <c r="C253" s="8"/>
      <c r="D253" s="10"/>
      <c r="E253" s="7"/>
      <c r="H253" s="25"/>
    </row>
    <row r="254" spans="2:8" x14ac:dyDescent="0.25">
      <c r="B254" s="4"/>
      <c r="C254" s="8"/>
      <c r="D254" s="15"/>
      <c r="E254" s="7"/>
      <c r="H254" s="25"/>
    </row>
    <row r="255" spans="2:8" x14ac:dyDescent="0.25">
      <c r="B255" s="4"/>
      <c r="C255" s="8"/>
      <c r="D255" s="10"/>
      <c r="E255" s="7"/>
      <c r="H255" s="25"/>
    </row>
    <row r="256" spans="2:8" x14ac:dyDescent="0.25">
      <c r="B256" s="4"/>
      <c r="C256" s="8"/>
      <c r="D256" s="10"/>
      <c r="E256" s="7"/>
      <c r="H256" s="25"/>
    </row>
    <row r="257" spans="2:8" x14ac:dyDescent="0.25">
      <c r="B257" s="4"/>
      <c r="C257" s="9"/>
      <c r="D257" s="10"/>
      <c r="E257" s="7"/>
      <c r="H257" s="25"/>
    </row>
    <row r="258" spans="2:8" x14ac:dyDescent="0.25">
      <c r="B258" s="4"/>
      <c r="C258" s="9"/>
      <c r="D258" s="15"/>
      <c r="E258" s="7"/>
      <c r="H258" s="25"/>
    </row>
    <row r="259" spans="2:8" x14ac:dyDescent="0.25">
      <c r="B259" s="4"/>
      <c r="C259" s="8"/>
      <c r="D259" s="15"/>
      <c r="E259" s="7"/>
      <c r="H259" s="25"/>
    </row>
    <row r="260" spans="2:8" x14ac:dyDescent="0.25">
      <c r="B260" s="4"/>
      <c r="C260" s="8"/>
      <c r="D260" s="10"/>
      <c r="E260" s="7"/>
      <c r="H260" s="25"/>
    </row>
    <row r="261" spans="2:8" x14ac:dyDescent="0.25">
      <c r="B261" s="4"/>
      <c r="C261" s="9"/>
      <c r="D261" s="10"/>
      <c r="E261" s="7"/>
      <c r="H261" s="25"/>
    </row>
    <row r="262" spans="2:8" x14ac:dyDescent="0.25">
      <c r="B262" s="4"/>
      <c r="C262" s="9"/>
      <c r="D262" s="15"/>
      <c r="E262" s="7"/>
      <c r="H262" s="25"/>
    </row>
    <row r="263" spans="2:8" x14ac:dyDescent="0.25">
      <c r="B263" s="4"/>
      <c r="C263" s="9"/>
      <c r="D263" s="10"/>
      <c r="E263" s="7"/>
      <c r="H263" s="25"/>
    </row>
    <row r="264" spans="2:8" x14ac:dyDescent="0.25">
      <c r="B264" s="4"/>
      <c r="C264" s="9"/>
      <c r="D264" s="15"/>
      <c r="E264" s="7"/>
      <c r="H264" s="25"/>
    </row>
    <row r="265" spans="2:8" x14ac:dyDescent="0.25">
      <c r="B265" s="4"/>
      <c r="C265" s="9"/>
      <c r="D265" s="10"/>
      <c r="E265" s="7"/>
      <c r="H265" s="25"/>
    </row>
    <row r="266" spans="2:8" x14ac:dyDescent="0.25">
      <c r="B266" s="4"/>
      <c r="C266" s="8"/>
      <c r="D266" s="15"/>
      <c r="E266" s="7"/>
      <c r="H266" s="25"/>
    </row>
    <row r="267" spans="2:8" x14ac:dyDescent="0.25">
      <c r="B267" s="4"/>
      <c r="C267" s="9"/>
      <c r="D267" s="15"/>
      <c r="E267" s="7"/>
      <c r="H267" s="25"/>
    </row>
    <row r="268" spans="2:8" x14ac:dyDescent="0.25">
      <c r="B268" s="4"/>
      <c r="C268" s="9"/>
      <c r="D268" s="10"/>
      <c r="E268" s="7"/>
      <c r="H268" s="25"/>
    </row>
    <row r="269" spans="2:8" x14ac:dyDescent="0.25">
      <c r="B269" s="4"/>
      <c r="C269" s="9"/>
      <c r="D269" s="15"/>
      <c r="E269" s="7"/>
      <c r="H269" s="25"/>
    </row>
    <row r="270" spans="2:8" x14ac:dyDescent="0.25">
      <c r="B270" s="4"/>
      <c r="C270" s="9"/>
      <c r="D270" s="15"/>
      <c r="E270" s="7"/>
      <c r="H270" s="25"/>
    </row>
    <row r="271" spans="2:8" x14ac:dyDescent="0.25">
      <c r="B271" s="4"/>
      <c r="C271" s="9"/>
      <c r="D271" s="10"/>
      <c r="E271" s="7"/>
      <c r="H271" s="25"/>
    </row>
    <row r="272" spans="2:8" x14ac:dyDescent="0.25">
      <c r="B272" s="4"/>
      <c r="C272" s="9"/>
      <c r="D272" s="15"/>
      <c r="E272" s="7"/>
      <c r="H272" s="25"/>
    </row>
    <row r="273" spans="2:8" x14ac:dyDescent="0.25">
      <c r="B273" s="4"/>
      <c r="C273" s="9"/>
      <c r="D273" s="10"/>
      <c r="E273" s="7"/>
      <c r="H273" s="25"/>
    </row>
    <row r="274" spans="2:8" x14ac:dyDescent="0.25">
      <c r="B274" s="4"/>
      <c r="C274" s="9"/>
      <c r="D274" s="10"/>
      <c r="E274" s="7"/>
      <c r="H274" s="25"/>
    </row>
    <row r="275" spans="2:8" x14ac:dyDescent="0.25">
      <c r="B275" s="4"/>
      <c r="C275" s="9"/>
      <c r="D275" s="15"/>
      <c r="E275" s="7"/>
      <c r="H275" s="25"/>
    </row>
    <row r="276" spans="2:8" x14ac:dyDescent="0.25">
      <c r="B276" s="4"/>
      <c r="C276" s="9"/>
      <c r="D276" s="10"/>
      <c r="E276" s="7"/>
      <c r="H276" s="25"/>
    </row>
    <row r="277" spans="2:8" x14ac:dyDescent="0.25">
      <c r="B277" s="4"/>
      <c r="C277" s="8"/>
      <c r="D277" s="10"/>
      <c r="E277" s="7"/>
      <c r="H277" s="25"/>
    </row>
    <row r="278" spans="2:8" x14ac:dyDescent="0.25">
      <c r="B278" s="4"/>
      <c r="C278" s="8"/>
      <c r="D278" s="10"/>
      <c r="E278" s="7"/>
      <c r="H278" s="25"/>
    </row>
    <row r="279" spans="2:8" x14ac:dyDescent="0.25">
      <c r="B279" s="4"/>
      <c r="C279" s="8"/>
      <c r="D279" s="10"/>
      <c r="E279" s="7"/>
      <c r="H279" s="25"/>
    </row>
    <row r="280" spans="2:8" x14ac:dyDescent="0.25">
      <c r="B280" s="4"/>
      <c r="C280" s="9"/>
      <c r="D280" s="10"/>
      <c r="E280" s="7"/>
      <c r="H280" s="25"/>
    </row>
    <row r="281" spans="2:8" x14ac:dyDescent="0.25">
      <c r="B281" s="4"/>
      <c r="C281" s="9"/>
      <c r="D281" s="15"/>
      <c r="E281" s="7"/>
      <c r="H281" s="25"/>
    </row>
    <row r="282" spans="2:8" x14ac:dyDescent="0.25">
      <c r="B282" s="4"/>
      <c r="C282" s="8"/>
      <c r="D282" s="15"/>
      <c r="E282" s="7"/>
      <c r="H282" s="25"/>
    </row>
    <row r="283" spans="2:8" x14ac:dyDescent="0.25">
      <c r="B283" s="4"/>
      <c r="C283" s="9"/>
      <c r="D283" s="10"/>
      <c r="E283" s="7"/>
      <c r="H283" s="25"/>
    </row>
    <row r="284" spans="2:8" x14ac:dyDescent="0.25">
      <c r="B284" s="4"/>
      <c r="C284" s="9"/>
      <c r="D284" s="10"/>
      <c r="E284" s="7"/>
      <c r="H284" s="25"/>
    </row>
    <row r="285" spans="2:8" x14ac:dyDescent="0.25">
      <c r="B285" s="4"/>
      <c r="C285" s="9"/>
      <c r="D285" s="10"/>
      <c r="E285" s="7"/>
      <c r="H285" s="25"/>
    </row>
    <row r="286" spans="2:8" x14ac:dyDescent="0.25">
      <c r="B286" s="4"/>
      <c r="C286" s="9"/>
      <c r="D286" s="15"/>
      <c r="E286" s="7"/>
      <c r="H286" s="25"/>
    </row>
    <row r="287" spans="2:8" x14ac:dyDescent="0.25">
      <c r="B287" s="4"/>
      <c r="C287" s="9"/>
      <c r="D287" s="15"/>
      <c r="E287" s="7"/>
      <c r="H287" s="25"/>
    </row>
    <row r="288" spans="2:8" x14ac:dyDescent="0.25">
      <c r="B288" s="4"/>
      <c r="C288" s="8"/>
      <c r="D288" s="15"/>
      <c r="E288" s="7"/>
      <c r="H288" s="25"/>
    </row>
    <row r="289" spans="2:8" x14ac:dyDescent="0.25">
      <c r="B289" s="4"/>
      <c r="C289" s="9"/>
      <c r="D289" s="10"/>
      <c r="E289" s="7"/>
      <c r="H289" s="25"/>
    </row>
    <row r="290" spans="2:8" x14ac:dyDescent="0.25">
      <c r="B290" s="4"/>
      <c r="C290" s="9"/>
      <c r="D290" s="10"/>
      <c r="E290" s="7"/>
      <c r="H290" s="25"/>
    </row>
    <row r="291" spans="2:8" x14ac:dyDescent="0.25">
      <c r="B291" s="4"/>
      <c r="C291" s="9"/>
      <c r="D291" s="10"/>
      <c r="E291" s="7"/>
      <c r="H291" s="25"/>
    </row>
    <row r="292" spans="2:8" x14ac:dyDescent="0.25">
      <c r="B292" s="4"/>
      <c r="C292" s="9"/>
      <c r="D292" s="10"/>
      <c r="E292" s="7"/>
      <c r="H292" s="25"/>
    </row>
    <row r="293" spans="2:8" x14ac:dyDescent="0.25">
      <c r="B293" s="4"/>
      <c r="C293" s="9"/>
      <c r="D293" s="10"/>
      <c r="E293" s="7"/>
      <c r="H293" s="25"/>
    </row>
    <row r="294" spans="2:8" x14ac:dyDescent="0.25">
      <c r="B294" s="4"/>
      <c r="C294" s="9"/>
      <c r="D294" s="10"/>
      <c r="E294" s="7"/>
      <c r="H294" s="25"/>
    </row>
    <row r="295" spans="2:8" x14ac:dyDescent="0.25">
      <c r="B295" s="4"/>
      <c r="C295" s="9"/>
      <c r="D295" s="15"/>
      <c r="E295" s="7"/>
      <c r="H295" s="25"/>
    </row>
    <row r="296" spans="2:8" x14ac:dyDescent="0.25">
      <c r="B296" s="4"/>
      <c r="C296" s="9"/>
      <c r="D296" s="10"/>
      <c r="E296" s="7"/>
      <c r="H296" s="25"/>
    </row>
    <row r="297" spans="2:8" x14ac:dyDescent="0.25">
      <c r="B297" s="4"/>
      <c r="C297" s="9"/>
      <c r="D297" s="10"/>
      <c r="E297" s="7"/>
      <c r="H297" s="25"/>
    </row>
    <row r="298" spans="2:8" x14ac:dyDescent="0.25">
      <c r="B298" s="4"/>
      <c r="C298" s="8"/>
      <c r="D298" s="15"/>
      <c r="E298" s="7"/>
      <c r="H298" s="25"/>
    </row>
    <row r="299" spans="2:8" x14ac:dyDescent="0.25">
      <c r="B299" s="4"/>
      <c r="C299" s="9"/>
      <c r="D299" s="10"/>
      <c r="E299" s="7"/>
      <c r="H299" s="25"/>
    </row>
    <row r="300" spans="2:8" x14ac:dyDescent="0.25">
      <c r="B300" s="4"/>
      <c r="C300" s="9"/>
      <c r="D300" s="10"/>
      <c r="E300" s="7"/>
      <c r="H300" s="25"/>
    </row>
    <row r="301" spans="2:8" x14ac:dyDescent="0.25">
      <c r="B301" s="4"/>
      <c r="C301" s="8"/>
      <c r="D301" s="10"/>
      <c r="E301" s="7"/>
      <c r="H301" s="25"/>
    </row>
    <row r="302" spans="2:8" x14ac:dyDescent="0.25">
      <c r="B302" s="4"/>
      <c r="C302" s="8"/>
      <c r="D302" s="10"/>
      <c r="E302" s="7"/>
      <c r="H302" s="25"/>
    </row>
    <row r="303" spans="2:8" x14ac:dyDescent="0.25">
      <c r="B303" s="4"/>
      <c r="C303" s="9"/>
      <c r="D303" s="10"/>
      <c r="E303" s="7"/>
      <c r="H303" s="25"/>
    </row>
    <row r="304" spans="2:8" x14ac:dyDescent="0.25">
      <c r="B304" s="4"/>
      <c r="C304" s="9"/>
      <c r="D304" s="10"/>
      <c r="E304" s="7"/>
      <c r="H304" s="25"/>
    </row>
    <row r="305" spans="2:8" x14ac:dyDescent="0.25">
      <c r="B305" s="4"/>
      <c r="C305" s="9"/>
      <c r="D305" s="10"/>
      <c r="E305" s="7"/>
      <c r="H305" s="25"/>
    </row>
    <row r="306" spans="2:8" x14ac:dyDescent="0.25">
      <c r="B306" s="4"/>
      <c r="C306" s="9"/>
      <c r="D306" s="10"/>
      <c r="E306" s="7"/>
      <c r="H306" s="25"/>
    </row>
    <row r="307" spans="2:8" x14ac:dyDescent="0.25">
      <c r="B307" s="4"/>
      <c r="C307" s="8"/>
      <c r="D307" s="10"/>
      <c r="E307" s="7"/>
      <c r="H307" s="25"/>
    </row>
    <row r="308" spans="2:8" x14ac:dyDescent="0.25">
      <c r="B308" s="4"/>
      <c r="C308" s="9"/>
      <c r="D308" s="10"/>
      <c r="E308" s="7"/>
      <c r="H308" s="25"/>
    </row>
    <row r="309" spans="2:8" x14ac:dyDescent="0.25">
      <c r="B309" s="4"/>
      <c r="C309" s="9"/>
      <c r="D309" s="15"/>
      <c r="E309" s="7"/>
      <c r="H309" s="25"/>
    </row>
    <row r="310" spans="2:8" x14ac:dyDescent="0.25">
      <c r="B310" s="4"/>
      <c r="C310" s="8"/>
      <c r="D310" s="15"/>
      <c r="E310" s="7"/>
      <c r="H310" s="25"/>
    </row>
    <row r="311" spans="2:8" x14ac:dyDescent="0.25">
      <c r="B311" s="4"/>
      <c r="C311" s="9"/>
      <c r="D311" s="10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8"/>
      <c r="D313" s="10"/>
      <c r="E313" s="7"/>
      <c r="H313" s="25"/>
    </row>
    <row r="314" spans="2:8" x14ac:dyDescent="0.25">
      <c r="B314" s="4"/>
      <c r="C314" s="9"/>
      <c r="D314" s="10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8"/>
      <c r="D316" s="15"/>
      <c r="E316" s="7"/>
      <c r="H316" s="25"/>
    </row>
    <row r="317" spans="2:8" x14ac:dyDescent="0.25">
      <c r="B317" s="4"/>
      <c r="C317" s="9"/>
      <c r="D317" s="15"/>
      <c r="E317" s="7"/>
      <c r="H317" s="25"/>
    </row>
    <row r="318" spans="2:8" x14ac:dyDescent="0.25">
      <c r="B318" s="4"/>
      <c r="C318" s="9"/>
      <c r="D318" s="10"/>
      <c r="E318" s="7"/>
      <c r="H318" s="25"/>
    </row>
    <row r="319" spans="2:8" x14ac:dyDescent="0.25">
      <c r="B319" s="4"/>
      <c r="C319" s="9"/>
      <c r="D319" s="15"/>
      <c r="E319" s="7"/>
      <c r="H319" s="25"/>
    </row>
    <row r="320" spans="2:8" x14ac:dyDescent="0.25">
      <c r="B320" s="4"/>
      <c r="C320" s="8"/>
      <c r="D320" s="10"/>
      <c r="E320" s="7"/>
      <c r="H320" s="25"/>
    </row>
    <row r="321" spans="2:8" x14ac:dyDescent="0.25">
      <c r="B321" s="4"/>
      <c r="C321" s="9"/>
      <c r="D321" s="15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9"/>
      <c r="D323" s="15"/>
      <c r="E323" s="7"/>
      <c r="H323" s="25"/>
    </row>
    <row r="324" spans="2:8" x14ac:dyDescent="0.25">
      <c r="B324" s="4"/>
      <c r="C324" s="9"/>
      <c r="D324" s="10"/>
      <c r="E324" s="7"/>
      <c r="H324" s="25"/>
    </row>
    <row r="325" spans="2:8" x14ac:dyDescent="0.25">
      <c r="B325" s="4"/>
      <c r="C325" s="9"/>
      <c r="D325" s="10"/>
      <c r="E325" s="7"/>
      <c r="H325" s="25"/>
    </row>
    <row r="326" spans="2:8" x14ac:dyDescent="0.25">
      <c r="B326" s="4"/>
      <c r="C326" s="9"/>
      <c r="D326" s="15"/>
      <c r="E326" s="7"/>
      <c r="H326" s="25"/>
    </row>
    <row r="327" spans="2:8" x14ac:dyDescent="0.25">
      <c r="B327" s="4"/>
      <c r="C327" s="9"/>
      <c r="D327" s="15"/>
      <c r="E327" s="7"/>
      <c r="H327" s="25"/>
    </row>
    <row r="328" spans="2:8" x14ac:dyDescent="0.25">
      <c r="B328" s="4"/>
      <c r="C328" s="9"/>
      <c r="D328" s="15"/>
      <c r="E328" s="7"/>
      <c r="H328" s="25"/>
    </row>
    <row r="329" spans="2:8" x14ac:dyDescent="0.25">
      <c r="B329" s="4"/>
      <c r="C329" s="9"/>
      <c r="D329" s="15"/>
      <c r="E329" s="7"/>
      <c r="H329" s="25"/>
    </row>
    <row r="330" spans="2:8" x14ac:dyDescent="0.25">
      <c r="B330" s="4"/>
      <c r="C330" s="8"/>
      <c r="D330" s="10"/>
      <c r="E330" s="7"/>
      <c r="H330" s="25"/>
    </row>
    <row r="331" spans="2:8" x14ac:dyDescent="0.25">
      <c r="B331" s="4"/>
      <c r="C331" s="9"/>
      <c r="D331" s="15"/>
      <c r="E331" s="7"/>
      <c r="H331" s="25"/>
    </row>
    <row r="332" spans="2:8" x14ac:dyDescent="0.25">
      <c r="B332" s="4"/>
      <c r="C332" s="9"/>
      <c r="D332" s="15"/>
      <c r="E332" s="7"/>
      <c r="H332" s="25"/>
    </row>
    <row r="333" spans="2:8" x14ac:dyDescent="0.25">
      <c r="B333" s="4"/>
      <c r="C333" s="9"/>
      <c r="D333" s="10"/>
      <c r="E333" s="7"/>
      <c r="H333" s="25"/>
    </row>
    <row r="334" spans="2:8" x14ac:dyDescent="0.25">
      <c r="B334" s="4"/>
      <c r="C334" s="9"/>
      <c r="D334" s="15"/>
      <c r="E334" s="7"/>
      <c r="H334" s="25"/>
    </row>
    <row r="335" spans="2:8" x14ac:dyDescent="0.25">
      <c r="B335" s="4"/>
      <c r="C335" s="8"/>
      <c r="D335" s="15"/>
      <c r="E335" s="7"/>
      <c r="H335" s="25"/>
    </row>
    <row r="336" spans="2:8" x14ac:dyDescent="0.25">
      <c r="B336" s="4"/>
      <c r="C336" s="9"/>
      <c r="D336" s="10"/>
      <c r="E336" s="7"/>
      <c r="H336" s="25"/>
    </row>
    <row r="337" spans="2:8" x14ac:dyDescent="0.25">
      <c r="B337" s="4"/>
      <c r="C337" s="9"/>
      <c r="D337" s="10"/>
      <c r="E337" s="7"/>
      <c r="H337" s="25"/>
    </row>
    <row r="338" spans="2:8" x14ac:dyDescent="0.25">
      <c r="B338" s="4"/>
      <c r="C338" s="9"/>
      <c r="D338" s="10"/>
      <c r="E338" s="7"/>
      <c r="H338" s="25"/>
    </row>
    <row r="339" spans="2:8" x14ac:dyDescent="0.25">
      <c r="B339" s="4"/>
      <c r="C339" s="8"/>
      <c r="D339" s="15"/>
      <c r="E339" s="7"/>
      <c r="H339" s="25"/>
    </row>
    <row r="340" spans="2:8" x14ac:dyDescent="0.25">
      <c r="B340" s="4"/>
      <c r="C340" s="9"/>
      <c r="D340" s="10"/>
      <c r="E340" s="7"/>
      <c r="H340" s="25"/>
    </row>
    <row r="341" spans="2:8" x14ac:dyDescent="0.25">
      <c r="B341" s="4"/>
      <c r="C341" s="9"/>
      <c r="D341" s="15"/>
      <c r="E341" s="7"/>
      <c r="H341" s="25"/>
    </row>
    <row r="342" spans="2:8" x14ac:dyDescent="0.25">
      <c r="B342" s="4"/>
      <c r="C342" s="9"/>
      <c r="D342" s="10"/>
      <c r="E342" s="7"/>
      <c r="H342" s="25"/>
    </row>
    <row r="343" spans="2:8" x14ac:dyDescent="0.25">
      <c r="B343" s="4"/>
      <c r="C343" s="9"/>
      <c r="D343" s="10"/>
      <c r="E343" s="7"/>
      <c r="H343" s="25"/>
    </row>
    <row r="344" spans="2:8" x14ac:dyDescent="0.25">
      <c r="B344" s="4"/>
      <c r="C344" s="9"/>
      <c r="D344" s="10"/>
      <c r="E344" s="7"/>
      <c r="H344" s="25"/>
    </row>
    <row r="345" spans="2:8" x14ac:dyDescent="0.25">
      <c r="B345" s="4"/>
      <c r="C345" s="9"/>
      <c r="D345" s="15"/>
      <c r="E345" s="7"/>
      <c r="H345" s="25"/>
    </row>
    <row r="346" spans="2:8" x14ac:dyDescent="0.25">
      <c r="B346" s="4"/>
      <c r="C346" s="9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0"/>
      <c r="E348" s="7"/>
      <c r="H348" s="25"/>
    </row>
    <row r="349" spans="2:8" x14ac:dyDescent="0.25">
      <c r="B349" s="4"/>
      <c r="C349" s="8"/>
      <c r="D349" s="10"/>
      <c r="E349" s="7"/>
      <c r="H349" s="25"/>
    </row>
    <row r="350" spans="2:8" x14ac:dyDescent="0.25">
      <c r="B350" s="4"/>
      <c r="C350" s="9"/>
      <c r="D350" s="15"/>
      <c r="E350" s="7"/>
      <c r="H350" s="25"/>
    </row>
    <row r="351" spans="2:8" x14ac:dyDescent="0.25">
      <c r="B351" s="4"/>
      <c r="C351" s="9"/>
      <c r="D351" s="10"/>
      <c r="E351" s="7"/>
      <c r="H351" s="25"/>
    </row>
    <row r="352" spans="2:8" x14ac:dyDescent="0.25">
      <c r="H352" s="25"/>
    </row>
    <row r="353" spans="8:8" x14ac:dyDescent="0.25">
      <c r="H353" s="25"/>
    </row>
    <row r="354" spans="8:8" x14ac:dyDescent="0.25">
      <c r="H354" s="25"/>
    </row>
    <row r="355" spans="8:8" x14ac:dyDescent="0.25">
      <c r="H355" s="29"/>
    </row>
  </sheetData>
  <autoFilter ref="F1:F371"/>
  <sortState ref="B3:C9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AT361"/>
  <sheetViews>
    <sheetView zoomScaleNormal="100" workbookViewId="0">
      <pane ySplit="1" topLeftCell="A2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3.7109375" style="23" customWidth="1"/>
    <col min="2" max="2" width="44.85546875" style="23" customWidth="1"/>
    <col min="3" max="3" width="4.7109375" style="21" customWidth="1"/>
    <col min="4" max="4" width="3.42578125" style="375" customWidth="1"/>
    <col min="5" max="5" width="4.28515625" style="492" customWidth="1"/>
    <col min="6" max="6" width="3.42578125" style="375" customWidth="1"/>
    <col min="7" max="7" width="3.42578125" style="492" customWidth="1"/>
    <col min="8" max="8" width="3.42578125" style="375" customWidth="1"/>
    <col min="9" max="9" width="3.42578125" style="492" customWidth="1"/>
    <col min="10" max="10" width="3.42578125" style="375" customWidth="1"/>
    <col min="11" max="11" width="3.42578125" style="492" customWidth="1"/>
    <col min="12" max="12" width="3.42578125" style="375" customWidth="1"/>
    <col min="13" max="13" width="3.42578125" style="492" customWidth="1"/>
    <col min="14" max="14" width="3.7109375" style="567" customWidth="1"/>
    <col min="15" max="15" width="5" style="194" customWidth="1"/>
    <col min="16" max="16" width="5" style="119" bestFit="1" customWidth="1"/>
    <col min="17" max="17" width="5.85546875" style="193" bestFit="1" customWidth="1"/>
    <col min="18" max="18" width="10.42578125" style="67" bestFit="1" customWidth="1"/>
    <col min="19" max="19" width="8.140625" style="107" customWidth="1"/>
    <col min="20" max="20" width="3.85546875" style="107" customWidth="1"/>
    <col min="21" max="21" width="4.140625" style="107" customWidth="1"/>
    <col min="22" max="22" width="7.5703125" style="107" bestFit="1" customWidth="1"/>
    <col min="23" max="23" width="4.140625" style="14" customWidth="1"/>
    <col min="24" max="25" width="3.85546875" style="14" customWidth="1"/>
    <col min="26" max="26" width="4.28515625" style="28" customWidth="1"/>
    <col min="27" max="27" width="3.85546875" style="135" customWidth="1"/>
    <col min="28" max="28" width="3.7109375" style="135" customWidth="1"/>
    <col min="29" max="29" width="3.85546875" style="135" customWidth="1"/>
    <col min="30" max="30" width="5.140625" style="135" customWidth="1"/>
  </cols>
  <sheetData>
    <row r="1" spans="1:46" ht="83.25" customHeight="1" x14ac:dyDescent="0.25">
      <c r="A1" s="116" t="s">
        <v>0</v>
      </c>
      <c r="B1" s="116" t="s">
        <v>1</v>
      </c>
      <c r="C1" s="2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" t="s">
        <v>4</v>
      </c>
      <c r="P1" s="307" t="s">
        <v>110</v>
      </c>
      <c r="Q1" s="192" t="s">
        <v>5</v>
      </c>
      <c r="R1" s="62" t="s">
        <v>111</v>
      </c>
      <c r="S1" s="553" t="s">
        <v>107</v>
      </c>
      <c r="T1" s="277" t="s">
        <v>539</v>
      </c>
      <c r="U1" s="278" t="s">
        <v>540</v>
      </c>
      <c r="V1" s="554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134" t="s">
        <v>119</v>
      </c>
      <c r="AB1" s="134" t="s">
        <v>120</v>
      </c>
      <c r="AC1" s="134" t="s">
        <v>118</v>
      </c>
      <c r="AD1" s="134" t="s">
        <v>117</v>
      </c>
    </row>
    <row r="2" spans="1:46" x14ac:dyDescent="0.25">
      <c r="A2" s="3">
        <v>1</v>
      </c>
      <c r="B2" s="3" t="s">
        <v>1021</v>
      </c>
      <c r="C2" s="339">
        <v>65</v>
      </c>
      <c r="D2" s="359"/>
      <c r="E2" s="478"/>
      <c r="F2" s="359"/>
      <c r="G2" s="478"/>
      <c r="H2" s="359">
        <v>10</v>
      </c>
      <c r="I2" s="478">
        <v>1</v>
      </c>
      <c r="J2" s="359">
        <v>2</v>
      </c>
      <c r="K2" s="478"/>
      <c r="L2" s="359"/>
      <c r="M2" s="478"/>
      <c r="N2" s="561"/>
      <c r="O2" s="47">
        <f t="shared" ref="O2:O9" si="0">SUM(C2-D2-E2-F2-G2-H2-I2-J2-K2-L2-M2-N2)</f>
        <v>52</v>
      </c>
      <c r="P2" s="438">
        <f t="shared" ref="P2:P9" si="1">AD2-O2</f>
        <v>164</v>
      </c>
      <c r="Q2" s="7">
        <v>4.8</v>
      </c>
      <c r="R2" s="63" t="s">
        <v>608</v>
      </c>
      <c r="S2" s="118">
        <v>46174</v>
      </c>
      <c r="T2" s="17">
        <v>80</v>
      </c>
      <c r="U2" s="17">
        <v>50</v>
      </c>
      <c r="V2" s="118">
        <v>45717</v>
      </c>
      <c r="W2" s="28">
        <v>45</v>
      </c>
      <c r="X2" s="28">
        <v>4</v>
      </c>
      <c r="Y2" s="28">
        <v>45</v>
      </c>
      <c r="Z2" s="429">
        <v>14</v>
      </c>
      <c r="AA2" s="137">
        <f t="shared" ref="AA2:AA9" si="2">W2+X2+Y2+Z2</f>
        <v>108</v>
      </c>
      <c r="AB2" s="136">
        <f t="shared" ref="AB2:AB9" si="3">AA2/4</f>
        <v>27</v>
      </c>
      <c r="AC2" s="136">
        <f t="shared" ref="AC2:AC9" si="4">AB2*4</f>
        <v>108</v>
      </c>
      <c r="AD2" s="136">
        <f t="shared" ref="AD2:AD9" si="5">AC2*2</f>
        <v>216</v>
      </c>
    </row>
    <row r="3" spans="1:46" s="113" customFormat="1" x14ac:dyDescent="0.25">
      <c r="A3" s="3">
        <f t="shared" ref="A3:A18" si="6">A2+1</f>
        <v>2</v>
      </c>
      <c r="B3" s="3" t="s">
        <v>1305</v>
      </c>
      <c r="C3" s="298">
        <v>40</v>
      </c>
      <c r="D3" s="359"/>
      <c r="E3" s="478">
        <v>6</v>
      </c>
      <c r="F3" s="359"/>
      <c r="G3" s="478"/>
      <c r="H3" s="359"/>
      <c r="I3" s="478"/>
      <c r="J3" s="359"/>
      <c r="K3" s="478"/>
      <c r="L3" s="359"/>
      <c r="M3" s="478"/>
      <c r="N3" s="561"/>
      <c r="O3" s="340">
        <f t="shared" si="0"/>
        <v>34</v>
      </c>
      <c r="P3" s="340">
        <f t="shared" si="1"/>
        <v>0</v>
      </c>
      <c r="Q3" s="10">
        <v>4.8</v>
      </c>
      <c r="R3" s="63"/>
      <c r="S3" s="175">
        <v>46997</v>
      </c>
      <c r="T3" s="120">
        <v>4</v>
      </c>
      <c r="U3" s="120"/>
      <c r="V3" s="199">
        <v>45597</v>
      </c>
      <c r="W3" s="107">
        <v>1</v>
      </c>
      <c r="X3" s="107">
        <v>6</v>
      </c>
      <c r="Y3" s="107">
        <v>6</v>
      </c>
      <c r="Z3" s="428">
        <v>4</v>
      </c>
      <c r="AA3" s="137">
        <f t="shared" si="2"/>
        <v>17</v>
      </c>
      <c r="AB3" s="136">
        <f t="shared" si="3"/>
        <v>4.25</v>
      </c>
      <c r="AC3" s="136">
        <f t="shared" si="4"/>
        <v>17</v>
      </c>
      <c r="AD3" s="136">
        <f t="shared" si="5"/>
        <v>34</v>
      </c>
      <c r="AE3" s="97"/>
      <c r="AF3" s="97"/>
      <c r="AG3" s="97"/>
      <c r="AH3" s="97"/>
      <c r="AI3" s="97"/>
    </row>
    <row r="4" spans="1:46" x14ac:dyDescent="0.25">
      <c r="A4" s="3">
        <f t="shared" si="6"/>
        <v>3</v>
      </c>
      <c r="B4" s="3" t="s">
        <v>1306</v>
      </c>
      <c r="C4" s="340">
        <v>79</v>
      </c>
      <c r="D4" s="359"/>
      <c r="E4" s="478">
        <v>13</v>
      </c>
      <c r="F4" s="359"/>
      <c r="G4" s="478"/>
      <c r="H4" s="359"/>
      <c r="I4" s="478">
        <v>13</v>
      </c>
      <c r="J4" s="359"/>
      <c r="K4" s="478"/>
      <c r="L4" s="359"/>
      <c r="M4" s="478">
        <v>4</v>
      </c>
      <c r="N4" s="561"/>
      <c r="O4" s="340">
        <f t="shared" si="0"/>
        <v>49</v>
      </c>
      <c r="P4" s="438">
        <f t="shared" si="1"/>
        <v>181</v>
      </c>
      <c r="Q4" s="10">
        <v>4.8</v>
      </c>
      <c r="R4" s="63"/>
      <c r="S4" s="175">
        <v>47392</v>
      </c>
      <c r="T4" s="120">
        <v>7</v>
      </c>
      <c r="U4" s="120">
        <v>7</v>
      </c>
      <c r="V4" s="175">
        <v>45717</v>
      </c>
      <c r="W4" s="309">
        <v>70</v>
      </c>
      <c r="X4" s="122">
        <v>14</v>
      </c>
      <c r="Y4" s="122">
        <v>11</v>
      </c>
      <c r="Z4" s="429">
        <v>20</v>
      </c>
      <c r="AA4" s="137">
        <f t="shared" si="2"/>
        <v>115</v>
      </c>
      <c r="AB4" s="136">
        <f t="shared" si="3"/>
        <v>28.75</v>
      </c>
      <c r="AC4" s="136">
        <f t="shared" si="4"/>
        <v>115</v>
      </c>
      <c r="AD4" s="136">
        <f t="shared" si="5"/>
        <v>230</v>
      </c>
      <c r="AE4" s="97"/>
      <c r="AF4" s="97"/>
      <c r="AG4" s="97"/>
      <c r="AH4" s="97"/>
      <c r="AI4" s="97"/>
    </row>
    <row r="5" spans="1:46" x14ac:dyDescent="0.25">
      <c r="A5" s="3">
        <f t="shared" si="6"/>
        <v>4</v>
      </c>
      <c r="B5" s="314" t="s">
        <v>1017</v>
      </c>
      <c r="C5" s="340">
        <v>150</v>
      </c>
      <c r="D5" s="359">
        <v>10</v>
      </c>
      <c r="E5" s="478">
        <v>8</v>
      </c>
      <c r="F5" s="359"/>
      <c r="G5" s="478">
        <v>5</v>
      </c>
      <c r="H5" s="359">
        <v>3</v>
      </c>
      <c r="I5" s="478">
        <v>12</v>
      </c>
      <c r="J5" s="359">
        <v>6</v>
      </c>
      <c r="K5" s="478">
        <v>6</v>
      </c>
      <c r="L5" s="359">
        <v>16</v>
      </c>
      <c r="M5" s="478">
        <v>6</v>
      </c>
      <c r="N5" s="561"/>
      <c r="O5" s="340">
        <f t="shared" si="0"/>
        <v>78</v>
      </c>
      <c r="P5" s="438">
        <f t="shared" si="1"/>
        <v>1348</v>
      </c>
      <c r="Q5" s="10">
        <v>5</v>
      </c>
      <c r="R5" s="64"/>
      <c r="S5" s="175">
        <v>46539</v>
      </c>
      <c r="T5" s="120">
        <v>168</v>
      </c>
      <c r="U5" s="120">
        <v>102</v>
      </c>
      <c r="V5" s="175">
        <v>45748</v>
      </c>
      <c r="W5" s="309">
        <v>234</v>
      </c>
      <c r="X5" s="122">
        <v>228</v>
      </c>
      <c r="Y5" s="122">
        <v>55</v>
      </c>
      <c r="Z5" s="429">
        <v>196</v>
      </c>
      <c r="AA5" s="137">
        <f t="shared" si="2"/>
        <v>713</v>
      </c>
      <c r="AB5" s="136">
        <f t="shared" si="3"/>
        <v>178.25</v>
      </c>
      <c r="AC5" s="136">
        <f t="shared" si="4"/>
        <v>713</v>
      </c>
      <c r="AD5" s="136">
        <f t="shared" si="5"/>
        <v>1426</v>
      </c>
      <c r="AE5" s="97"/>
      <c r="AF5" s="97"/>
      <c r="AG5" s="97"/>
      <c r="AH5" s="97"/>
      <c r="AI5" s="97"/>
    </row>
    <row r="6" spans="1:46" s="113" customFormat="1" x14ac:dyDescent="0.25">
      <c r="A6" s="3">
        <f t="shared" si="6"/>
        <v>5</v>
      </c>
      <c r="B6" s="3" t="s">
        <v>1018</v>
      </c>
      <c r="C6" s="340">
        <v>0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0">
        <f t="shared" si="0"/>
        <v>0</v>
      </c>
      <c r="P6" s="438">
        <f t="shared" si="1"/>
        <v>66</v>
      </c>
      <c r="Q6" s="10">
        <v>16</v>
      </c>
      <c r="R6" s="63" t="s">
        <v>597</v>
      </c>
      <c r="S6" s="175">
        <v>46905</v>
      </c>
      <c r="T6" s="120">
        <v>0</v>
      </c>
      <c r="U6" s="120"/>
      <c r="V6" s="175">
        <v>45627</v>
      </c>
      <c r="W6" s="309">
        <v>11</v>
      </c>
      <c r="X6" s="122">
        <v>5</v>
      </c>
      <c r="Y6" s="122">
        <v>1</v>
      </c>
      <c r="Z6" s="429">
        <v>16</v>
      </c>
      <c r="AA6" s="137">
        <f t="shared" si="2"/>
        <v>33</v>
      </c>
      <c r="AB6" s="136">
        <f t="shared" si="3"/>
        <v>8.25</v>
      </c>
      <c r="AC6" s="136">
        <f t="shared" si="4"/>
        <v>33</v>
      </c>
      <c r="AD6" s="136">
        <f t="shared" si="5"/>
        <v>66</v>
      </c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</row>
    <row r="7" spans="1:46" s="113" customFormat="1" x14ac:dyDescent="0.25">
      <c r="A7" s="3">
        <f t="shared" si="6"/>
        <v>6</v>
      </c>
      <c r="B7" s="314" t="s">
        <v>1019</v>
      </c>
      <c r="C7" s="340">
        <v>37</v>
      </c>
      <c r="D7" s="359"/>
      <c r="E7" s="478"/>
      <c r="F7" s="359"/>
      <c r="G7" s="478"/>
      <c r="H7" s="359"/>
      <c r="I7" s="478"/>
      <c r="J7" s="359"/>
      <c r="K7" s="478"/>
      <c r="L7" s="359"/>
      <c r="M7" s="478"/>
      <c r="N7" s="561"/>
      <c r="O7" s="340">
        <f t="shared" si="0"/>
        <v>37</v>
      </c>
      <c r="P7" s="438">
        <f t="shared" si="1"/>
        <v>5</v>
      </c>
      <c r="Q7" s="10">
        <v>5.8</v>
      </c>
      <c r="R7" s="63"/>
      <c r="S7" s="344">
        <v>45992</v>
      </c>
      <c r="T7" s="120">
        <v>1</v>
      </c>
      <c r="U7" s="120">
        <v>1</v>
      </c>
      <c r="V7" s="344">
        <v>45717</v>
      </c>
      <c r="W7" s="107">
        <v>5</v>
      </c>
      <c r="X7" s="107">
        <v>2</v>
      </c>
      <c r="Y7" s="107">
        <v>4</v>
      </c>
      <c r="Z7" s="428">
        <v>10</v>
      </c>
      <c r="AA7" s="137">
        <f t="shared" si="2"/>
        <v>21</v>
      </c>
      <c r="AB7" s="136">
        <f t="shared" si="3"/>
        <v>5.25</v>
      </c>
      <c r="AC7" s="136">
        <f t="shared" si="4"/>
        <v>21</v>
      </c>
      <c r="AD7" s="136">
        <f t="shared" si="5"/>
        <v>42</v>
      </c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</row>
    <row r="8" spans="1:46" ht="14.25" customHeight="1" x14ac:dyDescent="0.25">
      <c r="A8" s="3">
        <f t="shared" si="6"/>
        <v>7</v>
      </c>
      <c r="B8" s="3" t="s">
        <v>1338</v>
      </c>
      <c r="C8" s="340">
        <v>69</v>
      </c>
      <c r="D8" s="359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40">
        <f t="shared" si="0"/>
        <v>69</v>
      </c>
      <c r="P8" s="438">
        <f t="shared" si="1"/>
        <v>11</v>
      </c>
      <c r="Q8" s="10">
        <v>2.8</v>
      </c>
      <c r="R8" s="63"/>
      <c r="S8" s="175">
        <v>46966</v>
      </c>
      <c r="T8" s="120">
        <v>1</v>
      </c>
      <c r="U8" s="120">
        <v>1</v>
      </c>
      <c r="V8" s="175">
        <v>45717</v>
      </c>
      <c r="W8" s="309">
        <v>10</v>
      </c>
      <c r="X8" s="122">
        <v>10</v>
      </c>
      <c r="Y8" s="122">
        <v>10</v>
      </c>
      <c r="Z8" s="429">
        <v>10</v>
      </c>
      <c r="AA8" s="137">
        <f t="shared" si="2"/>
        <v>40</v>
      </c>
      <c r="AB8" s="136">
        <f t="shared" si="3"/>
        <v>10</v>
      </c>
      <c r="AC8" s="136">
        <f t="shared" si="4"/>
        <v>40</v>
      </c>
      <c r="AD8" s="136">
        <f t="shared" si="5"/>
        <v>80</v>
      </c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</row>
    <row r="9" spans="1:46" s="113" customFormat="1" x14ac:dyDescent="0.25">
      <c r="A9" s="3">
        <f t="shared" si="6"/>
        <v>8</v>
      </c>
      <c r="B9" s="3" t="s">
        <v>1020</v>
      </c>
      <c r="C9" s="340">
        <v>46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46</v>
      </c>
      <c r="P9" s="340">
        <f t="shared" si="1"/>
        <v>-6</v>
      </c>
      <c r="Q9" s="10">
        <v>4.8</v>
      </c>
      <c r="R9" s="63" t="s">
        <v>87</v>
      </c>
      <c r="S9" s="204">
        <v>46054</v>
      </c>
      <c r="T9" s="254">
        <v>0</v>
      </c>
      <c r="U9" s="254"/>
      <c r="V9" s="331">
        <v>44743</v>
      </c>
      <c r="W9" s="107">
        <v>4</v>
      </c>
      <c r="X9" s="107">
        <v>10</v>
      </c>
      <c r="Y9" s="107">
        <v>2</v>
      </c>
      <c r="Z9" s="428">
        <v>4</v>
      </c>
      <c r="AA9" s="137">
        <f t="shared" si="2"/>
        <v>20</v>
      </c>
      <c r="AB9" s="136">
        <f t="shared" si="3"/>
        <v>5</v>
      </c>
      <c r="AC9" s="136">
        <f t="shared" si="4"/>
        <v>20</v>
      </c>
      <c r="AD9" s="136">
        <f t="shared" si="5"/>
        <v>40</v>
      </c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</row>
    <row r="10" spans="1:46" s="113" customFormat="1" x14ac:dyDescent="0.25">
      <c r="A10" s="3">
        <f t="shared" si="6"/>
        <v>9</v>
      </c>
      <c r="B10" s="314"/>
      <c r="C10" s="340"/>
      <c r="D10" s="359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0"/>
      <c r="P10" s="340"/>
      <c r="Q10" s="10"/>
      <c r="R10" s="63"/>
      <c r="S10" s="344"/>
      <c r="T10" s="318"/>
      <c r="U10" s="318"/>
      <c r="V10" s="344"/>
      <c r="W10" s="309"/>
      <c r="X10" s="309"/>
      <c r="Y10" s="309"/>
      <c r="Z10" s="428"/>
      <c r="AA10" s="132"/>
      <c r="AB10" s="399"/>
      <c r="AC10" s="399"/>
      <c r="AD10" s="399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</row>
    <row r="11" spans="1:46" ht="15.75" customHeight="1" x14ac:dyDescent="0.25">
      <c r="A11" s="3">
        <f t="shared" si="6"/>
        <v>10</v>
      </c>
      <c r="B11" s="3"/>
      <c r="C11" s="8"/>
      <c r="D11" s="359"/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9"/>
      <c r="P11" s="340"/>
      <c r="Q11" s="10"/>
      <c r="R11" s="8"/>
      <c r="S11" s="175"/>
      <c r="T11" s="120"/>
      <c r="U11" s="120"/>
      <c r="V11" s="175"/>
      <c r="W11" s="122"/>
      <c r="X11" s="122"/>
      <c r="Y11" s="122"/>
      <c r="Z11" s="428"/>
      <c r="AA11" s="132"/>
      <c r="AB11" s="399"/>
      <c r="AC11" s="399"/>
      <c r="AD11" s="399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</row>
    <row r="12" spans="1:46" s="113" customFormat="1" x14ac:dyDescent="0.25">
      <c r="A12" s="3">
        <f t="shared" si="6"/>
        <v>11</v>
      </c>
      <c r="B12" s="3"/>
      <c r="C12" s="8"/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9"/>
      <c r="P12" s="340"/>
      <c r="Q12" s="10"/>
      <c r="R12" s="63"/>
      <c r="S12" s="107"/>
      <c r="T12" s="107"/>
      <c r="U12" s="107"/>
      <c r="V12" s="107"/>
      <c r="W12" s="107"/>
      <c r="X12" s="107"/>
      <c r="Y12" s="107"/>
      <c r="Z12" s="428"/>
      <c r="AA12" s="132"/>
      <c r="AB12" s="399"/>
      <c r="AC12" s="399"/>
      <c r="AD12" s="399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</row>
    <row r="13" spans="1:46" x14ac:dyDescent="0.25">
      <c r="A13" s="314">
        <f t="shared" si="6"/>
        <v>12</v>
      </c>
      <c r="B13" s="3"/>
      <c r="C13" s="9"/>
      <c r="D13" s="359"/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9"/>
      <c r="P13" s="338"/>
      <c r="Q13" s="10"/>
      <c r="R13" s="63"/>
      <c r="Z13" s="428"/>
      <c r="AB13" s="132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</row>
    <row r="14" spans="1:46" x14ac:dyDescent="0.25">
      <c r="A14" s="314">
        <f t="shared" si="6"/>
        <v>13</v>
      </c>
      <c r="B14" s="3"/>
      <c r="C14" s="9"/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9"/>
      <c r="P14" s="338"/>
      <c r="Q14" s="10"/>
      <c r="R14" s="63"/>
      <c r="Z14" s="428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</row>
    <row r="15" spans="1:46" s="113" customFormat="1" x14ac:dyDescent="0.25">
      <c r="A15" s="314">
        <f t="shared" si="6"/>
        <v>14</v>
      </c>
      <c r="B15" s="3"/>
      <c r="C15" s="9"/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9"/>
      <c r="P15" s="338"/>
      <c r="Q15" s="10"/>
      <c r="R15" s="63"/>
      <c r="S15" s="107"/>
      <c r="T15" s="107"/>
      <c r="U15" s="107"/>
      <c r="V15" s="107"/>
      <c r="W15" s="14"/>
      <c r="X15" s="14"/>
      <c r="Y15" s="14"/>
      <c r="Z15" s="428"/>
      <c r="AA15" s="135"/>
      <c r="AB15" s="135"/>
      <c r="AC15" s="135"/>
      <c r="AD15" s="135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</row>
    <row r="16" spans="1:46" x14ac:dyDescent="0.25">
      <c r="A16" s="314">
        <f t="shared" si="6"/>
        <v>15</v>
      </c>
      <c r="B16" s="3"/>
      <c r="C16" s="9"/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9"/>
      <c r="P16" s="338"/>
      <c r="Q16" s="10"/>
      <c r="R16" s="63"/>
      <c r="Z16" s="428"/>
    </row>
    <row r="17" spans="1:26" x14ac:dyDescent="0.25">
      <c r="A17" s="314">
        <f t="shared" si="6"/>
        <v>16</v>
      </c>
      <c r="B17" s="3"/>
      <c r="C17" s="9"/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9"/>
      <c r="P17" s="338"/>
      <c r="Q17" s="10"/>
      <c r="R17" s="63"/>
      <c r="Z17" s="428"/>
    </row>
    <row r="18" spans="1:26" x14ac:dyDescent="0.25">
      <c r="A18" s="314">
        <f t="shared" si="6"/>
        <v>17</v>
      </c>
      <c r="B18" s="3"/>
      <c r="C18" s="9"/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9"/>
      <c r="P18" s="338"/>
      <c r="Q18" s="10"/>
      <c r="R18" s="63"/>
      <c r="Z18" s="428"/>
    </row>
    <row r="19" spans="1:26" x14ac:dyDescent="0.25">
      <c r="A19" s="3"/>
      <c r="B19" s="3"/>
      <c r="C19" s="9"/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9"/>
      <c r="P19" s="338"/>
      <c r="Q19" s="10"/>
      <c r="R19" s="63"/>
      <c r="Z19" s="428"/>
    </row>
    <row r="20" spans="1:26" x14ac:dyDescent="0.25">
      <c r="A20" s="3"/>
      <c r="B20" s="3"/>
      <c r="C20" s="8"/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9"/>
      <c r="P20" s="338"/>
      <c r="Q20" s="10"/>
      <c r="R20" s="63"/>
      <c r="Z20" s="428"/>
    </row>
    <row r="21" spans="1:26" x14ac:dyDescent="0.25">
      <c r="A21" s="3"/>
      <c r="B21" s="3"/>
      <c r="C21" s="9"/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9"/>
      <c r="P21" s="338"/>
      <c r="Q21" s="10"/>
      <c r="R21" s="63"/>
      <c r="Z21" s="428"/>
    </row>
    <row r="22" spans="1:26" x14ac:dyDescent="0.25">
      <c r="A22" s="3"/>
      <c r="B22" s="3"/>
      <c r="C22" s="9"/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9"/>
      <c r="P22" s="338"/>
      <c r="Q22" s="10"/>
      <c r="R22" s="63"/>
      <c r="Z22" s="428"/>
    </row>
    <row r="23" spans="1:26" x14ac:dyDescent="0.25">
      <c r="A23" s="3"/>
      <c r="B23" s="3"/>
      <c r="C23" s="9"/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9"/>
      <c r="P23" s="338"/>
      <c r="Q23" s="10"/>
      <c r="R23" s="63"/>
      <c r="Z23" s="428"/>
    </row>
    <row r="24" spans="1:26" x14ac:dyDescent="0.25">
      <c r="A24" s="3"/>
      <c r="B24" s="3"/>
      <c r="C24" s="9"/>
      <c r="D24" s="359"/>
      <c r="E24" s="478"/>
      <c r="F24" s="359"/>
      <c r="G24" s="478"/>
      <c r="H24" s="359"/>
      <c r="I24" s="478"/>
      <c r="J24" s="359"/>
      <c r="K24" s="478"/>
      <c r="L24" s="359"/>
      <c r="M24" s="478"/>
      <c r="N24" s="561"/>
      <c r="O24" s="9"/>
      <c r="P24" s="338"/>
      <c r="Q24" s="10"/>
      <c r="R24" s="63"/>
      <c r="Z24" s="428"/>
    </row>
    <row r="25" spans="1:26" x14ac:dyDescent="0.25">
      <c r="A25" s="3"/>
      <c r="B25" s="3"/>
      <c r="C25" s="8"/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9"/>
      <c r="P25" s="338"/>
      <c r="Q25" s="10"/>
      <c r="R25" s="63"/>
      <c r="Z25" s="428"/>
    </row>
    <row r="26" spans="1:26" x14ac:dyDescent="0.25">
      <c r="A26" s="3"/>
      <c r="B26" s="3"/>
      <c r="C26" s="8"/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9"/>
      <c r="P26" s="338"/>
      <c r="Q26" s="10"/>
      <c r="R26" s="63"/>
      <c r="Z26" s="428"/>
    </row>
    <row r="27" spans="1:26" x14ac:dyDescent="0.25">
      <c r="A27" s="3"/>
      <c r="B27" s="3"/>
      <c r="C27" s="9"/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9"/>
      <c r="P27" s="338"/>
      <c r="Q27" s="10"/>
      <c r="R27" s="63"/>
      <c r="Z27" s="428"/>
    </row>
    <row r="28" spans="1:26" x14ac:dyDescent="0.25">
      <c r="A28" s="3"/>
      <c r="B28" s="3"/>
      <c r="C28" s="8"/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9"/>
      <c r="P28" s="338"/>
      <c r="Q28" s="10"/>
      <c r="R28" s="63"/>
      <c r="Z28" s="428"/>
    </row>
    <row r="29" spans="1:26" x14ac:dyDescent="0.25">
      <c r="A29" s="3"/>
      <c r="B29" s="3"/>
      <c r="C29" s="9"/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9"/>
      <c r="P29" s="338"/>
      <c r="Q29" s="10"/>
      <c r="R29" s="63"/>
      <c r="Z29" s="428"/>
    </row>
    <row r="30" spans="1:26" x14ac:dyDescent="0.25">
      <c r="A30" s="3"/>
      <c r="B30" s="3"/>
      <c r="C30" s="8"/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9"/>
      <c r="P30" s="338"/>
      <c r="Q30" s="10"/>
      <c r="R30" s="63"/>
      <c r="Z30" s="428"/>
    </row>
    <row r="31" spans="1:26" x14ac:dyDescent="0.25">
      <c r="A31" s="3"/>
      <c r="B31" s="3"/>
      <c r="C31" s="9"/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9"/>
      <c r="P31" s="338"/>
      <c r="Q31" s="10"/>
      <c r="R31" s="63"/>
      <c r="Z31" s="428"/>
    </row>
    <row r="32" spans="1:26" x14ac:dyDescent="0.25">
      <c r="A32" s="3"/>
      <c r="B32" s="3"/>
      <c r="C32" s="9"/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9"/>
      <c r="P32" s="338"/>
      <c r="Q32" s="10"/>
      <c r="R32" s="63"/>
      <c r="Z32" s="428"/>
    </row>
    <row r="33" spans="1:26" x14ac:dyDescent="0.25">
      <c r="A33" s="3"/>
      <c r="B33" s="3"/>
      <c r="C33" s="9"/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9"/>
      <c r="P33" s="338"/>
      <c r="Q33" s="10"/>
      <c r="R33" s="63"/>
      <c r="Z33" s="428"/>
    </row>
    <row r="34" spans="1:26" x14ac:dyDescent="0.25">
      <c r="A34" s="3"/>
      <c r="B34" s="3"/>
      <c r="C34" s="8"/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9"/>
      <c r="P34" s="338"/>
      <c r="Q34" s="10"/>
      <c r="R34" s="63"/>
      <c r="Z34" s="428"/>
    </row>
    <row r="35" spans="1:26" x14ac:dyDescent="0.25">
      <c r="A35" s="3"/>
      <c r="B35" s="3"/>
      <c r="C35" s="8"/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9"/>
      <c r="P35" s="338"/>
      <c r="Q35" s="10"/>
      <c r="R35" s="63"/>
      <c r="Z35" s="428"/>
    </row>
    <row r="36" spans="1:26" x14ac:dyDescent="0.25">
      <c r="A36" s="3"/>
      <c r="B36" s="3"/>
      <c r="C36" s="8"/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9"/>
      <c r="P36" s="338"/>
      <c r="Q36" s="10"/>
      <c r="R36" s="63"/>
      <c r="Z36" s="428"/>
    </row>
    <row r="37" spans="1:26" x14ac:dyDescent="0.25">
      <c r="A37" s="3"/>
      <c r="B37" s="3"/>
      <c r="C37" s="9"/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9"/>
      <c r="P37" s="338"/>
      <c r="Q37" s="10"/>
      <c r="R37" s="63"/>
      <c r="Z37" s="428"/>
    </row>
    <row r="38" spans="1:26" x14ac:dyDescent="0.25">
      <c r="A38" s="3"/>
      <c r="B38" s="3"/>
      <c r="C38" s="9"/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9"/>
      <c r="P38" s="338"/>
      <c r="Q38" s="10"/>
      <c r="R38" s="63"/>
      <c r="Z38" s="428"/>
    </row>
    <row r="39" spans="1:26" x14ac:dyDescent="0.25">
      <c r="A39" s="3"/>
      <c r="B39" s="3"/>
      <c r="C39" s="9"/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9"/>
      <c r="P39" s="338"/>
      <c r="Q39" s="10"/>
      <c r="R39" s="63"/>
      <c r="Z39" s="428"/>
    </row>
    <row r="40" spans="1:26" x14ac:dyDescent="0.25">
      <c r="A40" s="3"/>
      <c r="B40" s="3"/>
      <c r="C40" s="8"/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9"/>
      <c r="P40" s="338"/>
      <c r="Q40" s="10"/>
      <c r="R40" s="63"/>
      <c r="Z40" s="428"/>
    </row>
    <row r="41" spans="1:26" x14ac:dyDescent="0.25">
      <c r="A41" s="3"/>
      <c r="B41" s="3"/>
      <c r="C41" s="9"/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9"/>
      <c r="P41" s="338"/>
      <c r="Q41" s="10"/>
      <c r="R41" s="63"/>
      <c r="Z41" s="428"/>
    </row>
    <row r="42" spans="1:26" x14ac:dyDescent="0.25">
      <c r="A42" s="3"/>
      <c r="B42" s="3"/>
      <c r="C42" s="9"/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9"/>
      <c r="P42" s="338"/>
      <c r="Q42" s="10"/>
      <c r="R42" s="63"/>
      <c r="Z42" s="428"/>
    </row>
    <row r="43" spans="1:26" x14ac:dyDescent="0.25">
      <c r="A43" s="3"/>
      <c r="B43" s="3"/>
      <c r="C43" s="8"/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9"/>
      <c r="P43" s="338"/>
      <c r="Q43" s="10"/>
      <c r="R43" s="63"/>
      <c r="Z43" s="428"/>
    </row>
    <row r="44" spans="1:26" x14ac:dyDescent="0.25">
      <c r="A44" s="3"/>
      <c r="B44" s="3"/>
      <c r="C44" s="9"/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9"/>
      <c r="P44" s="338"/>
      <c r="Q44" s="10"/>
      <c r="R44" s="63"/>
      <c r="Z44" s="428"/>
    </row>
    <row r="45" spans="1:26" x14ac:dyDescent="0.25">
      <c r="A45" s="3"/>
      <c r="B45" s="3"/>
      <c r="C45" s="8"/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9"/>
      <c r="P45" s="338"/>
      <c r="Q45" s="10"/>
      <c r="R45" s="63"/>
      <c r="Z45" s="428"/>
    </row>
    <row r="46" spans="1:26" x14ac:dyDescent="0.25">
      <c r="A46" s="3"/>
      <c r="B46" s="3"/>
      <c r="C46" s="8"/>
      <c r="D46" s="359"/>
      <c r="E46" s="478"/>
      <c r="F46" s="359"/>
      <c r="G46" s="478"/>
      <c r="H46" s="359"/>
      <c r="I46" s="478"/>
      <c r="J46" s="359"/>
      <c r="K46" s="478"/>
      <c r="L46" s="359"/>
      <c r="M46" s="478"/>
      <c r="N46" s="561"/>
      <c r="O46" s="9"/>
      <c r="P46" s="338"/>
      <c r="Q46" s="10"/>
      <c r="R46" s="63"/>
      <c r="Z46" s="428"/>
    </row>
    <row r="47" spans="1:26" x14ac:dyDescent="0.25">
      <c r="A47" s="3"/>
      <c r="B47" s="3"/>
      <c r="C47" s="8"/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9"/>
      <c r="P47" s="338"/>
      <c r="Q47" s="10"/>
      <c r="R47" s="63"/>
      <c r="Z47" s="428"/>
    </row>
    <row r="48" spans="1:26" x14ac:dyDescent="0.25">
      <c r="A48" s="3"/>
      <c r="B48" s="3"/>
      <c r="C48" s="9"/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9"/>
      <c r="P48" s="338"/>
      <c r="Q48" s="10"/>
      <c r="R48" s="63"/>
      <c r="Z48" s="428"/>
    </row>
    <row r="49" spans="1:26" x14ac:dyDescent="0.25">
      <c r="A49" s="3"/>
      <c r="B49" s="3"/>
      <c r="C49" s="9"/>
      <c r="D49" s="359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9"/>
      <c r="P49" s="338"/>
      <c r="Q49" s="10"/>
      <c r="R49" s="63"/>
      <c r="Z49" s="428"/>
    </row>
    <row r="50" spans="1:26" x14ac:dyDescent="0.25">
      <c r="A50" s="3"/>
      <c r="B50" s="3"/>
      <c r="C50" s="9"/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9"/>
      <c r="P50" s="338"/>
      <c r="Q50" s="10"/>
      <c r="R50" s="63"/>
      <c r="Z50" s="428"/>
    </row>
    <row r="51" spans="1:26" x14ac:dyDescent="0.25">
      <c r="A51" s="3"/>
      <c r="B51" s="3"/>
      <c r="C51" s="9"/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9"/>
      <c r="P51" s="338"/>
      <c r="Q51" s="10"/>
      <c r="R51" s="63"/>
      <c r="Z51" s="428"/>
    </row>
    <row r="52" spans="1:26" x14ac:dyDescent="0.25">
      <c r="A52" s="3"/>
      <c r="B52" s="3"/>
      <c r="C52" s="9"/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9"/>
      <c r="P52" s="338"/>
      <c r="Q52" s="10"/>
      <c r="R52" s="63"/>
      <c r="Z52" s="428"/>
    </row>
    <row r="53" spans="1:26" x14ac:dyDescent="0.25">
      <c r="A53" s="3"/>
      <c r="B53" s="3"/>
      <c r="C53" s="9"/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9"/>
      <c r="P53" s="338"/>
      <c r="Q53" s="10"/>
      <c r="R53" s="63"/>
      <c r="Z53" s="428"/>
    </row>
    <row r="54" spans="1:26" x14ac:dyDescent="0.25">
      <c r="A54" s="3"/>
      <c r="B54" s="3"/>
      <c r="C54" s="8"/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9"/>
      <c r="P54" s="338"/>
      <c r="Q54" s="10"/>
      <c r="R54" s="63"/>
      <c r="Z54" s="428"/>
    </row>
    <row r="55" spans="1:26" x14ac:dyDescent="0.25">
      <c r="A55" s="3"/>
      <c r="B55" s="3"/>
      <c r="C55" s="9"/>
      <c r="D55" s="359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9"/>
      <c r="P55" s="338"/>
      <c r="Q55" s="10"/>
      <c r="R55" s="63"/>
      <c r="Z55" s="428"/>
    </row>
    <row r="56" spans="1:26" x14ac:dyDescent="0.25">
      <c r="A56" s="3"/>
      <c r="B56" s="3"/>
      <c r="C56" s="9"/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9"/>
      <c r="P56" s="338"/>
      <c r="Q56" s="10"/>
      <c r="R56" s="63"/>
      <c r="Z56" s="428"/>
    </row>
    <row r="57" spans="1:26" x14ac:dyDescent="0.25">
      <c r="A57" s="3"/>
      <c r="B57" s="3"/>
      <c r="C57" s="9"/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9"/>
      <c r="P57" s="338"/>
      <c r="Q57" s="10"/>
      <c r="R57" s="63"/>
      <c r="Z57" s="428"/>
    </row>
    <row r="58" spans="1:26" x14ac:dyDescent="0.25">
      <c r="A58" s="3"/>
      <c r="B58" s="3"/>
      <c r="C58" s="9"/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9"/>
      <c r="P58" s="338"/>
      <c r="Q58" s="10"/>
      <c r="R58" s="63"/>
      <c r="Z58" s="428"/>
    </row>
    <row r="59" spans="1:26" x14ac:dyDescent="0.25">
      <c r="A59" s="3"/>
      <c r="B59" s="3"/>
      <c r="C59" s="9"/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9"/>
      <c r="P59" s="338"/>
      <c r="Q59" s="10"/>
      <c r="R59" s="63"/>
      <c r="Z59" s="428"/>
    </row>
    <row r="60" spans="1:26" x14ac:dyDescent="0.25">
      <c r="A60" s="3"/>
      <c r="B60" s="3"/>
      <c r="C60" s="9"/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9"/>
      <c r="P60" s="338"/>
      <c r="Q60" s="10"/>
      <c r="R60" s="63"/>
      <c r="Z60" s="428"/>
    </row>
    <row r="61" spans="1:26" x14ac:dyDescent="0.25">
      <c r="A61" s="3"/>
      <c r="B61" s="3"/>
      <c r="C61" s="9"/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9"/>
      <c r="P61" s="338"/>
      <c r="Q61" s="10"/>
      <c r="R61" s="63"/>
      <c r="Z61" s="428"/>
    </row>
    <row r="62" spans="1:26" x14ac:dyDescent="0.25">
      <c r="A62" s="3"/>
      <c r="B62" s="3"/>
      <c r="C62" s="9"/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9"/>
      <c r="P62" s="338"/>
      <c r="Q62" s="10"/>
      <c r="R62" s="63"/>
      <c r="Z62" s="428"/>
    </row>
    <row r="63" spans="1:26" x14ac:dyDescent="0.25">
      <c r="A63" s="3"/>
      <c r="B63" s="3"/>
      <c r="C63" s="9"/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9"/>
      <c r="P63" s="338"/>
      <c r="Q63" s="10"/>
      <c r="R63" s="63"/>
      <c r="Z63" s="428"/>
    </row>
    <row r="64" spans="1:26" x14ac:dyDescent="0.25">
      <c r="A64" s="3"/>
      <c r="B64" s="3"/>
      <c r="C64" s="9"/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9"/>
      <c r="P64" s="338"/>
      <c r="Q64" s="10"/>
      <c r="R64" s="63"/>
      <c r="Z64" s="428"/>
    </row>
    <row r="65" spans="1:26" x14ac:dyDescent="0.25">
      <c r="A65" s="3"/>
      <c r="B65" s="3"/>
      <c r="C65" s="9"/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9"/>
      <c r="P65" s="338"/>
      <c r="Q65" s="10"/>
      <c r="R65" s="63"/>
      <c r="Z65" s="428"/>
    </row>
    <row r="66" spans="1:26" x14ac:dyDescent="0.25">
      <c r="A66" s="3"/>
      <c r="B66" s="3"/>
      <c r="C66" s="9"/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9"/>
      <c r="P66" s="338"/>
      <c r="Q66" s="10"/>
      <c r="R66" s="63"/>
      <c r="Z66" s="428"/>
    </row>
    <row r="67" spans="1:26" x14ac:dyDescent="0.25">
      <c r="A67" s="3"/>
      <c r="B67" s="3"/>
      <c r="C67" s="9"/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9"/>
      <c r="P67" s="338"/>
      <c r="Q67" s="10"/>
      <c r="R67" s="63"/>
      <c r="Z67" s="428"/>
    </row>
    <row r="68" spans="1:26" x14ac:dyDescent="0.25">
      <c r="A68" s="3"/>
      <c r="B68" s="3"/>
      <c r="C68" s="9"/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9"/>
      <c r="P68" s="338"/>
      <c r="Q68" s="10"/>
      <c r="R68" s="63"/>
      <c r="Z68" s="428"/>
    </row>
    <row r="69" spans="1:26" x14ac:dyDescent="0.25">
      <c r="A69" s="3"/>
      <c r="B69" s="3"/>
      <c r="C69" s="9"/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9"/>
      <c r="P69" s="338"/>
      <c r="Q69" s="10"/>
      <c r="R69" s="63"/>
      <c r="Z69" s="428"/>
    </row>
    <row r="70" spans="1:26" x14ac:dyDescent="0.25">
      <c r="A70" s="3"/>
      <c r="B70" s="3"/>
      <c r="C70" s="9"/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9"/>
      <c r="P70" s="338"/>
      <c r="Q70" s="10"/>
      <c r="R70" s="64"/>
      <c r="Z70" s="428"/>
    </row>
    <row r="71" spans="1:26" x14ac:dyDescent="0.25">
      <c r="A71" s="3"/>
      <c r="B71" s="3"/>
      <c r="C71" s="9"/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9"/>
      <c r="P71" s="338"/>
      <c r="Q71" s="10"/>
      <c r="R71" s="63"/>
      <c r="Z71" s="428"/>
    </row>
    <row r="72" spans="1:26" x14ac:dyDescent="0.25">
      <c r="A72" s="3"/>
      <c r="B72" s="3"/>
      <c r="C72" s="9"/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9"/>
      <c r="P72" s="338"/>
      <c r="Q72" s="10"/>
      <c r="R72" s="63"/>
      <c r="Z72" s="428"/>
    </row>
    <row r="73" spans="1:26" x14ac:dyDescent="0.25">
      <c r="A73" s="3"/>
      <c r="B73" s="3"/>
      <c r="C73" s="9"/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9"/>
      <c r="P73" s="338"/>
      <c r="Q73" s="10"/>
      <c r="R73" s="63"/>
      <c r="Z73" s="428"/>
    </row>
    <row r="74" spans="1:26" x14ac:dyDescent="0.25">
      <c r="A74" s="3"/>
      <c r="B74" s="3"/>
      <c r="C74" s="9"/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9"/>
      <c r="P74" s="338"/>
      <c r="Q74" s="10"/>
      <c r="R74" s="63"/>
      <c r="Z74" s="428"/>
    </row>
    <row r="75" spans="1:26" x14ac:dyDescent="0.25">
      <c r="A75" s="3"/>
      <c r="B75" s="3"/>
      <c r="C75" s="9"/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9"/>
      <c r="P75" s="338"/>
      <c r="Q75" s="10"/>
      <c r="R75" s="63"/>
      <c r="Z75" s="428"/>
    </row>
    <row r="76" spans="1:26" x14ac:dyDescent="0.25">
      <c r="A76" s="3"/>
      <c r="B76" s="3"/>
      <c r="C76" s="9"/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9"/>
      <c r="P76" s="338"/>
      <c r="Q76" s="10"/>
      <c r="R76" s="63"/>
      <c r="Z76" s="428"/>
    </row>
    <row r="77" spans="1:26" x14ac:dyDescent="0.25">
      <c r="A77" s="3"/>
      <c r="B77" s="3"/>
      <c r="C77" s="9"/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9"/>
      <c r="P77" s="338"/>
      <c r="Q77" s="10"/>
      <c r="R77" s="63"/>
      <c r="Z77" s="428"/>
    </row>
    <row r="78" spans="1:26" x14ac:dyDescent="0.25">
      <c r="A78" s="3"/>
      <c r="B78" s="3"/>
      <c r="C78" s="9"/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9"/>
      <c r="P78" s="338"/>
      <c r="Q78" s="10"/>
      <c r="R78" s="63"/>
      <c r="Z78" s="428"/>
    </row>
    <row r="79" spans="1:26" x14ac:dyDescent="0.25">
      <c r="A79" s="3"/>
      <c r="B79" s="3"/>
      <c r="C79" s="9"/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9"/>
      <c r="P79" s="338"/>
      <c r="Q79" s="10"/>
      <c r="R79" s="63"/>
      <c r="Z79" s="428"/>
    </row>
    <row r="80" spans="1:26" x14ac:dyDescent="0.25">
      <c r="A80" s="3"/>
      <c r="B80" s="3"/>
      <c r="C80" s="9"/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9"/>
      <c r="P80" s="338"/>
      <c r="Q80" s="10"/>
      <c r="R80" s="63"/>
      <c r="Z80" s="428"/>
    </row>
    <row r="81" spans="1:26" x14ac:dyDescent="0.25">
      <c r="A81" s="3"/>
      <c r="B81" s="3"/>
      <c r="C81" s="8"/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9"/>
      <c r="P81" s="338"/>
      <c r="Q81" s="10"/>
      <c r="R81" s="63"/>
      <c r="Z81" s="428"/>
    </row>
    <row r="82" spans="1:26" x14ac:dyDescent="0.25">
      <c r="A82" s="3"/>
      <c r="B82" s="3"/>
      <c r="C82" s="8"/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9"/>
      <c r="P82" s="338"/>
      <c r="Q82" s="10"/>
      <c r="R82" s="63"/>
      <c r="Z82" s="428"/>
    </row>
    <row r="83" spans="1:26" x14ac:dyDescent="0.25">
      <c r="A83" s="3"/>
      <c r="B83" s="3"/>
      <c r="C83" s="8"/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9"/>
      <c r="P83" s="338"/>
      <c r="Q83" s="10"/>
      <c r="R83" s="63"/>
      <c r="Z83" s="428"/>
    </row>
    <row r="84" spans="1:26" x14ac:dyDescent="0.25">
      <c r="A84" s="3"/>
      <c r="B84" s="3"/>
      <c r="C84" s="9"/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9"/>
      <c r="P84" s="338"/>
      <c r="Q84" s="10"/>
      <c r="R84" s="63"/>
    </row>
    <row r="85" spans="1:26" x14ac:dyDescent="0.25">
      <c r="A85" s="3"/>
      <c r="B85" s="3"/>
      <c r="C85" s="9"/>
      <c r="D85" s="359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9"/>
      <c r="P85" s="338"/>
      <c r="Q85" s="10"/>
      <c r="R85" s="63"/>
    </row>
    <row r="86" spans="1:26" x14ac:dyDescent="0.25">
      <c r="A86" s="3"/>
      <c r="B86" s="3"/>
      <c r="C86" s="9"/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9"/>
      <c r="P86" s="338"/>
      <c r="Q86" s="10"/>
      <c r="R86" s="63"/>
    </row>
    <row r="87" spans="1:26" x14ac:dyDescent="0.25">
      <c r="A87" s="3"/>
      <c r="B87" s="3"/>
      <c r="C87" s="9"/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9"/>
      <c r="P87" s="338"/>
      <c r="Q87" s="10"/>
      <c r="R87" s="63"/>
    </row>
    <row r="88" spans="1:26" x14ac:dyDescent="0.25">
      <c r="A88" s="3"/>
      <c r="B88" s="3"/>
      <c r="C88" s="8"/>
      <c r="D88" s="359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9"/>
      <c r="P88" s="338"/>
      <c r="Q88" s="10"/>
      <c r="R88" s="63"/>
    </row>
    <row r="89" spans="1:26" x14ac:dyDescent="0.25">
      <c r="A89" s="3"/>
      <c r="B89" s="3"/>
      <c r="C89" s="9"/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9"/>
      <c r="P89" s="338"/>
      <c r="Q89" s="10"/>
      <c r="R89" s="63"/>
    </row>
    <row r="90" spans="1:26" x14ac:dyDescent="0.25">
      <c r="A90" s="3"/>
      <c r="B90" s="3"/>
      <c r="C90" s="9"/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9">
        <f t="shared" ref="O90:O121" si="7">SUM(C90:N90)</f>
        <v>0</v>
      </c>
      <c r="P90" s="338"/>
      <c r="Q90" s="10"/>
      <c r="R90" s="63"/>
    </row>
    <row r="91" spans="1:26" x14ac:dyDescent="0.25">
      <c r="A91" s="3"/>
      <c r="B91" s="3"/>
      <c r="C91" s="9"/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9">
        <f t="shared" si="7"/>
        <v>0</v>
      </c>
      <c r="P91" s="338"/>
      <c r="Q91" s="10"/>
      <c r="R91" s="63"/>
    </row>
    <row r="92" spans="1:26" x14ac:dyDescent="0.25">
      <c r="A92" s="3"/>
      <c r="B92" s="3"/>
      <c r="C92" s="9"/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9">
        <f t="shared" si="7"/>
        <v>0</v>
      </c>
      <c r="P92" s="338"/>
      <c r="Q92" s="10"/>
      <c r="R92" s="63"/>
    </row>
    <row r="93" spans="1:26" x14ac:dyDescent="0.25">
      <c r="A93" s="3"/>
      <c r="B93" s="3"/>
      <c r="C93" s="9"/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9">
        <f t="shared" si="7"/>
        <v>0</v>
      </c>
      <c r="P93" s="338"/>
      <c r="Q93" s="10"/>
      <c r="R93" s="63"/>
    </row>
    <row r="94" spans="1:26" x14ac:dyDescent="0.25">
      <c r="A94" s="3">
        <f t="shared" ref="A94:A125" si="8">A93+1</f>
        <v>1</v>
      </c>
      <c r="B94" s="3"/>
      <c r="C94" s="8"/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9">
        <f t="shared" si="7"/>
        <v>0</v>
      </c>
      <c r="P94" s="338"/>
      <c r="Q94" s="10"/>
      <c r="R94" s="63"/>
    </row>
    <row r="95" spans="1:26" x14ac:dyDescent="0.25">
      <c r="A95" s="3">
        <f t="shared" si="8"/>
        <v>2</v>
      </c>
      <c r="B95" s="3"/>
      <c r="C95" s="9"/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9">
        <f t="shared" si="7"/>
        <v>0</v>
      </c>
      <c r="P95" s="338"/>
      <c r="Q95" s="10"/>
      <c r="R95" s="63"/>
    </row>
    <row r="96" spans="1:26" x14ac:dyDescent="0.25">
      <c r="A96" s="3">
        <f t="shared" si="8"/>
        <v>3</v>
      </c>
      <c r="B96" s="3"/>
      <c r="C96" s="9"/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9">
        <f t="shared" si="7"/>
        <v>0</v>
      </c>
      <c r="P96" s="338"/>
      <c r="Q96" s="10"/>
      <c r="R96" s="63"/>
    </row>
    <row r="97" spans="1:18" x14ac:dyDescent="0.25">
      <c r="A97" s="3">
        <f t="shared" si="8"/>
        <v>4</v>
      </c>
      <c r="B97" s="3"/>
      <c r="C97" s="9"/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9">
        <f t="shared" si="7"/>
        <v>0</v>
      </c>
      <c r="P97" s="338"/>
      <c r="Q97" s="10"/>
      <c r="R97" s="63"/>
    </row>
    <row r="98" spans="1:18" x14ac:dyDescent="0.25">
      <c r="A98" s="3">
        <f t="shared" si="8"/>
        <v>5</v>
      </c>
      <c r="B98" s="3"/>
      <c r="C98" s="8"/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9">
        <f t="shared" si="7"/>
        <v>0</v>
      </c>
      <c r="P98" s="338"/>
      <c r="Q98" s="10"/>
      <c r="R98" s="63"/>
    </row>
    <row r="99" spans="1:18" x14ac:dyDescent="0.25">
      <c r="A99" s="3">
        <f t="shared" si="8"/>
        <v>6</v>
      </c>
      <c r="B99" s="3"/>
      <c r="C99" s="8"/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9">
        <f t="shared" si="7"/>
        <v>0</v>
      </c>
      <c r="P99" s="338"/>
      <c r="Q99" s="10"/>
      <c r="R99" s="63"/>
    </row>
    <row r="100" spans="1:18" x14ac:dyDescent="0.25">
      <c r="A100" s="3">
        <f t="shared" si="8"/>
        <v>7</v>
      </c>
      <c r="B100" s="3"/>
      <c r="C100" s="9"/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9">
        <f t="shared" si="7"/>
        <v>0</v>
      </c>
      <c r="P100" s="338"/>
      <c r="Q100" s="10"/>
      <c r="R100" s="63"/>
    </row>
    <row r="101" spans="1:18" x14ac:dyDescent="0.25">
      <c r="A101" s="3">
        <f t="shared" si="8"/>
        <v>8</v>
      </c>
      <c r="B101" s="3"/>
      <c r="C101" s="9"/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9">
        <f t="shared" si="7"/>
        <v>0</v>
      </c>
      <c r="P101" s="338"/>
      <c r="Q101" s="10"/>
      <c r="R101" s="63"/>
    </row>
    <row r="102" spans="1:18" x14ac:dyDescent="0.25">
      <c r="A102" s="3">
        <f t="shared" si="8"/>
        <v>9</v>
      </c>
      <c r="B102" s="3"/>
      <c r="C102" s="9"/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9">
        <f t="shared" si="7"/>
        <v>0</v>
      </c>
      <c r="P102" s="338"/>
      <c r="Q102" s="10"/>
      <c r="R102" s="63"/>
    </row>
    <row r="103" spans="1:18" x14ac:dyDescent="0.25">
      <c r="A103" s="3">
        <f t="shared" si="8"/>
        <v>10</v>
      </c>
      <c r="B103" s="3"/>
      <c r="C103" s="9"/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9">
        <f t="shared" si="7"/>
        <v>0</v>
      </c>
      <c r="P103" s="338"/>
      <c r="Q103" s="10"/>
      <c r="R103" s="63"/>
    </row>
    <row r="104" spans="1:18" x14ac:dyDescent="0.25">
      <c r="A104" s="3">
        <f t="shared" si="8"/>
        <v>11</v>
      </c>
      <c r="B104" s="3"/>
      <c r="C104" s="9"/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9">
        <f t="shared" si="7"/>
        <v>0</v>
      </c>
      <c r="P104" s="338"/>
      <c r="Q104" s="10"/>
      <c r="R104" s="63"/>
    </row>
    <row r="105" spans="1:18" x14ac:dyDescent="0.25">
      <c r="A105" s="3">
        <f t="shared" si="8"/>
        <v>12</v>
      </c>
      <c r="B105" s="3"/>
      <c r="C105" s="9"/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9">
        <f t="shared" si="7"/>
        <v>0</v>
      </c>
      <c r="P105" s="338"/>
      <c r="Q105" s="10"/>
      <c r="R105" s="63"/>
    </row>
    <row r="106" spans="1:18" x14ac:dyDescent="0.25">
      <c r="A106" s="3">
        <f t="shared" si="8"/>
        <v>13</v>
      </c>
      <c r="B106" s="3"/>
      <c r="C106" s="9"/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9">
        <f t="shared" si="7"/>
        <v>0</v>
      </c>
      <c r="P106" s="338"/>
      <c r="Q106" s="10"/>
      <c r="R106" s="63"/>
    </row>
    <row r="107" spans="1:18" x14ac:dyDescent="0.25">
      <c r="A107" s="3">
        <f t="shared" si="8"/>
        <v>14</v>
      </c>
      <c r="B107" s="3"/>
      <c r="C107" s="8"/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9">
        <f t="shared" si="7"/>
        <v>0</v>
      </c>
      <c r="P107" s="338"/>
      <c r="Q107" s="10"/>
      <c r="R107" s="63"/>
    </row>
    <row r="108" spans="1:18" x14ac:dyDescent="0.25">
      <c r="A108" s="3">
        <f t="shared" si="8"/>
        <v>15</v>
      </c>
      <c r="B108" s="3"/>
      <c r="C108" s="9"/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9">
        <f t="shared" si="7"/>
        <v>0</v>
      </c>
      <c r="P108" s="338"/>
      <c r="Q108" s="10"/>
      <c r="R108" s="63"/>
    </row>
    <row r="109" spans="1:18" x14ac:dyDescent="0.25">
      <c r="A109" s="3">
        <f t="shared" si="8"/>
        <v>16</v>
      </c>
      <c r="B109" s="3"/>
      <c r="C109" s="9"/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9">
        <f t="shared" si="7"/>
        <v>0</v>
      </c>
      <c r="P109" s="338"/>
      <c r="Q109" s="10"/>
      <c r="R109" s="63"/>
    </row>
    <row r="110" spans="1:18" x14ac:dyDescent="0.25">
      <c r="A110" s="3">
        <f t="shared" si="8"/>
        <v>17</v>
      </c>
      <c r="B110" s="3"/>
      <c r="C110" s="9"/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9">
        <f t="shared" si="7"/>
        <v>0</v>
      </c>
      <c r="P110" s="338"/>
      <c r="Q110" s="10"/>
      <c r="R110" s="63"/>
    </row>
    <row r="111" spans="1:18" x14ac:dyDescent="0.25">
      <c r="A111" s="3">
        <f t="shared" si="8"/>
        <v>18</v>
      </c>
      <c r="B111" s="3"/>
      <c r="C111" s="9"/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9">
        <f t="shared" si="7"/>
        <v>0</v>
      </c>
      <c r="P111" s="338"/>
      <c r="Q111" s="10"/>
      <c r="R111" s="63"/>
    </row>
    <row r="112" spans="1:18" x14ac:dyDescent="0.25">
      <c r="A112" s="3">
        <f t="shared" si="8"/>
        <v>19</v>
      </c>
      <c r="B112" s="3"/>
      <c r="C112" s="9"/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9">
        <f t="shared" si="7"/>
        <v>0</v>
      </c>
      <c r="P112" s="338"/>
      <c r="Q112" s="10"/>
      <c r="R112" s="63"/>
    </row>
    <row r="113" spans="1:18" x14ac:dyDescent="0.25">
      <c r="A113" s="3">
        <f t="shared" si="8"/>
        <v>20</v>
      </c>
      <c r="B113" s="3"/>
      <c r="C113" s="9"/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9">
        <f t="shared" si="7"/>
        <v>0</v>
      </c>
      <c r="P113" s="338"/>
      <c r="Q113" s="10"/>
      <c r="R113" s="63"/>
    </row>
    <row r="114" spans="1:18" x14ac:dyDescent="0.25">
      <c r="A114" s="3">
        <f t="shared" si="8"/>
        <v>21</v>
      </c>
      <c r="B114" s="3"/>
      <c r="C114" s="9"/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9">
        <f t="shared" si="7"/>
        <v>0</v>
      </c>
      <c r="P114" s="338"/>
      <c r="Q114" s="10"/>
      <c r="R114" s="63"/>
    </row>
    <row r="115" spans="1:18" x14ac:dyDescent="0.25">
      <c r="A115" s="3">
        <f t="shared" si="8"/>
        <v>22</v>
      </c>
      <c r="B115" s="3"/>
      <c r="C115" s="9"/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9">
        <f t="shared" si="7"/>
        <v>0</v>
      </c>
      <c r="P115" s="338"/>
      <c r="Q115" s="10"/>
      <c r="R115" s="63"/>
    </row>
    <row r="116" spans="1:18" x14ac:dyDescent="0.25">
      <c r="A116" s="3">
        <f t="shared" si="8"/>
        <v>23</v>
      </c>
      <c r="B116" s="3"/>
      <c r="C116" s="9"/>
      <c r="D116" s="359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9">
        <f t="shared" si="7"/>
        <v>0</v>
      </c>
      <c r="P116" s="338"/>
      <c r="Q116" s="10"/>
      <c r="R116" s="63"/>
    </row>
    <row r="117" spans="1:18" x14ac:dyDescent="0.25">
      <c r="A117" s="3">
        <f t="shared" si="8"/>
        <v>24</v>
      </c>
      <c r="B117" s="3"/>
      <c r="C117" s="9"/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9">
        <f t="shared" si="7"/>
        <v>0</v>
      </c>
      <c r="P117" s="338"/>
      <c r="Q117" s="10"/>
      <c r="R117" s="63"/>
    </row>
    <row r="118" spans="1:18" x14ac:dyDescent="0.25">
      <c r="A118" s="3">
        <f t="shared" si="8"/>
        <v>25</v>
      </c>
      <c r="B118" s="3"/>
      <c r="C118" s="9"/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9">
        <f t="shared" si="7"/>
        <v>0</v>
      </c>
      <c r="P118" s="338"/>
      <c r="Q118" s="10"/>
      <c r="R118" s="63"/>
    </row>
    <row r="119" spans="1:18" x14ac:dyDescent="0.25">
      <c r="A119" s="3">
        <f t="shared" si="8"/>
        <v>26</v>
      </c>
      <c r="B119" s="3"/>
      <c r="C119" s="9"/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9">
        <f t="shared" si="7"/>
        <v>0</v>
      </c>
      <c r="P119" s="338"/>
      <c r="Q119" s="10"/>
      <c r="R119" s="63"/>
    </row>
    <row r="120" spans="1:18" x14ac:dyDescent="0.25">
      <c r="A120" s="3">
        <f t="shared" si="8"/>
        <v>27</v>
      </c>
      <c r="B120" s="3"/>
      <c r="C120" s="9"/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9">
        <f t="shared" si="7"/>
        <v>0</v>
      </c>
      <c r="P120" s="338"/>
      <c r="Q120" s="10"/>
      <c r="R120" s="64"/>
    </row>
    <row r="121" spans="1:18" x14ac:dyDescent="0.25">
      <c r="A121" s="3">
        <f t="shared" si="8"/>
        <v>28</v>
      </c>
      <c r="B121" s="3"/>
      <c r="C121" s="9"/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9">
        <f t="shared" si="7"/>
        <v>0</v>
      </c>
      <c r="P121" s="338"/>
      <c r="Q121" s="10"/>
      <c r="R121" s="63"/>
    </row>
    <row r="122" spans="1:18" x14ac:dyDescent="0.25">
      <c r="A122" s="3">
        <f t="shared" si="8"/>
        <v>29</v>
      </c>
      <c r="B122" s="3"/>
      <c r="C122" s="9"/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9">
        <f t="shared" ref="O122:O153" si="9">SUM(C122:N122)</f>
        <v>0</v>
      </c>
      <c r="P122" s="338"/>
      <c r="Q122" s="10"/>
      <c r="R122" s="63"/>
    </row>
    <row r="123" spans="1:18" x14ac:dyDescent="0.25">
      <c r="A123" s="3">
        <f t="shared" si="8"/>
        <v>30</v>
      </c>
      <c r="B123" s="3"/>
      <c r="C123" s="9"/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9">
        <f t="shared" si="9"/>
        <v>0</v>
      </c>
      <c r="P123" s="338"/>
      <c r="Q123" s="10"/>
      <c r="R123" s="63"/>
    </row>
    <row r="124" spans="1:18" x14ac:dyDescent="0.25">
      <c r="A124" s="3">
        <f t="shared" si="8"/>
        <v>31</v>
      </c>
      <c r="B124" s="3"/>
      <c r="C124" s="9"/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9">
        <f t="shared" si="9"/>
        <v>0</v>
      </c>
      <c r="P124" s="338"/>
      <c r="Q124" s="10"/>
      <c r="R124" s="63"/>
    </row>
    <row r="125" spans="1:18" x14ac:dyDescent="0.25">
      <c r="A125" s="3">
        <f t="shared" si="8"/>
        <v>32</v>
      </c>
      <c r="B125" s="3"/>
      <c r="C125" s="9"/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9">
        <f t="shared" si="9"/>
        <v>0</v>
      </c>
      <c r="P125" s="338"/>
      <c r="Q125" s="10"/>
      <c r="R125" s="63"/>
    </row>
    <row r="126" spans="1:18" x14ac:dyDescent="0.25">
      <c r="A126" s="3">
        <f t="shared" ref="A126:A157" si="10">A125+1</f>
        <v>33</v>
      </c>
      <c r="B126" s="3"/>
      <c r="C126" s="9"/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9">
        <f t="shared" si="9"/>
        <v>0</v>
      </c>
      <c r="P126" s="338"/>
      <c r="Q126" s="10"/>
      <c r="R126" s="63"/>
    </row>
    <row r="127" spans="1:18" x14ac:dyDescent="0.25">
      <c r="A127" s="3">
        <f t="shared" si="10"/>
        <v>34</v>
      </c>
      <c r="B127" s="3"/>
      <c r="C127" s="9"/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9">
        <f t="shared" si="9"/>
        <v>0</v>
      </c>
      <c r="P127" s="338"/>
      <c r="Q127" s="10"/>
      <c r="R127" s="63"/>
    </row>
    <row r="128" spans="1:18" x14ac:dyDescent="0.25">
      <c r="A128" s="3">
        <f t="shared" si="10"/>
        <v>35</v>
      </c>
      <c r="B128" s="3"/>
      <c r="C128" s="9"/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9">
        <f t="shared" si="9"/>
        <v>0</v>
      </c>
      <c r="P128" s="338"/>
      <c r="Q128" s="10"/>
      <c r="R128" s="63"/>
    </row>
    <row r="129" spans="1:18" x14ac:dyDescent="0.25">
      <c r="A129" s="3">
        <f t="shared" si="10"/>
        <v>36</v>
      </c>
      <c r="B129" s="3"/>
      <c r="C129" s="9"/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9">
        <f t="shared" si="9"/>
        <v>0</v>
      </c>
      <c r="P129" s="338"/>
      <c r="Q129" s="10"/>
      <c r="R129" s="63"/>
    </row>
    <row r="130" spans="1:18" x14ac:dyDescent="0.25">
      <c r="A130" s="3">
        <f t="shared" si="10"/>
        <v>37</v>
      </c>
      <c r="B130" s="3"/>
      <c r="C130" s="9"/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9">
        <f t="shared" si="9"/>
        <v>0</v>
      </c>
      <c r="P130" s="338"/>
      <c r="Q130" s="10"/>
      <c r="R130" s="63"/>
    </row>
    <row r="131" spans="1:18" x14ac:dyDescent="0.25">
      <c r="A131" s="3">
        <f t="shared" si="10"/>
        <v>38</v>
      </c>
      <c r="B131" s="3"/>
      <c r="C131" s="9"/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9">
        <f t="shared" si="9"/>
        <v>0</v>
      </c>
      <c r="P131" s="338"/>
      <c r="Q131" s="10"/>
      <c r="R131" s="63"/>
    </row>
    <row r="132" spans="1:18" x14ac:dyDescent="0.25">
      <c r="A132" s="3">
        <f t="shared" si="10"/>
        <v>39</v>
      </c>
      <c r="B132" s="3"/>
      <c r="C132" s="9"/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9">
        <f t="shared" si="9"/>
        <v>0</v>
      </c>
      <c r="P132" s="338"/>
      <c r="Q132" s="10"/>
      <c r="R132" s="63"/>
    </row>
    <row r="133" spans="1:18" x14ac:dyDescent="0.25">
      <c r="A133" s="3">
        <f t="shared" si="10"/>
        <v>40</v>
      </c>
      <c r="B133" s="3"/>
      <c r="C133" s="9"/>
      <c r="D133" s="359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9">
        <f t="shared" si="9"/>
        <v>0</v>
      </c>
      <c r="P133" s="338"/>
      <c r="Q133" s="10"/>
      <c r="R133" s="63"/>
    </row>
    <row r="134" spans="1:18" x14ac:dyDescent="0.25">
      <c r="A134" s="3">
        <f t="shared" si="10"/>
        <v>41</v>
      </c>
      <c r="B134" s="3"/>
      <c r="C134" s="9"/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9">
        <f t="shared" si="9"/>
        <v>0</v>
      </c>
      <c r="P134" s="338"/>
      <c r="Q134" s="10"/>
      <c r="R134" s="63"/>
    </row>
    <row r="135" spans="1:18" x14ac:dyDescent="0.25">
      <c r="A135" s="3">
        <f t="shared" si="10"/>
        <v>42</v>
      </c>
      <c r="B135" s="3"/>
      <c r="C135" s="9"/>
      <c r="D135" s="359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9">
        <f t="shared" si="9"/>
        <v>0</v>
      </c>
      <c r="P135" s="338"/>
      <c r="Q135" s="10"/>
      <c r="R135" s="63"/>
    </row>
    <row r="136" spans="1:18" x14ac:dyDescent="0.25">
      <c r="A136" s="3">
        <f t="shared" si="10"/>
        <v>43</v>
      </c>
      <c r="B136" s="3"/>
      <c r="C136" s="9"/>
      <c r="D136" s="359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9">
        <f t="shared" si="9"/>
        <v>0</v>
      </c>
      <c r="P136" s="338"/>
      <c r="Q136" s="10"/>
      <c r="R136" s="63"/>
    </row>
    <row r="137" spans="1:18" x14ac:dyDescent="0.25">
      <c r="A137" s="3">
        <f t="shared" si="10"/>
        <v>44</v>
      </c>
      <c r="B137" s="3"/>
      <c r="C137" s="8"/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9">
        <f t="shared" si="9"/>
        <v>0</v>
      </c>
      <c r="P137" s="338"/>
      <c r="Q137" s="10"/>
      <c r="R137" s="63"/>
    </row>
    <row r="138" spans="1:18" x14ac:dyDescent="0.25">
      <c r="A138" s="3">
        <f t="shared" si="10"/>
        <v>45</v>
      </c>
      <c r="B138" s="3"/>
      <c r="C138" s="9"/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9">
        <f t="shared" si="9"/>
        <v>0</v>
      </c>
      <c r="P138" s="338"/>
      <c r="Q138" s="10"/>
      <c r="R138" s="63"/>
    </row>
    <row r="139" spans="1:18" x14ac:dyDescent="0.25">
      <c r="A139" s="3">
        <f t="shared" si="10"/>
        <v>46</v>
      </c>
      <c r="B139" s="3"/>
      <c r="C139" s="8"/>
      <c r="D139" s="359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9">
        <f t="shared" si="9"/>
        <v>0</v>
      </c>
      <c r="P139" s="338"/>
      <c r="Q139" s="10"/>
      <c r="R139" s="63"/>
    </row>
    <row r="140" spans="1:18" x14ac:dyDescent="0.25">
      <c r="A140" s="3">
        <f t="shared" si="10"/>
        <v>47</v>
      </c>
      <c r="B140" s="3"/>
      <c r="C140" s="9"/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9">
        <f t="shared" si="9"/>
        <v>0</v>
      </c>
      <c r="P140" s="338"/>
      <c r="Q140" s="10"/>
      <c r="R140" s="63"/>
    </row>
    <row r="141" spans="1:18" x14ac:dyDescent="0.25">
      <c r="A141" s="3">
        <f t="shared" si="10"/>
        <v>48</v>
      </c>
      <c r="B141" s="3"/>
      <c r="C141" s="9"/>
      <c r="D141" s="359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9">
        <f t="shared" si="9"/>
        <v>0</v>
      </c>
      <c r="P141" s="338"/>
      <c r="Q141" s="10"/>
      <c r="R141" s="63"/>
    </row>
    <row r="142" spans="1:18" x14ac:dyDescent="0.25">
      <c r="A142" s="3">
        <f t="shared" si="10"/>
        <v>49</v>
      </c>
      <c r="B142" s="3"/>
      <c r="C142" s="9"/>
      <c r="D142" s="359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9">
        <f t="shared" si="9"/>
        <v>0</v>
      </c>
      <c r="P142" s="338"/>
      <c r="Q142" s="10"/>
      <c r="R142" s="63"/>
    </row>
    <row r="143" spans="1:18" x14ac:dyDescent="0.25">
      <c r="A143" s="3">
        <f t="shared" si="10"/>
        <v>50</v>
      </c>
      <c r="B143" s="3"/>
      <c r="C143" s="9"/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9">
        <f t="shared" si="9"/>
        <v>0</v>
      </c>
      <c r="P143" s="338"/>
      <c r="Q143" s="10"/>
      <c r="R143" s="63"/>
    </row>
    <row r="144" spans="1:18" x14ac:dyDescent="0.25">
      <c r="A144" s="3">
        <f t="shared" si="10"/>
        <v>51</v>
      </c>
      <c r="B144" s="3"/>
      <c r="C144" s="9"/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9">
        <f t="shared" si="9"/>
        <v>0</v>
      </c>
      <c r="P144" s="338"/>
      <c r="Q144" s="10"/>
      <c r="R144" s="63"/>
    </row>
    <row r="145" spans="1:18" x14ac:dyDescent="0.25">
      <c r="A145" s="3">
        <f t="shared" si="10"/>
        <v>52</v>
      </c>
      <c r="B145" s="3"/>
      <c r="C145" s="9"/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9">
        <f t="shared" si="9"/>
        <v>0</v>
      </c>
      <c r="P145" s="338"/>
      <c r="Q145" s="10"/>
      <c r="R145" s="63"/>
    </row>
    <row r="146" spans="1:18" x14ac:dyDescent="0.25">
      <c r="A146" s="3">
        <f t="shared" si="10"/>
        <v>53</v>
      </c>
      <c r="B146" s="3"/>
      <c r="C146" s="9"/>
      <c r="D146" s="359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9">
        <f t="shared" si="9"/>
        <v>0</v>
      </c>
      <c r="P146" s="338"/>
      <c r="Q146" s="10"/>
      <c r="R146" s="63"/>
    </row>
    <row r="147" spans="1:18" x14ac:dyDescent="0.25">
      <c r="A147" s="3">
        <f t="shared" si="10"/>
        <v>54</v>
      </c>
      <c r="B147" s="3"/>
      <c r="C147" s="8"/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9">
        <f t="shared" si="9"/>
        <v>0</v>
      </c>
      <c r="P147" s="338"/>
      <c r="Q147" s="10"/>
      <c r="R147" s="63"/>
    </row>
    <row r="148" spans="1:18" x14ac:dyDescent="0.25">
      <c r="A148" s="3">
        <f t="shared" si="10"/>
        <v>55</v>
      </c>
      <c r="B148" s="3"/>
      <c r="C148" s="9"/>
      <c r="D148" s="359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9">
        <f t="shared" si="9"/>
        <v>0</v>
      </c>
      <c r="P148" s="338"/>
      <c r="Q148" s="10"/>
      <c r="R148" s="63"/>
    </row>
    <row r="149" spans="1:18" x14ac:dyDescent="0.25">
      <c r="A149" s="3">
        <f t="shared" si="10"/>
        <v>56</v>
      </c>
      <c r="B149" s="3"/>
      <c r="C149" s="9"/>
      <c r="D149" s="359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9">
        <f t="shared" si="9"/>
        <v>0</v>
      </c>
      <c r="P149" s="338"/>
      <c r="Q149" s="10"/>
      <c r="R149" s="63"/>
    </row>
    <row r="150" spans="1:18" x14ac:dyDescent="0.25">
      <c r="A150" s="3">
        <f t="shared" si="10"/>
        <v>57</v>
      </c>
      <c r="B150" s="3"/>
      <c r="C150" s="9"/>
      <c r="D150" s="359"/>
      <c r="E150" s="478"/>
      <c r="F150" s="359"/>
      <c r="G150" s="478"/>
      <c r="H150" s="359"/>
      <c r="I150" s="478"/>
      <c r="J150" s="359"/>
      <c r="K150" s="478"/>
      <c r="L150" s="359"/>
      <c r="M150" s="478"/>
      <c r="N150" s="561"/>
      <c r="O150" s="9">
        <f t="shared" si="9"/>
        <v>0</v>
      </c>
      <c r="P150" s="338"/>
      <c r="Q150" s="10"/>
      <c r="R150" s="63"/>
    </row>
    <row r="151" spans="1:18" x14ac:dyDescent="0.25">
      <c r="A151" s="3">
        <f t="shared" si="10"/>
        <v>58</v>
      </c>
      <c r="B151" s="3"/>
      <c r="C151" s="9"/>
      <c r="D151" s="359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9">
        <f t="shared" si="9"/>
        <v>0</v>
      </c>
      <c r="P151" s="338"/>
      <c r="Q151" s="10"/>
      <c r="R151" s="63"/>
    </row>
    <row r="152" spans="1:18" x14ac:dyDescent="0.25">
      <c r="A152" s="3">
        <f t="shared" si="10"/>
        <v>59</v>
      </c>
      <c r="B152" s="3"/>
      <c r="C152" s="9"/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9">
        <f t="shared" si="9"/>
        <v>0</v>
      </c>
      <c r="P152" s="338"/>
      <c r="Q152" s="10"/>
      <c r="R152" s="63"/>
    </row>
    <row r="153" spans="1:18" x14ac:dyDescent="0.25">
      <c r="A153" s="3">
        <f t="shared" si="10"/>
        <v>60</v>
      </c>
      <c r="B153" s="3"/>
      <c r="C153" s="9"/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9">
        <f t="shared" si="9"/>
        <v>0</v>
      </c>
      <c r="P153" s="338"/>
      <c r="Q153" s="10"/>
      <c r="R153" s="63"/>
    </row>
    <row r="154" spans="1:18" x14ac:dyDescent="0.25">
      <c r="A154" s="3">
        <f t="shared" si="10"/>
        <v>61</v>
      </c>
      <c r="B154" s="3"/>
      <c r="C154" s="9"/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9">
        <f t="shared" ref="O154:O185" si="11">SUM(C154:N154)</f>
        <v>0</v>
      </c>
      <c r="P154" s="338"/>
      <c r="Q154" s="10"/>
      <c r="R154" s="63"/>
    </row>
    <row r="155" spans="1:18" x14ac:dyDescent="0.25">
      <c r="A155" s="3">
        <f t="shared" si="10"/>
        <v>62</v>
      </c>
      <c r="B155" s="3"/>
      <c r="C155" s="9"/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9">
        <f t="shared" si="11"/>
        <v>0</v>
      </c>
      <c r="P155" s="338"/>
      <c r="Q155" s="10"/>
      <c r="R155" s="63"/>
    </row>
    <row r="156" spans="1:18" x14ac:dyDescent="0.25">
      <c r="A156" s="3">
        <f t="shared" si="10"/>
        <v>63</v>
      </c>
      <c r="B156" s="3"/>
      <c r="C156" s="9"/>
      <c r="D156" s="359"/>
      <c r="E156" s="478"/>
      <c r="F156" s="359"/>
      <c r="G156" s="478"/>
      <c r="H156" s="359"/>
      <c r="I156" s="478"/>
      <c r="J156" s="359"/>
      <c r="K156" s="478"/>
      <c r="L156" s="359"/>
      <c r="M156" s="478"/>
      <c r="N156" s="561"/>
      <c r="O156" s="9">
        <f t="shared" si="11"/>
        <v>0</v>
      </c>
      <c r="P156" s="338"/>
      <c r="Q156" s="10"/>
      <c r="R156" s="63"/>
    </row>
    <row r="157" spans="1:18" x14ac:dyDescent="0.25">
      <c r="A157" s="3">
        <f t="shared" si="10"/>
        <v>64</v>
      </c>
      <c r="B157" s="3"/>
      <c r="C157" s="9"/>
      <c r="D157" s="359"/>
      <c r="E157" s="478"/>
      <c r="F157" s="359"/>
      <c r="G157" s="478"/>
      <c r="H157" s="359"/>
      <c r="I157" s="478"/>
      <c r="J157" s="359"/>
      <c r="K157" s="478"/>
      <c r="L157" s="359"/>
      <c r="M157" s="478"/>
      <c r="N157" s="561"/>
      <c r="O157" s="9">
        <f t="shared" si="11"/>
        <v>0</v>
      </c>
      <c r="P157" s="338"/>
      <c r="Q157" s="10"/>
      <c r="R157" s="63"/>
    </row>
    <row r="158" spans="1:18" x14ac:dyDescent="0.25">
      <c r="A158" s="3">
        <f t="shared" ref="A158:A189" si="12">A157+1</f>
        <v>65</v>
      </c>
      <c r="B158" s="3"/>
      <c r="C158" s="9"/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9">
        <f t="shared" si="11"/>
        <v>0</v>
      </c>
      <c r="P158" s="338"/>
      <c r="Q158" s="10"/>
      <c r="R158" s="64"/>
    </row>
    <row r="159" spans="1:18" x14ac:dyDescent="0.25">
      <c r="A159" s="3">
        <f t="shared" si="12"/>
        <v>66</v>
      </c>
      <c r="B159" s="3"/>
      <c r="C159" s="9"/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9">
        <f t="shared" si="11"/>
        <v>0</v>
      </c>
      <c r="P159" s="338"/>
      <c r="Q159" s="10"/>
      <c r="R159" s="63"/>
    </row>
    <row r="160" spans="1:18" x14ac:dyDescent="0.25">
      <c r="A160" s="3">
        <f t="shared" si="12"/>
        <v>67</v>
      </c>
      <c r="B160" s="3"/>
      <c r="C160" s="9"/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9">
        <f t="shared" si="11"/>
        <v>0</v>
      </c>
      <c r="P160" s="338"/>
      <c r="Q160" s="10"/>
      <c r="R160" s="63"/>
    </row>
    <row r="161" spans="1:18" x14ac:dyDescent="0.25">
      <c r="A161" s="3">
        <f t="shared" si="12"/>
        <v>68</v>
      </c>
      <c r="B161" s="3"/>
      <c r="C161" s="9"/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9">
        <f t="shared" si="11"/>
        <v>0</v>
      </c>
      <c r="P161" s="338"/>
      <c r="Q161" s="10"/>
      <c r="R161" s="63"/>
    </row>
    <row r="162" spans="1:18" x14ac:dyDescent="0.25">
      <c r="A162" s="3">
        <f t="shared" si="12"/>
        <v>69</v>
      </c>
      <c r="B162" s="3"/>
      <c r="C162" s="9"/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9">
        <f t="shared" si="11"/>
        <v>0</v>
      </c>
      <c r="P162" s="338"/>
      <c r="Q162" s="10"/>
      <c r="R162" s="63"/>
    </row>
    <row r="163" spans="1:18" x14ac:dyDescent="0.25">
      <c r="A163" s="3">
        <f t="shared" si="12"/>
        <v>70</v>
      </c>
      <c r="B163" s="3"/>
      <c r="C163" s="9"/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9">
        <f t="shared" si="11"/>
        <v>0</v>
      </c>
      <c r="P163" s="338"/>
      <c r="Q163" s="10"/>
      <c r="R163" s="63"/>
    </row>
    <row r="164" spans="1:18" x14ac:dyDescent="0.25">
      <c r="A164" s="3">
        <f t="shared" si="12"/>
        <v>71</v>
      </c>
      <c r="B164" s="3"/>
      <c r="C164" s="9"/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9">
        <f t="shared" si="11"/>
        <v>0</v>
      </c>
      <c r="P164" s="338"/>
      <c r="Q164" s="10"/>
      <c r="R164" s="63"/>
    </row>
    <row r="165" spans="1:18" x14ac:dyDescent="0.25">
      <c r="A165" s="3">
        <f t="shared" si="12"/>
        <v>72</v>
      </c>
      <c r="B165" s="3"/>
      <c r="C165" s="9"/>
      <c r="D165" s="359"/>
      <c r="E165" s="478"/>
      <c r="F165" s="359"/>
      <c r="G165" s="478"/>
      <c r="H165" s="359"/>
      <c r="I165" s="478"/>
      <c r="J165" s="359"/>
      <c r="K165" s="478"/>
      <c r="L165" s="359"/>
      <c r="M165" s="478"/>
      <c r="N165" s="561"/>
      <c r="O165" s="9">
        <f t="shared" si="11"/>
        <v>0</v>
      </c>
      <c r="P165" s="338"/>
      <c r="Q165" s="10"/>
      <c r="R165" s="63"/>
    </row>
    <row r="166" spans="1:18" x14ac:dyDescent="0.25">
      <c r="A166" s="3">
        <f t="shared" si="12"/>
        <v>73</v>
      </c>
      <c r="B166" s="3"/>
      <c r="C166" s="9"/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9">
        <f t="shared" si="11"/>
        <v>0</v>
      </c>
      <c r="P166" s="338"/>
      <c r="Q166" s="10"/>
      <c r="R166" s="63"/>
    </row>
    <row r="167" spans="1:18" x14ac:dyDescent="0.25">
      <c r="A167" s="3">
        <f t="shared" si="12"/>
        <v>74</v>
      </c>
      <c r="B167" s="3"/>
      <c r="C167" s="9"/>
      <c r="D167" s="359"/>
      <c r="E167" s="478"/>
      <c r="F167" s="359"/>
      <c r="G167" s="478"/>
      <c r="H167" s="359"/>
      <c r="I167" s="478"/>
      <c r="J167" s="359"/>
      <c r="K167" s="478"/>
      <c r="L167" s="359"/>
      <c r="M167" s="478"/>
      <c r="N167" s="561"/>
      <c r="O167" s="9">
        <f t="shared" si="11"/>
        <v>0</v>
      </c>
      <c r="P167" s="338"/>
      <c r="Q167" s="10"/>
      <c r="R167" s="63"/>
    </row>
    <row r="168" spans="1:18" x14ac:dyDescent="0.25">
      <c r="A168" s="3">
        <f t="shared" si="12"/>
        <v>75</v>
      </c>
      <c r="B168" s="3"/>
      <c r="C168" s="9"/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9">
        <f t="shared" si="11"/>
        <v>0</v>
      </c>
      <c r="P168" s="338"/>
      <c r="Q168" s="10"/>
      <c r="R168" s="64"/>
    </row>
    <row r="169" spans="1:18" x14ac:dyDescent="0.25">
      <c r="A169" s="3">
        <f t="shared" si="12"/>
        <v>76</v>
      </c>
      <c r="B169" s="3"/>
      <c r="C169" s="9"/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9">
        <f t="shared" si="11"/>
        <v>0</v>
      </c>
      <c r="P169" s="338"/>
      <c r="Q169" s="10"/>
      <c r="R169" s="63"/>
    </row>
    <row r="170" spans="1:18" x14ac:dyDescent="0.25">
      <c r="A170" s="3">
        <f t="shared" si="12"/>
        <v>77</v>
      </c>
      <c r="B170" s="3"/>
      <c r="C170" s="9"/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9">
        <f t="shared" si="11"/>
        <v>0</v>
      </c>
      <c r="P170" s="338"/>
      <c r="Q170" s="10"/>
      <c r="R170" s="63"/>
    </row>
    <row r="171" spans="1:18" x14ac:dyDescent="0.25">
      <c r="A171" s="3">
        <f t="shared" si="12"/>
        <v>78</v>
      </c>
      <c r="B171" s="3"/>
      <c r="C171" s="9"/>
      <c r="D171" s="359"/>
      <c r="E171" s="478"/>
      <c r="F171" s="359"/>
      <c r="G171" s="478"/>
      <c r="H171" s="359"/>
      <c r="I171" s="478"/>
      <c r="J171" s="359"/>
      <c r="K171" s="478"/>
      <c r="L171" s="359"/>
      <c r="M171" s="478"/>
      <c r="N171" s="561"/>
      <c r="O171" s="9">
        <f t="shared" si="11"/>
        <v>0</v>
      </c>
      <c r="P171" s="338"/>
      <c r="Q171" s="10"/>
      <c r="R171" s="63"/>
    </row>
    <row r="172" spans="1:18" x14ac:dyDescent="0.25">
      <c r="A172" s="3">
        <f t="shared" si="12"/>
        <v>79</v>
      </c>
      <c r="B172" s="3"/>
      <c r="C172" s="9"/>
      <c r="D172" s="359"/>
      <c r="E172" s="478"/>
      <c r="F172" s="359"/>
      <c r="G172" s="478"/>
      <c r="H172" s="359"/>
      <c r="I172" s="478"/>
      <c r="J172" s="359"/>
      <c r="K172" s="478"/>
      <c r="L172" s="359"/>
      <c r="M172" s="478"/>
      <c r="N172" s="561"/>
      <c r="O172" s="9">
        <f t="shared" si="11"/>
        <v>0</v>
      </c>
      <c r="P172" s="338"/>
      <c r="Q172" s="10"/>
      <c r="R172" s="63"/>
    </row>
    <row r="173" spans="1:18" x14ac:dyDescent="0.25">
      <c r="A173" s="3">
        <f t="shared" si="12"/>
        <v>80</v>
      </c>
      <c r="B173" s="3"/>
      <c r="C173" s="9"/>
      <c r="D173" s="359"/>
      <c r="E173" s="478"/>
      <c r="F173" s="359"/>
      <c r="G173" s="478"/>
      <c r="H173" s="359"/>
      <c r="I173" s="478"/>
      <c r="J173" s="359"/>
      <c r="K173" s="478"/>
      <c r="L173" s="359"/>
      <c r="M173" s="478"/>
      <c r="N173" s="561"/>
      <c r="O173" s="9">
        <f t="shared" si="11"/>
        <v>0</v>
      </c>
      <c r="P173" s="338"/>
      <c r="Q173" s="10"/>
      <c r="R173" s="63"/>
    </row>
    <row r="174" spans="1:18" x14ac:dyDescent="0.25">
      <c r="A174" s="3">
        <f t="shared" si="12"/>
        <v>81</v>
      </c>
      <c r="B174" s="3"/>
      <c r="C174" s="9"/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9">
        <f t="shared" si="11"/>
        <v>0</v>
      </c>
      <c r="P174" s="338"/>
      <c r="Q174" s="10"/>
      <c r="R174" s="63"/>
    </row>
    <row r="175" spans="1:18" x14ac:dyDescent="0.25">
      <c r="A175" s="3">
        <f t="shared" si="12"/>
        <v>82</v>
      </c>
      <c r="B175" s="3"/>
      <c r="C175" s="9"/>
      <c r="D175" s="359"/>
      <c r="E175" s="478"/>
      <c r="F175" s="359"/>
      <c r="G175" s="478"/>
      <c r="H175" s="359"/>
      <c r="I175" s="478"/>
      <c r="J175" s="359"/>
      <c r="K175" s="478"/>
      <c r="L175" s="359"/>
      <c r="M175" s="478"/>
      <c r="N175" s="561"/>
      <c r="O175" s="9">
        <f t="shared" si="11"/>
        <v>0</v>
      </c>
      <c r="P175" s="338"/>
      <c r="Q175" s="10"/>
      <c r="R175" s="63"/>
    </row>
    <row r="176" spans="1:18" x14ac:dyDescent="0.25">
      <c r="A176" s="3">
        <f t="shared" si="12"/>
        <v>83</v>
      </c>
      <c r="B176" s="3"/>
      <c r="C176" s="9"/>
      <c r="D176" s="359"/>
      <c r="E176" s="478"/>
      <c r="F176" s="359"/>
      <c r="G176" s="478"/>
      <c r="H176" s="359"/>
      <c r="I176" s="478"/>
      <c r="J176" s="359"/>
      <c r="K176" s="478"/>
      <c r="L176" s="359"/>
      <c r="M176" s="478"/>
      <c r="N176" s="561"/>
      <c r="O176" s="9">
        <f t="shared" si="11"/>
        <v>0</v>
      </c>
      <c r="P176" s="338"/>
      <c r="Q176" s="10"/>
      <c r="R176" s="63"/>
    </row>
    <row r="177" spans="1:18" x14ac:dyDescent="0.25">
      <c r="A177" s="3">
        <f t="shared" si="12"/>
        <v>84</v>
      </c>
      <c r="B177" s="3"/>
      <c r="C177" s="9"/>
      <c r="D177" s="359"/>
      <c r="E177" s="478"/>
      <c r="F177" s="359"/>
      <c r="G177" s="478"/>
      <c r="H177" s="359"/>
      <c r="I177" s="478"/>
      <c r="J177" s="359"/>
      <c r="K177" s="478"/>
      <c r="L177" s="359"/>
      <c r="M177" s="478"/>
      <c r="N177" s="561"/>
      <c r="O177" s="9">
        <f t="shared" si="11"/>
        <v>0</v>
      </c>
      <c r="P177" s="338"/>
      <c r="Q177" s="10"/>
      <c r="R177" s="63"/>
    </row>
    <row r="178" spans="1:18" x14ac:dyDescent="0.25">
      <c r="A178" s="3">
        <f t="shared" si="12"/>
        <v>85</v>
      </c>
      <c r="B178" s="3"/>
      <c r="C178" s="9"/>
      <c r="D178" s="359"/>
      <c r="E178" s="478"/>
      <c r="F178" s="359"/>
      <c r="G178" s="478"/>
      <c r="H178" s="359"/>
      <c r="I178" s="478"/>
      <c r="J178" s="359"/>
      <c r="K178" s="478"/>
      <c r="L178" s="359"/>
      <c r="M178" s="478"/>
      <c r="N178" s="561"/>
      <c r="O178" s="9">
        <f t="shared" si="11"/>
        <v>0</v>
      </c>
      <c r="P178" s="338"/>
      <c r="Q178" s="10"/>
      <c r="R178" s="63"/>
    </row>
    <row r="179" spans="1:18" x14ac:dyDescent="0.25">
      <c r="A179" s="3">
        <f t="shared" si="12"/>
        <v>86</v>
      </c>
      <c r="B179" s="3"/>
      <c r="C179" s="9"/>
      <c r="D179" s="359"/>
      <c r="E179" s="478"/>
      <c r="F179" s="359"/>
      <c r="G179" s="478"/>
      <c r="H179" s="359"/>
      <c r="I179" s="478"/>
      <c r="J179" s="359"/>
      <c r="K179" s="478"/>
      <c r="L179" s="359"/>
      <c r="M179" s="478"/>
      <c r="N179" s="561"/>
      <c r="O179" s="9">
        <f t="shared" si="11"/>
        <v>0</v>
      </c>
      <c r="P179" s="338"/>
      <c r="Q179" s="10"/>
      <c r="R179" s="63"/>
    </row>
    <row r="180" spans="1:18" x14ac:dyDescent="0.25">
      <c r="A180" s="3">
        <f t="shared" si="12"/>
        <v>87</v>
      </c>
      <c r="B180" s="3"/>
      <c r="C180" s="9"/>
      <c r="D180" s="359"/>
      <c r="E180" s="478"/>
      <c r="F180" s="359"/>
      <c r="G180" s="478"/>
      <c r="H180" s="359"/>
      <c r="I180" s="478"/>
      <c r="J180" s="359"/>
      <c r="K180" s="478"/>
      <c r="L180" s="359"/>
      <c r="M180" s="478"/>
      <c r="N180" s="561"/>
      <c r="O180" s="9">
        <f t="shared" si="11"/>
        <v>0</v>
      </c>
      <c r="P180" s="338"/>
      <c r="Q180" s="10"/>
      <c r="R180" s="63"/>
    </row>
    <row r="181" spans="1:18" x14ac:dyDescent="0.25">
      <c r="A181" s="3">
        <f t="shared" si="12"/>
        <v>88</v>
      </c>
      <c r="B181" s="3"/>
      <c r="C181" s="9"/>
      <c r="D181" s="359"/>
      <c r="E181" s="478"/>
      <c r="F181" s="359"/>
      <c r="G181" s="478"/>
      <c r="H181" s="359"/>
      <c r="I181" s="478"/>
      <c r="J181" s="359"/>
      <c r="K181" s="478"/>
      <c r="L181" s="359"/>
      <c r="M181" s="478"/>
      <c r="N181" s="561"/>
      <c r="O181" s="9">
        <f t="shared" si="11"/>
        <v>0</v>
      </c>
      <c r="P181" s="338"/>
      <c r="Q181" s="10"/>
      <c r="R181" s="63"/>
    </row>
    <row r="182" spans="1:18" x14ac:dyDescent="0.25">
      <c r="A182" s="3">
        <f t="shared" si="12"/>
        <v>89</v>
      </c>
      <c r="B182" s="3"/>
      <c r="C182" s="8"/>
      <c r="D182" s="359"/>
      <c r="E182" s="478"/>
      <c r="F182" s="359"/>
      <c r="G182" s="478"/>
      <c r="H182" s="359"/>
      <c r="I182" s="478"/>
      <c r="J182" s="359"/>
      <c r="K182" s="478"/>
      <c r="L182" s="359"/>
      <c r="M182" s="478"/>
      <c r="N182" s="561"/>
      <c r="O182" s="9">
        <f t="shared" si="11"/>
        <v>0</v>
      </c>
      <c r="P182" s="338"/>
      <c r="Q182" s="10"/>
      <c r="R182" s="63"/>
    </row>
    <row r="183" spans="1:18" x14ac:dyDescent="0.25">
      <c r="A183" s="3">
        <f t="shared" si="12"/>
        <v>90</v>
      </c>
      <c r="B183" s="3"/>
      <c r="C183" s="9"/>
      <c r="D183" s="359"/>
      <c r="E183" s="478"/>
      <c r="F183" s="359"/>
      <c r="G183" s="478"/>
      <c r="H183" s="359"/>
      <c r="I183" s="478"/>
      <c r="J183" s="359"/>
      <c r="K183" s="478"/>
      <c r="L183" s="359"/>
      <c r="M183" s="478"/>
      <c r="N183" s="561"/>
      <c r="O183" s="9">
        <f t="shared" si="11"/>
        <v>0</v>
      </c>
      <c r="P183" s="338"/>
      <c r="Q183" s="10"/>
      <c r="R183" s="63"/>
    </row>
    <row r="184" spans="1:18" x14ac:dyDescent="0.25">
      <c r="A184" s="3">
        <f t="shared" si="12"/>
        <v>91</v>
      </c>
      <c r="B184" s="3"/>
      <c r="C184" s="8"/>
      <c r="D184" s="359"/>
      <c r="E184" s="478"/>
      <c r="F184" s="359"/>
      <c r="G184" s="478"/>
      <c r="H184" s="359"/>
      <c r="I184" s="478"/>
      <c r="J184" s="359"/>
      <c r="K184" s="478"/>
      <c r="L184" s="359"/>
      <c r="M184" s="478"/>
      <c r="N184" s="561"/>
      <c r="O184" s="9">
        <f t="shared" si="11"/>
        <v>0</v>
      </c>
      <c r="P184" s="338"/>
      <c r="Q184" s="10"/>
      <c r="R184" s="63"/>
    </row>
    <row r="185" spans="1:18" x14ac:dyDescent="0.25">
      <c r="A185" s="3">
        <f t="shared" si="12"/>
        <v>92</v>
      </c>
      <c r="B185" s="3"/>
      <c r="C185" s="9"/>
      <c r="D185" s="359"/>
      <c r="E185" s="478"/>
      <c r="F185" s="359"/>
      <c r="G185" s="478"/>
      <c r="H185" s="359"/>
      <c r="I185" s="478"/>
      <c r="J185" s="359"/>
      <c r="K185" s="478"/>
      <c r="L185" s="359"/>
      <c r="M185" s="478"/>
      <c r="N185" s="561"/>
      <c r="O185" s="9">
        <f t="shared" si="11"/>
        <v>0</v>
      </c>
      <c r="P185" s="338"/>
      <c r="Q185" s="10"/>
      <c r="R185" s="63"/>
    </row>
    <row r="186" spans="1:18" x14ac:dyDescent="0.25">
      <c r="A186" s="3">
        <f t="shared" si="12"/>
        <v>93</v>
      </c>
      <c r="B186" s="3"/>
      <c r="C186" s="9"/>
      <c r="D186" s="359"/>
      <c r="E186" s="478"/>
      <c r="F186" s="359"/>
      <c r="G186" s="478"/>
      <c r="H186" s="359"/>
      <c r="I186" s="478"/>
      <c r="J186" s="359"/>
      <c r="K186" s="478"/>
      <c r="L186" s="359"/>
      <c r="M186" s="478"/>
      <c r="N186" s="561"/>
      <c r="O186" s="9">
        <f t="shared" ref="O186:O217" si="13">SUM(C186:N186)</f>
        <v>0</v>
      </c>
      <c r="P186" s="338"/>
      <c r="Q186" s="10"/>
      <c r="R186" s="63"/>
    </row>
    <row r="187" spans="1:18" x14ac:dyDescent="0.25">
      <c r="A187" s="3">
        <f t="shared" si="12"/>
        <v>94</v>
      </c>
      <c r="B187" s="3"/>
      <c r="C187" s="9"/>
      <c r="D187" s="359"/>
      <c r="E187" s="478"/>
      <c r="F187" s="359"/>
      <c r="G187" s="478"/>
      <c r="H187" s="359"/>
      <c r="I187" s="478"/>
      <c r="J187" s="359"/>
      <c r="K187" s="478"/>
      <c r="L187" s="359"/>
      <c r="M187" s="478"/>
      <c r="N187" s="561"/>
      <c r="O187" s="9">
        <f t="shared" si="13"/>
        <v>0</v>
      </c>
      <c r="P187" s="338"/>
      <c r="Q187" s="10"/>
      <c r="R187" s="63"/>
    </row>
    <row r="188" spans="1:18" x14ac:dyDescent="0.25">
      <c r="A188" s="3">
        <f t="shared" si="12"/>
        <v>95</v>
      </c>
      <c r="B188" s="3"/>
      <c r="C188" s="9"/>
      <c r="D188" s="359"/>
      <c r="E188" s="478"/>
      <c r="F188" s="359"/>
      <c r="G188" s="478"/>
      <c r="H188" s="359"/>
      <c r="I188" s="478"/>
      <c r="J188" s="359"/>
      <c r="K188" s="478"/>
      <c r="L188" s="359"/>
      <c r="M188" s="478"/>
      <c r="N188" s="561"/>
      <c r="O188" s="9">
        <f t="shared" si="13"/>
        <v>0</v>
      </c>
      <c r="P188" s="338"/>
      <c r="Q188" s="10"/>
      <c r="R188" s="63"/>
    </row>
    <row r="189" spans="1:18" x14ac:dyDescent="0.25">
      <c r="A189" s="3">
        <f t="shared" si="12"/>
        <v>96</v>
      </c>
      <c r="B189" s="3"/>
      <c r="C189" s="9"/>
      <c r="D189" s="359"/>
      <c r="E189" s="478"/>
      <c r="F189" s="359"/>
      <c r="G189" s="478"/>
      <c r="H189" s="359"/>
      <c r="I189" s="478"/>
      <c r="J189" s="359"/>
      <c r="K189" s="478"/>
      <c r="L189" s="359"/>
      <c r="M189" s="478"/>
      <c r="N189" s="561"/>
      <c r="O189" s="9">
        <f t="shared" si="13"/>
        <v>0</v>
      </c>
      <c r="P189" s="338"/>
      <c r="Q189" s="10"/>
      <c r="R189" s="63"/>
    </row>
    <row r="190" spans="1:18" x14ac:dyDescent="0.25">
      <c r="A190" s="3">
        <f t="shared" ref="A190:A221" si="14">A189+1</f>
        <v>97</v>
      </c>
      <c r="B190" s="3"/>
      <c r="C190" s="8"/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9">
        <f t="shared" si="13"/>
        <v>0</v>
      </c>
      <c r="P190" s="338"/>
      <c r="Q190" s="10"/>
      <c r="R190" s="63"/>
    </row>
    <row r="191" spans="1:18" x14ac:dyDescent="0.25">
      <c r="A191" s="3">
        <f t="shared" si="14"/>
        <v>98</v>
      </c>
      <c r="B191" s="3"/>
      <c r="C191" s="9"/>
      <c r="D191" s="359"/>
      <c r="E191" s="478"/>
      <c r="F191" s="359"/>
      <c r="G191" s="478"/>
      <c r="H191" s="359"/>
      <c r="I191" s="478"/>
      <c r="J191" s="359"/>
      <c r="K191" s="478"/>
      <c r="L191" s="359"/>
      <c r="M191" s="478"/>
      <c r="N191" s="561"/>
      <c r="O191" s="9">
        <f t="shared" si="13"/>
        <v>0</v>
      </c>
      <c r="P191" s="338"/>
      <c r="Q191" s="10"/>
      <c r="R191" s="63"/>
    </row>
    <row r="192" spans="1:18" x14ac:dyDescent="0.25">
      <c r="A192" s="3">
        <f t="shared" si="14"/>
        <v>99</v>
      </c>
      <c r="B192" s="3"/>
      <c r="C192" s="8"/>
      <c r="D192" s="359"/>
      <c r="E192" s="478"/>
      <c r="F192" s="359"/>
      <c r="G192" s="478"/>
      <c r="H192" s="359"/>
      <c r="I192" s="478"/>
      <c r="J192" s="359"/>
      <c r="K192" s="478"/>
      <c r="L192" s="359"/>
      <c r="M192" s="478"/>
      <c r="N192" s="561"/>
      <c r="O192" s="9">
        <f t="shared" si="13"/>
        <v>0</v>
      </c>
      <c r="P192" s="338"/>
      <c r="Q192" s="10"/>
      <c r="R192" s="63"/>
    </row>
    <row r="193" spans="1:18" x14ac:dyDescent="0.25">
      <c r="A193" s="3">
        <f t="shared" si="14"/>
        <v>100</v>
      </c>
      <c r="B193" s="3"/>
      <c r="C193" s="9"/>
      <c r="D193" s="359"/>
      <c r="E193" s="478"/>
      <c r="F193" s="359"/>
      <c r="G193" s="478"/>
      <c r="H193" s="359"/>
      <c r="I193" s="478"/>
      <c r="J193" s="359"/>
      <c r="K193" s="478"/>
      <c r="L193" s="359"/>
      <c r="M193" s="478"/>
      <c r="N193" s="561"/>
      <c r="O193" s="9">
        <f t="shared" si="13"/>
        <v>0</v>
      </c>
      <c r="P193" s="338"/>
      <c r="Q193" s="10"/>
      <c r="R193" s="63"/>
    </row>
    <row r="194" spans="1:18" x14ac:dyDescent="0.25">
      <c r="A194" s="3">
        <f t="shared" si="14"/>
        <v>101</v>
      </c>
      <c r="B194" s="3"/>
      <c r="C194" s="9"/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9">
        <f t="shared" si="13"/>
        <v>0</v>
      </c>
      <c r="P194" s="338"/>
      <c r="Q194" s="10"/>
      <c r="R194" s="63"/>
    </row>
    <row r="195" spans="1:18" x14ac:dyDescent="0.25">
      <c r="A195" s="3">
        <f t="shared" si="14"/>
        <v>102</v>
      </c>
      <c r="B195" s="3"/>
      <c r="C195" s="9"/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9">
        <f t="shared" si="13"/>
        <v>0</v>
      </c>
      <c r="P195" s="338"/>
      <c r="Q195" s="10"/>
      <c r="R195" s="63"/>
    </row>
    <row r="196" spans="1:18" x14ac:dyDescent="0.25">
      <c r="A196" s="3">
        <f t="shared" si="14"/>
        <v>103</v>
      </c>
      <c r="B196" s="3"/>
      <c r="C196" s="8"/>
      <c r="D196" s="359"/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9">
        <f t="shared" si="13"/>
        <v>0</v>
      </c>
      <c r="P196" s="338"/>
      <c r="Q196" s="10"/>
      <c r="R196" s="63"/>
    </row>
    <row r="197" spans="1:18" x14ac:dyDescent="0.25">
      <c r="A197" s="3">
        <f t="shared" si="14"/>
        <v>104</v>
      </c>
      <c r="B197" s="3"/>
      <c r="C197" s="9"/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9">
        <f t="shared" si="13"/>
        <v>0</v>
      </c>
      <c r="P197" s="338"/>
      <c r="Q197" s="10"/>
      <c r="R197" s="63"/>
    </row>
    <row r="198" spans="1:18" x14ac:dyDescent="0.25">
      <c r="A198" s="3">
        <f t="shared" si="14"/>
        <v>105</v>
      </c>
      <c r="B198" s="3"/>
      <c r="C198" s="9"/>
      <c r="D198" s="359"/>
      <c r="E198" s="478"/>
      <c r="F198" s="359"/>
      <c r="G198" s="478"/>
      <c r="H198" s="359"/>
      <c r="I198" s="478"/>
      <c r="J198" s="359"/>
      <c r="K198" s="478"/>
      <c r="L198" s="359"/>
      <c r="M198" s="478"/>
      <c r="N198" s="561"/>
      <c r="O198" s="9">
        <f t="shared" si="13"/>
        <v>0</v>
      </c>
      <c r="P198" s="338"/>
      <c r="Q198" s="10"/>
      <c r="R198" s="63"/>
    </row>
    <row r="199" spans="1:18" x14ac:dyDescent="0.25">
      <c r="A199" s="3">
        <f t="shared" si="14"/>
        <v>106</v>
      </c>
      <c r="B199" s="3"/>
      <c r="C199" s="9"/>
      <c r="D199" s="359"/>
      <c r="E199" s="478"/>
      <c r="F199" s="359"/>
      <c r="G199" s="478"/>
      <c r="H199" s="359"/>
      <c r="I199" s="478"/>
      <c r="J199" s="359"/>
      <c r="K199" s="478"/>
      <c r="L199" s="359"/>
      <c r="M199" s="478"/>
      <c r="N199" s="561"/>
      <c r="O199" s="9">
        <f t="shared" si="13"/>
        <v>0</v>
      </c>
      <c r="P199" s="338"/>
      <c r="Q199" s="10"/>
      <c r="R199" s="64"/>
    </row>
    <row r="200" spans="1:18" x14ac:dyDescent="0.25">
      <c r="A200" s="3">
        <f t="shared" si="14"/>
        <v>107</v>
      </c>
      <c r="B200" s="3"/>
      <c r="C200" s="9"/>
      <c r="D200" s="359"/>
      <c r="E200" s="478"/>
      <c r="F200" s="359"/>
      <c r="G200" s="478"/>
      <c r="H200" s="359"/>
      <c r="I200" s="478"/>
      <c r="J200" s="359"/>
      <c r="K200" s="478"/>
      <c r="L200" s="359"/>
      <c r="M200" s="478"/>
      <c r="N200" s="561"/>
      <c r="O200" s="9">
        <f t="shared" si="13"/>
        <v>0</v>
      </c>
      <c r="P200" s="338"/>
      <c r="Q200" s="10"/>
      <c r="R200" s="63"/>
    </row>
    <row r="201" spans="1:18" x14ac:dyDescent="0.25">
      <c r="A201" s="3">
        <f t="shared" si="14"/>
        <v>108</v>
      </c>
      <c r="B201" s="3"/>
      <c r="C201" s="8"/>
      <c r="D201" s="359"/>
      <c r="E201" s="478"/>
      <c r="F201" s="359"/>
      <c r="G201" s="478"/>
      <c r="H201" s="359"/>
      <c r="I201" s="478"/>
      <c r="J201" s="359"/>
      <c r="K201" s="478"/>
      <c r="L201" s="359"/>
      <c r="M201" s="478"/>
      <c r="N201" s="561"/>
      <c r="O201" s="9">
        <f t="shared" si="13"/>
        <v>0</v>
      </c>
      <c r="P201" s="338"/>
      <c r="Q201" s="10"/>
      <c r="R201" s="63"/>
    </row>
    <row r="202" spans="1:18" x14ac:dyDescent="0.25">
      <c r="A202" s="3">
        <f t="shared" si="14"/>
        <v>109</v>
      </c>
      <c r="B202" s="3"/>
      <c r="C202" s="9"/>
      <c r="D202" s="359"/>
      <c r="E202" s="478"/>
      <c r="F202" s="359"/>
      <c r="G202" s="478"/>
      <c r="H202" s="359"/>
      <c r="I202" s="478"/>
      <c r="J202" s="359"/>
      <c r="K202" s="478"/>
      <c r="L202" s="359"/>
      <c r="M202" s="478"/>
      <c r="N202" s="561"/>
      <c r="O202" s="9">
        <f t="shared" si="13"/>
        <v>0</v>
      </c>
      <c r="P202" s="338"/>
      <c r="Q202" s="10"/>
      <c r="R202" s="63"/>
    </row>
    <row r="203" spans="1:18" x14ac:dyDescent="0.25">
      <c r="A203" s="3">
        <f t="shared" si="14"/>
        <v>110</v>
      </c>
      <c r="B203" s="3"/>
      <c r="C203" s="9"/>
      <c r="D203" s="359"/>
      <c r="E203" s="478"/>
      <c r="F203" s="359"/>
      <c r="G203" s="478"/>
      <c r="H203" s="359"/>
      <c r="I203" s="478"/>
      <c r="J203" s="359"/>
      <c r="K203" s="478"/>
      <c r="L203" s="359"/>
      <c r="M203" s="478"/>
      <c r="N203" s="561"/>
      <c r="O203" s="9">
        <f t="shared" si="13"/>
        <v>0</v>
      </c>
      <c r="P203" s="338"/>
      <c r="Q203" s="10"/>
      <c r="R203" s="63"/>
    </row>
    <row r="204" spans="1:18" x14ac:dyDescent="0.25">
      <c r="A204" s="3">
        <f t="shared" si="14"/>
        <v>111</v>
      </c>
      <c r="B204" s="3"/>
      <c r="C204" s="8"/>
      <c r="D204" s="359"/>
      <c r="E204" s="478"/>
      <c r="F204" s="359"/>
      <c r="G204" s="478"/>
      <c r="H204" s="359"/>
      <c r="I204" s="478"/>
      <c r="J204" s="359"/>
      <c r="K204" s="478"/>
      <c r="L204" s="359"/>
      <c r="M204" s="478"/>
      <c r="N204" s="561"/>
      <c r="O204" s="9">
        <f t="shared" si="13"/>
        <v>0</v>
      </c>
      <c r="P204" s="338"/>
      <c r="Q204" s="10"/>
      <c r="R204" s="63"/>
    </row>
    <row r="205" spans="1:18" x14ac:dyDescent="0.25">
      <c r="A205" s="3">
        <f t="shared" si="14"/>
        <v>112</v>
      </c>
      <c r="B205" s="3"/>
      <c r="C205" s="8"/>
      <c r="D205" s="359"/>
      <c r="E205" s="478"/>
      <c r="F205" s="359"/>
      <c r="G205" s="478"/>
      <c r="H205" s="359"/>
      <c r="I205" s="478"/>
      <c r="J205" s="359"/>
      <c r="K205" s="478"/>
      <c r="L205" s="359"/>
      <c r="M205" s="478"/>
      <c r="N205" s="561"/>
      <c r="O205" s="9">
        <f t="shared" si="13"/>
        <v>0</v>
      </c>
      <c r="P205" s="338"/>
      <c r="Q205" s="10"/>
      <c r="R205" s="63"/>
    </row>
    <row r="206" spans="1:18" x14ac:dyDescent="0.25">
      <c r="A206" s="3">
        <f t="shared" si="14"/>
        <v>113</v>
      </c>
      <c r="B206" s="3"/>
      <c r="C206" s="9"/>
      <c r="D206" s="359"/>
      <c r="E206" s="478"/>
      <c r="F206" s="359"/>
      <c r="G206" s="478"/>
      <c r="H206" s="359"/>
      <c r="I206" s="478"/>
      <c r="J206" s="359"/>
      <c r="K206" s="478"/>
      <c r="L206" s="359"/>
      <c r="M206" s="478"/>
      <c r="N206" s="561"/>
      <c r="O206" s="9">
        <f t="shared" si="13"/>
        <v>0</v>
      </c>
      <c r="P206" s="338"/>
      <c r="Q206" s="10"/>
      <c r="R206" s="63"/>
    </row>
    <row r="207" spans="1:18" x14ac:dyDescent="0.25">
      <c r="A207" s="3">
        <f t="shared" si="14"/>
        <v>114</v>
      </c>
      <c r="B207" s="3"/>
      <c r="C207" s="8"/>
      <c r="D207" s="359"/>
      <c r="E207" s="478"/>
      <c r="F207" s="359"/>
      <c r="G207" s="478"/>
      <c r="H207" s="359"/>
      <c r="I207" s="478"/>
      <c r="J207" s="359"/>
      <c r="K207" s="478"/>
      <c r="L207" s="359"/>
      <c r="M207" s="478"/>
      <c r="N207" s="561"/>
      <c r="O207" s="9">
        <f t="shared" si="13"/>
        <v>0</v>
      </c>
      <c r="P207" s="338"/>
      <c r="Q207" s="10"/>
      <c r="R207" s="63"/>
    </row>
    <row r="208" spans="1:18" x14ac:dyDescent="0.25">
      <c r="A208" s="3">
        <f t="shared" si="14"/>
        <v>115</v>
      </c>
      <c r="B208" s="3"/>
      <c r="C208" s="9"/>
      <c r="D208" s="359"/>
      <c r="E208" s="478"/>
      <c r="F208" s="359"/>
      <c r="G208" s="478"/>
      <c r="H208" s="359"/>
      <c r="I208" s="478"/>
      <c r="J208" s="359"/>
      <c r="K208" s="478"/>
      <c r="L208" s="359"/>
      <c r="M208" s="478"/>
      <c r="N208" s="561"/>
      <c r="O208" s="9">
        <f t="shared" si="13"/>
        <v>0</v>
      </c>
      <c r="P208" s="338"/>
      <c r="Q208" s="10"/>
      <c r="R208" s="63"/>
    </row>
    <row r="209" spans="1:18" x14ac:dyDescent="0.25">
      <c r="A209" s="3">
        <f t="shared" si="14"/>
        <v>116</v>
      </c>
      <c r="B209" s="3"/>
      <c r="C209" s="9"/>
      <c r="D209" s="359"/>
      <c r="E209" s="478"/>
      <c r="F209" s="359"/>
      <c r="G209" s="478"/>
      <c r="H209" s="359"/>
      <c r="I209" s="478"/>
      <c r="J209" s="359"/>
      <c r="K209" s="478"/>
      <c r="L209" s="359"/>
      <c r="M209" s="478"/>
      <c r="N209" s="561"/>
      <c r="O209" s="9">
        <f t="shared" si="13"/>
        <v>0</v>
      </c>
      <c r="P209" s="338"/>
      <c r="Q209" s="10"/>
      <c r="R209" s="63"/>
    </row>
    <row r="210" spans="1:18" x14ac:dyDescent="0.25">
      <c r="A210" s="3">
        <f t="shared" si="14"/>
        <v>117</v>
      </c>
      <c r="B210" s="3"/>
      <c r="C210" s="9"/>
      <c r="D210" s="359"/>
      <c r="E210" s="478"/>
      <c r="F210" s="359"/>
      <c r="G210" s="478"/>
      <c r="H210" s="359"/>
      <c r="I210" s="478"/>
      <c r="J210" s="359"/>
      <c r="K210" s="478"/>
      <c r="L210" s="359"/>
      <c r="M210" s="478"/>
      <c r="N210" s="561"/>
      <c r="O210" s="9">
        <f t="shared" si="13"/>
        <v>0</v>
      </c>
      <c r="P210" s="338"/>
      <c r="Q210" s="10"/>
      <c r="R210" s="63"/>
    </row>
    <row r="211" spans="1:18" x14ac:dyDescent="0.25">
      <c r="A211" s="3">
        <f t="shared" si="14"/>
        <v>118</v>
      </c>
      <c r="B211" s="3"/>
      <c r="C211" s="9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9">
        <f t="shared" si="13"/>
        <v>0</v>
      </c>
      <c r="P211" s="338"/>
      <c r="Q211" s="10"/>
      <c r="R211" s="63"/>
    </row>
    <row r="212" spans="1:18" x14ac:dyDescent="0.25">
      <c r="A212" s="3">
        <f t="shared" si="14"/>
        <v>119</v>
      </c>
      <c r="B212" s="3"/>
      <c r="C212" s="9"/>
      <c r="D212" s="359"/>
      <c r="E212" s="478"/>
      <c r="F212" s="359"/>
      <c r="G212" s="478"/>
      <c r="H212" s="359"/>
      <c r="I212" s="478"/>
      <c r="J212" s="359"/>
      <c r="K212" s="478"/>
      <c r="L212" s="359"/>
      <c r="M212" s="478"/>
      <c r="N212" s="561"/>
      <c r="O212" s="9">
        <f t="shared" si="13"/>
        <v>0</v>
      </c>
      <c r="P212" s="338"/>
      <c r="Q212" s="10"/>
      <c r="R212" s="63"/>
    </row>
    <row r="213" spans="1:18" x14ac:dyDescent="0.25">
      <c r="A213" s="3">
        <f t="shared" si="14"/>
        <v>120</v>
      </c>
      <c r="B213" s="3"/>
      <c r="C213" s="8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9">
        <f t="shared" si="13"/>
        <v>0</v>
      </c>
      <c r="P213" s="338"/>
      <c r="Q213" s="10"/>
      <c r="R213" s="63"/>
    </row>
    <row r="214" spans="1:18" x14ac:dyDescent="0.25">
      <c r="A214" s="3">
        <f t="shared" si="14"/>
        <v>121</v>
      </c>
      <c r="B214" s="3"/>
      <c r="C214" s="9"/>
      <c r="D214" s="359"/>
      <c r="E214" s="478"/>
      <c r="F214" s="359"/>
      <c r="G214" s="478"/>
      <c r="H214" s="359"/>
      <c r="I214" s="478"/>
      <c r="J214" s="359"/>
      <c r="K214" s="478"/>
      <c r="L214" s="359"/>
      <c r="M214" s="478"/>
      <c r="N214" s="561"/>
      <c r="O214" s="9">
        <f t="shared" si="13"/>
        <v>0</v>
      </c>
      <c r="P214" s="338"/>
      <c r="Q214" s="10"/>
      <c r="R214" s="63"/>
    </row>
    <row r="215" spans="1:18" x14ac:dyDescent="0.25">
      <c r="A215" s="3">
        <f t="shared" si="14"/>
        <v>122</v>
      </c>
      <c r="B215" s="3"/>
      <c r="C215" s="9"/>
      <c r="D215" s="359"/>
      <c r="E215" s="478"/>
      <c r="F215" s="359"/>
      <c r="G215" s="478"/>
      <c r="H215" s="359"/>
      <c r="I215" s="478"/>
      <c r="J215" s="359"/>
      <c r="K215" s="478"/>
      <c r="L215" s="359"/>
      <c r="M215" s="478"/>
      <c r="N215" s="561"/>
      <c r="O215" s="9">
        <f t="shared" si="13"/>
        <v>0</v>
      </c>
      <c r="P215" s="338"/>
      <c r="Q215" s="10"/>
      <c r="R215" s="63"/>
    </row>
    <row r="216" spans="1:18" x14ac:dyDescent="0.25">
      <c r="A216" s="3">
        <f t="shared" si="14"/>
        <v>123</v>
      </c>
      <c r="B216" s="3"/>
      <c r="C216" s="9"/>
      <c r="D216" s="359"/>
      <c r="E216" s="478"/>
      <c r="F216" s="359"/>
      <c r="G216" s="478"/>
      <c r="H216" s="359"/>
      <c r="I216" s="478"/>
      <c r="J216" s="359"/>
      <c r="K216" s="478"/>
      <c r="L216" s="359"/>
      <c r="M216" s="478"/>
      <c r="N216" s="561"/>
      <c r="O216" s="9">
        <f t="shared" si="13"/>
        <v>0</v>
      </c>
      <c r="P216" s="338"/>
      <c r="Q216" s="10"/>
      <c r="R216" s="63"/>
    </row>
    <row r="217" spans="1:18" x14ac:dyDescent="0.25">
      <c r="A217" s="3">
        <f t="shared" si="14"/>
        <v>124</v>
      </c>
      <c r="B217" s="3"/>
      <c r="C217" s="8"/>
      <c r="D217" s="359"/>
      <c r="E217" s="478"/>
      <c r="F217" s="359"/>
      <c r="G217" s="478"/>
      <c r="H217" s="359"/>
      <c r="I217" s="478"/>
      <c r="J217" s="359"/>
      <c r="K217" s="478"/>
      <c r="L217" s="359"/>
      <c r="M217" s="478"/>
      <c r="N217" s="561"/>
      <c r="O217" s="9">
        <f t="shared" si="13"/>
        <v>0</v>
      </c>
      <c r="P217" s="338"/>
      <c r="Q217" s="10"/>
      <c r="R217" s="63"/>
    </row>
    <row r="218" spans="1:18" x14ac:dyDescent="0.25">
      <c r="A218" s="3">
        <f t="shared" si="14"/>
        <v>125</v>
      </c>
      <c r="B218" s="3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9">
        <f t="shared" ref="O218:O246" si="15">SUM(C218:N218)</f>
        <v>0</v>
      </c>
      <c r="P218" s="338"/>
      <c r="Q218" s="10"/>
      <c r="R218" s="63"/>
    </row>
    <row r="219" spans="1:18" x14ac:dyDescent="0.25">
      <c r="A219" s="3">
        <f t="shared" si="14"/>
        <v>126</v>
      </c>
      <c r="B219" s="3"/>
      <c r="C219" s="9"/>
      <c r="D219" s="359"/>
      <c r="E219" s="478"/>
      <c r="F219" s="359"/>
      <c r="G219" s="478"/>
      <c r="H219" s="359"/>
      <c r="I219" s="478"/>
      <c r="J219" s="359"/>
      <c r="K219" s="478"/>
      <c r="L219" s="359"/>
      <c r="M219" s="478"/>
      <c r="N219" s="561"/>
      <c r="O219" s="9">
        <f t="shared" si="15"/>
        <v>0</v>
      </c>
      <c r="P219" s="338"/>
      <c r="Q219" s="10"/>
      <c r="R219" s="63"/>
    </row>
    <row r="220" spans="1:18" x14ac:dyDescent="0.25">
      <c r="A220" s="3">
        <f t="shared" si="14"/>
        <v>127</v>
      </c>
      <c r="B220" s="3"/>
      <c r="C220" s="9"/>
      <c r="D220" s="359"/>
      <c r="E220" s="478"/>
      <c r="F220" s="359"/>
      <c r="G220" s="478"/>
      <c r="H220" s="359"/>
      <c r="I220" s="478"/>
      <c r="J220" s="359"/>
      <c r="K220" s="478"/>
      <c r="L220" s="359"/>
      <c r="M220" s="478"/>
      <c r="N220" s="561"/>
      <c r="O220" s="9">
        <f t="shared" si="15"/>
        <v>0</v>
      </c>
      <c r="P220" s="338"/>
      <c r="Q220" s="10"/>
      <c r="R220" s="63"/>
    </row>
    <row r="221" spans="1:18" x14ac:dyDescent="0.25">
      <c r="A221" s="3">
        <f t="shared" si="14"/>
        <v>128</v>
      </c>
      <c r="B221" s="3"/>
      <c r="C221" s="9"/>
      <c r="D221" s="359"/>
      <c r="E221" s="478"/>
      <c r="F221" s="359"/>
      <c r="G221" s="478"/>
      <c r="H221" s="359"/>
      <c r="I221" s="478"/>
      <c r="J221" s="359"/>
      <c r="K221" s="478"/>
      <c r="L221" s="359"/>
      <c r="M221" s="478"/>
      <c r="N221" s="561"/>
      <c r="O221" s="9">
        <f t="shared" si="15"/>
        <v>0</v>
      </c>
      <c r="P221" s="338"/>
      <c r="Q221" s="10"/>
      <c r="R221" s="63"/>
    </row>
    <row r="222" spans="1:18" x14ac:dyDescent="0.25">
      <c r="A222" s="3">
        <f t="shared" ref="A222:A250" si="16">A221+1</f>
        <v>129</v>
      </c>
      <c r="B222" s="3"/>
      <c r="C222" s="9"/>
      <c r="D222" s="359"/>
      <c r="E222" s="478"/>
      <c r="F222" s="359"/>
      <c r="G222" s="478"/>
      <c r="H222" s="359"/>
      <c r="I222" s="478"/>
      <c r="J222" s="359"/>
      <c r="K222" s="478"/>
      <c r="L222" s="359"/>
      <c r="M222" s="478"/>
      <c r="N222" s="561"/>
      <c r="O222" s="9">
        <f t="shared" si="15"/>
        <v>0</v>
      </c>
      <c r="P222" s="338"/>
      <c r="Q222" s="10"/>
      <c r="R222" s="63"/>
    </row>
    <row r="223" spans="1:18" x14ac:dyDescent="0.25">
      <c r="A223" s="3">
        <f t="shared" si="16"/>
        <v>130</v>
      </c>
      <c r="B223" s="3"/>
      <c r="C223" s="9"/>
      <c r="D223" s="359"/>
      <c r="E223" s="478"/>
      <c r="F223" s="359"/>
      <c r="G223" s="478"/>
      <c r="H223" s="359"/>
      <c r="I223" s="478"/>
      <c r="J223" s="359"/>
      <c r="K223" s="478"/>
      <c r="L223" s="359"/>
      <c r="M223" s="478"/>
      <c r="N223" s="561"/>
      <c r="O223" s="9">
        <f t="shared" si="15"/>
        <v>0</v>
      </c>
      <c r="P223" s="338"/>
      <c r="Q223" s="10"/>
      <c r="R223" s="63"/>
    </row>
    <row r="224" spans="1:18" x14ac:dyDescent="0.25">
      <c r="A224" s="3">
        <f t="shared" si="16"/>
        <v>131</v>
      </c>
      <c r="B224" s="3"/>
      <c r="C224" s="9"/>
      <c r="D224" s="359"/>
      <c r="E224" s="478"/>
      <c r="F224" s="359"/>
      <c r="G224" s="478"/>
      <c r="H224" s="359"/>
      <c r="I224" s="478"/>
      <c r="J224" s="359"/>
      <c r="K224" s="478"/>
      <c r="L224" s="359"/>
      <c r="M224" s="478"/>
      <c r="N224" s="561"/>
      <c r="O224" s="9">
        <f t="shared" si="15"/>
        <v>0</v>
      </c>
      <c r="P224" s="338"/>
      <c r="Q224" s="10"/>
      <c r="R224" s="63"/>
    </row>
    <row r="225" spans="1:18" x14ac:dyDescent="0.25">
      <c r="A225" s="3">
        <f t="shared" si="16"/>
        <v>132</v>
      </c>
      <c r="B225" s="3"/>
      <c r="C225" s="8"/>
      <c r="D225" s="359"/>
      <c r="E225" s="478"/>
      <c r="F225" s="359"/>
      <c r="G225" s="478"/>
      <c r="H225" s="359"/>
      <c r="I225" s="478"/>
      <c r="J225" s="359"/>
      <c r="K225" s="478"/>
      <c r="L225" s="359"/>
      <c r="M225" s="478"/>
      <c r="N225" s="561"/>
      <c r="O225" s="9">
        <f t="shared" si="15"/>
        <v>0</v>
      </c>
      <c r="P225" s="338"/>
      <c r="Q225" s="10"/>
      <c r="R225" s="63"/>
    </row>
    <row r="226" spans="1:18" x14ac:dyDescent="0.25">
      <c r="A226" s="3">
        <f t="shared" si="16"/>
        <v>133</v>
      </c>
      <c r="B226" s="3"/>
      <c r="C226" s="9"/>
      <c r="D226" s="359"/>
      <c r="E226" s="478"/>
      <c r="F226" s="359"/>
      <c r="G226" s="478"/>
      <c r="H226" s="359"/>
      <c r="I226" s="478"/>
      <c r="J226" s="359"/>
      <c r="K226" s="478"/>
      <c r="L226" s="359"/>
      <c r="M226" s="478"/>
      <c r="N226" s="561"/>
      <c r="O226" s="9">
        <f t="shared" si="15"/>
        <v>0</v>
      </c>
      <c r="P226" s="338"/>
      <c r="Q226" s="10"/>
      <c r="R226" s="63"/>
    </row>
    <row r="227" spans="1:18" x14ac:dyDescent="0.25">
      <c r="A227" s="3">
        <f t="shared" si="16"/>
        <v>134</v>
      </c>
      <c r="B227" s="3"/>
      <c r="C227" s="9"/>
      <c r="D227" s="359"/>
      <c r="E227" s="478"/>
      <c r="F227" s="359"/>
      <c r="G227" s="478"/>
      <c r="H227" s="359"/>
      <c r="I227" s="478"/>
      <c r="J227" s="359"/>
      <c r="K227" s="478"/>
      <c r="L227" s="359"/>
      <c r="M227" s="478"/>
      <c r="N227" s="561"/>
      <c r="O227" s="9">
        <f t="shared" si="15"/>
        <v>0</v>
      </c>
      <c r="P227" s="338"/>
      <c r="Q227" s="10"/>
      <c r="R227" s="64"/>
    </row>
    <row r="228" spans="1:18" x14ac:dyDescent="0.25">
      <c r="A228" s="3">
        <f t="shared" si="16"/>
        <v>135</v>
      </c>
      <c r="B228" s="3"/>
      <c r="C228" s="9"/>
      <c r="D228" s="359"/>
      <c r="E228" s="478"/>
      <c r="F228" s="359"/>
      <c r="G228" s="478"/>
      <c r="H228" s="359"/>
      <c r="I228" s="478"/>
      <c r="J228" s="359"/>
      <c r="K228" s="478"/>
      <c r="L228" s="359"/>
      <c r="M228" s="478"/>
      <c r="N228" s="561"/>
      <c r="O228" s="9">
        <f t="shared" si="15"/>
        <v>0</v>
      </c>
      <c r="P228" s="338"/>
      <c r="Q228" s="10"/>
      <c r="R228" s="63"/>
    </row>
    <row r="229" spans="1:18" x14ac:dyDescent="0.25">
      <c r="A229" s="3">
        <f t="shared" si="16"/>
        <v>136</v>
      </c>
      <c r="B229" s="3"/>
      <c r="C229" s="9"/>
      <c r="D229" s="359"/>
      <c r="E229" s="478"/>
      <c r="F229" s="359"/>
      <c r="G229" s="478"/>
      <c r="H229" s="359"/>
      <c r="I229" s="478"/>
      <c r="J229" s="359"/>
      <c r="K229" s="478"/>
      <c r="L229" s="359"/>
      <c r="M229" s="478"/>
      <c r="N229" s="561"/>
      <c r="O229" s="9">
        <f t="shared" si="15"/>
        <v>0</v>
      </c>
      <c r="P229" s="338"/>
      <c r="Q229" s="10"/>
      <c r="R229" s="63"/>
    </row>
    <row r="230" spans="1:18" x14ac:dyDescent="0.25">
      <c r="A230" s="3">
        <f t="shared" si="16"/>
        <v>137</v>
      </c>
      <c r="B230" s="3"/>
      <c r="C230" s="8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9">
        <f t="shared" si="15"/>
        <v>0</v>
      </c>
      <c r="P230" s="338"/>
      <c r="Q230" s="10"/>
      <c r="R230" s="63"/>
    </row>
    <row r="231" spans="1:18" x14ac:dyDescent="0.25">
      <c r="A231" s="3">
        <f t="shared" si="16"/>
        <v>138</v>
      </c>
      <c r="B231" s="3"/>
      <c r="C231" s="9"/>
      <c r="D231" s="359"/>
      <c r="E231" s="478"/>
      <c r="F231" s="359"/>
      <c r="G231" s="478"/>
      <c r="H231" s="359"/>
      <c r="I231" s="478"/>
      <c r="J231" s="359"/>
      <c r="K231" s="478"/>
      <c r="L231" s="359"/>
      <c r="M231" s="478"/>
      <c r="N231" s="561"/>
      <c r="O231" s="9">
        <f t="shared" si="15"/>
        <v>0</v>
      </c>
      <c r="P231" s="338"/>
      <c r="Q231" s="10"/>
      <c r="R231" s="63"/>
    </row>
    <row r="232" spans="1:18" x14ac:dyDescent="0.25">
      <c r="A232" s="3">
        <f t="shared" si="16"/>
        <v>139</v>
      </c>
      <c r="B232" s="3"/>
      <c r="C232" s="9"/>
      <c r="D232" s="359"/>
      <c r="E232" s="478"/>
      <c r="F232" s="359"/>
      <c r="G232" s="478"/>
      <c r="H232" s="359"/>
      <c r="I232" s="478"/>
      <c r="J232" s="359"/>
      <c r="K232" s="478"/>
      <c r="L232" s="359"/>
      <c r="M232" s="478"/>
      <c r="N232" s="561"/>
      <c r="O232" s="9">
        <f t="shared" si="15"/>
        <v>0</v>
      </c>
      <c r="P232" s="338"/>
      <c r="Q232" s="10"/>
      <c r="R232" s="63"/>
    </row>
    <row r="233" spans="1:18" x14ac:dyDescent="0.25">
      <c r="A233" s="3">
        <f t="shared" si="16"/>
        <v>140</v>
      </c>
      <c r="B233" s="3"/>
      <c r="C233" s="9"/>
      <c r="D233" s="359"/>
      <c r="E233" s="478"/>
      <c r="F233" s="359"/>
      <c r="G233" s="478"/>
      <c r="H233" s="359"/>
      <c r="I233" s="478"/>
      <c r="J233" s="359"/>
      <c r="K233" s="478"/>
      <c r="L233" s="359"/>
      <c r="M233" s="478"/>
      <c r="N233" s="561"/>
      <c r="O233" s="9">
        <f t="shared" si="15"/>
        <v>0</v>
      </c>
      <c r="P233" s="338"/>
      <c r="Q233" s="10"/>
      <c r="R233" s="63"/>
    </row>
    <row r="234" spans="1:18" x14ac:dyDescent="0.25">
      <c r="A234" s="3">
        <f t="shared" si="16"/>
        <v>141</v>
      </c>
      <c r="B234" s="3"/>
      <c r="C234" s="9"/>
      <c r="D234" s="359"/>
      <c r="E234" s="478"/>
      <c r="F234" s="359"/>
      <c r="G234" s="478"/>
      <c r="H234" s="359"/>
      <c r="I234" s="478"/>
      <c r="J234" s="359"/>
      <c r="K234" s="478"/>
      <c r="L234" s="359"/>
      <c r="M234" s="478"/>
      <c r="N234" s="561"/>
      <c r="O234" s="9">
        <f t="shared" si="15"/>
        <v>0</v>
      </c>
      <c r="P234" s="338"/>
      <c r="Q234" s="10"/>
      <c r="R234" s="63"/>
    </row>
    <row r="235" spans="1:18" x14ac:dyDescent="0.25">
      <c r="A235" s="3">
        <f t="shared" si="16"/>
        <v>142</v>
      </c>
      <c r="B235" s="3"/>
      <c r="C235" s="9"/>
      <c r="D235" s="359"/>
      <c r="E235" s="478"/>
      <c r="F235" s="359"/>
      <c r="G235" s="478"/>
      <c r="H235" s="359"/>
      <c r="I235" s="478"/>
      <c r="J235" s="359"/>
      <c r="K235" s="478"/>
      <c r="L235" s="359"/>
      <c r="M235" s="478"/>
      <c r="N235" s="561"/>
      <c r="O235" s="9">
        <f t="shared" si="15"/>
        <v>0</v>
      </c>
      <c r="P235" s="338"/>
      <c r="Q235" s="10"/>
      <c r="R235" s="63"/>
    </row>
    <row r="236" spans="1:18" x14ac:dyDescent="0.25">
      <c r="A236" s="3">
        <f t="shared" si="16"/>
        <v>143</v>
      </c>
      <c r="B236" s="3"/>
      <c r="C236" s="9"/>
      <c r="D236" s="359"/>
      <c r="E236" s="478"/>
      <c r="F236" s="359"/>
      <c r="G236" s="478"/>
      <c r="H236" s="359"/>
      <c r="I236" s="478"/>
      <c r="J236" s="359"/>
      <c r="K236" s="478"/>
      <c r="L236" s="359"/>
      <c r="M236" s="478"/>
      <c r="N236" s="561"/>
      <c r="O236" s="9">
        <f t="shared" si="15"/>
        <v>0</v>
      </c>
      <c r="P236" s="338"/>
      <c r="Q236" s="10"/>
      <c r="R236" s="63"/>
    </row>
    <row r="237" spans="1:18" x14ac:dyDescent="0.25">
      <c r="A237" s="3">
        <f t="shared" si="16"/>
        <v>144</v>
      </c>
      <c r="B237" s="3"/>
      <c r="C237" s="8"/>
      <c r="D237" s="359"/>
      <c r="E237" s="478"/>
      <c r="F237" s="359"/>
      <c r="G237" s="478"/>
      <c r="H237" s="359"/>
      <c r="I237" s="478"/>
      <c r="J237" s="359"/>
      <c r="K237" s="478"/>
      <c r="L237" s="359"/>
      <c r="M237" s="478"/>
      <c r="N237" s="561"/>
      <c r="O237" s="9">
        <f t="shared" si="15"/>
        <v>0</v>
      </c>
      <c r="P237" s="338"/>
      <c r="Q237" s="10"/>
      <c r="R237" s="63"/>
    </row>
    <row r="238" spans="1:18" x14ac:dyDescent="0.25">
      <c r="A238" s="3">
        <f t="shared" si="16"/>
        <v>145</v>
      </c>
      <c r="B238" s="3"/>
      <c r="C238" s="9"/>
      <c r="D238" s="359"/>
      <c r="E238" s="478"/>
      <c r="F238" s="359"/>
      <c r="G238" s="478"/>
      <c r="H238" s="359"/>
      <c r="I238" s="478"/>
      <c r="J238" s="359"/>
      <c r="K238" s="478"/>
      <c r="L238" s="359"/>
      <c r="M238" s="478"/>
      <c r="N238" s="561"/>
      <c r="O238" s="9">
        <f t="shared" si="15"/>
        <v>0</v>
      </c>
      <c r="P238" s="338"/>
      <c r="Q238" s="10"/>
      <c r="R238" s="63"/>
    </row>
    <row r="239" spans="1:18" x14ac:dyDescent="0.25">
      <c r="A239" s="3">
        <f t="shared" si="16"/>
        <v>146</v>
      </c>
      <c r="B239" s="3"/>
      <c r="C239" s="9"/>
      <c r="D239" s="359"/>
      <c r="E239" s="478"/>
      <c r="F239" s="359"/>
      <c r="G239" s="478"/>
      <c r="H239" s="359"/>
      <c r="I239" s="478"/>
      <c r="J239" s="359"/>
      <c r="K239" s="478"/>
      <c r="L239" s="359"/>
      <c r="M239" s="478"/>
      <c r="N239" s="561"/>
      <c r="O239" s="9">
        <f t="shared" si="15"/>
        <v>0</v>
      </c>
      <c r="P239" s="338"/>
      <c r="Q239" s="10"/>
      <c r="R239" s="63"/>
    </row>
    <row r="240" spans="1:18" x14ac:dyDescent="0.25">
      <c r="A240" s="3">
        <f t="shared" si="16"/>
        <v>147</v>
      </c>
      <c r="B240" s="3"/>
      <c r="C240" s="9"/>
      <c r="D240" s="359"/>
      <c r="E240" s="478"/>
      <c r="F240" s="359"/>
      <c r="G240" s="478"/>
      <c r="H240" s="359"/>
      <c r="I240" s="478"/>
      <c r="J240" s="359"/>
      <c r="K240" s="478"/>
      <c r="L240" s="359"/>
      <c r="M240" s="478"/>
      <c r="N240" s="561"/>
      <c r="O240" s="9">
        <f t="shared" si="15"/>
        <v>0</v>
      </c>
      <c r="P240" s="338"/>
      <c r="Q240" s="10"/>
      <c r="R240" s="63"/>
    </row>
    <row r="241" spans="1:18" x14ac:dyDescent="0.25">
      <c r="A241" s="3">
        <f t="shared" si="16"/>
        <v>148</v>
      </c>
      <c r="B241" s="3"/>
      <c r="C241" s="9"/>
      <c r="D241" s="359"/>
      <c r="E241" s="478"/>
      <c r="F241" s="359"/>
      <c r="G241" s="478"/>
      <c r="H241" s="359"/>
      <c r="I241" s="478"/>
      <c r="J241" s="359"/>
      <c r="K241" s="478"/>
      <c r="L241" s="359"/>
      <c r="M241" s="478"/>
      <c r="N241" s="561"/>
      <c r="O241" s="9">
        <f t="shared" si="15"/>
        <v>0</v>
      </c>
      <c r="P241" s="338"/>
      <c r="Q241" s="10"/>
      <c r="R241" s="63"/>
    </row>
    <row r="242" spans="1:18" x14ac:dyDescent="0.25">
      <c r="A242" s="3">
        <f t="shared" si="16"/>
        <v>149</v>
      </c>
      <c r="B242" s="3"/>
      <c r="C242" s="9"/>
      <c r="D242" s="359"/>
      <c r="E242" s="478"/>
      <c r="F242" s="359"/>
      <c r="G242" s="478"/>
      <c r="H242" s="359"/>
      <c r="I242" s="478"/>
      <c r="J242" s="359"/>
      <c r="K242" s="478"/>
      <c r="L242" s="359"/>
      <c r="M242" s="478"/>
      <c r="N242" s="561"/>
      <c r="O242" s="9">
        <f t="shared" si="15"/>
        <v>0</v>
      </c>
      <c r="P242" s="338"/>
      <c r="Q242" s="10"/>
      <c r="R242" s="63"/>
    </row>
    <row r="243" spans="1:18" x14ac:dyDescent="0.25">
      <c r="A243" s="3">
        <f t="shared" si="16"/>
        <v>150</v>
      </c>
      <c r="B243" s="3"/>
      <c r="C243" s="9"/>
      <c r="D243" s="359"/>
      <c r="E243" s="478"/>
      <c r="F243" s="359"/>
      <c r="G243" s="478"/>
      <c r="H243" s="359"/>
      <c r="I243" s="478"/>
      <c r="J243" s="359"/>
      <c r="K243" s="478"/>
      <c r="L243" s="359"/>
      <c r="M243" s="478"/>
      <c r="N243" s="561"/>
      <c r="O243" s="9">
        <f t="shared" si="15"/>
        <v>0</v>
      </c>
      <c r="P243" s="338"/>
      <c r="Q243" s="10"/>
      <c r="R243" s="63"/>
    </row>
    <row r="244" spans="1:18" x14ac:dyDescent="0.25">
      <c r="A244" s="3">
        <f t="shared" si="16"/>
        <v>151</v>
      </c>
      <c r="B244" s="3"/>
      <c r="C244" s="9"/>
      <c r="D244" s="359"/>
      <c r="E244" s="478"/>
      <c r="F244" s="359"/>
      <c r="G244" s="478"/>
      <c r="H244" s="359"/>
      <c r="I244" s="478"/>
      <c r="J244" s="359"/>
      <c r="K244" s="478"/>
      <c r="L244" s="359"/>
      <c r="M244" s="478"/>
      <c r="N244" s="561"/>
      <c r="O244" s="9">
        <f t="shared" si="15"/>
        <v>0</v>
      </c>
      <c r="P244" s="338"/>
      <c r="Q244" s="10"/>
      <c r="R244" s="63"/>
    </row>
    <row r="245" spans="1:18" x14ac:dyDescent="0.25">
      <c r="A245" s="3">
        <f t="shared" si="16"/>
        <v>152</v>
      </c>
      <c r="B245" s="3"/>
      <c r="C245" s="9"/>
      <c r="D245" s="359"/>
      <c r="E245" s="478"/>
      <c r="F245" s="359"/>
      <c r="G245" s="478"/>
      <c r="H245" s="359"/>
      <c r="I245" s="478"/>
      <c r="J245" s="359"/>
      <c r="K245" s="478"/>
      <c r="L245" s="359"/>
      <c r="M245" s="478"/>
      <c r="N245" s="561"/>
      <c r="O245" s="9">
        <f t="shared" si="15"/>
        <v>0</v>
      </c>
      <c r="P245" s="338"/>
      <c r="Q245" s="10"/>
      <c r="R245" s="63"/>
    </row>
    <row r="246" spans="1:18" x14ac:dyDescent="0.25">
      <c r="A246" s="3">
        <f t="shared" si="16"/>
        <v>153</v>
      </c>
      <c r="B246" s="3"/>
      <c r="C246" s="8"/>
      <c r="D246" s="359"/>
      <c r="E246" s="478"/>
      <c r="F246" s="359"/>
      <c r="G246" s="478"/>
      <c r="H246" s="359"/>
      <c r="I246" s="478"/>
      <c r="J246" s="359"/>
      <c r="K246" s="478"/>
      <c r="L246" s="359"/>
      <c r="M246" s="478"/>
      <c r="N246" s="561"/>
      <c r="O246" s="9">
        <f t="shared" si="15"/>
        <v>0</v>
      </c>
      <c r="P246" s="338"/>
      <c r="Q246" s="10"/>
      <c r="R246" s="63"/>
    </row>
    <row r="247" spans="1:18" x14ac:dyDescent="0.25">
      <c r="A247" s="3">
        <f t="shared" si="16"/>
        <v>154</v>
      </c>
      <c r="B247" s="3"/>
      <c r="C247" s="9"/>
      <c r="D247" s="359"/>
      <c r="E247" s="478"/>
      <c r="F247" s="359"/>
      <c r="G247" s="478"/>
      <c r="H247" s="359"/>
      <c r="I247" s="478"/>
      <c r="J247" s="359"/>
      <c r="K247" s="478"/>
      <c r="L247" s="359"/>
      <c r="M247" s="478"/>
      <c r="N247" s="561"/>
      <c r="O247" s="9"/>
      <c r="P247" s="338"/>
      <c r="R247" s="63"/>
    </row>
    <row r="248" spans="1:18" x14ac:dyDescent="0.25">
      <c r="A248" s="3">
        <f t="shared" si="16"/>
        <v>155</v>
      </c>
      <c r="B248" s="3"/>
      <c r="C248" s="9"/>
      <c r="D248" s="359"/>
      <c r="E248" s="478"/>
      <c r="F248" s="359"/>
      <c r="G248" s="478"/>
      <c r="H248" s="359"/>
      <c r="I248" s="478"/>
      <c r="J248" s="359"/>
      <c r="K248" s="478"/>
      <c r="L248" s="359"/>
      <c r="M248" s="478"/>
      <c r="N248" s="561"/>
      <c r="O248" s="9"/>
      <c r="P248" s="338"/>
      <c r="R248" s="65"/>
    </row>
    <row r="249" spans="1:18" x14ac:dyDescent="0.25">
      <c r="A249" s="3">
        <f t="shared" si="16"/>
        <v>156</v>
      </c>
      <c r="B249" s="3"/>
      <c r="C249" s="9"/>
      <c r="D249" s="369"/>
      <c r="E249" s="481"/>
      <c r="F249" s="369"/>
      <c r="G249" s="481"/>
      <c r="H249" s="369"/>
      <c r="I249" s="481"/>
      <c r="J249" s="369"/>
      <c r="K249" s="481"/>
      <c r="L249" s="369"/>
      <c r="M249" s="481"/>
      <c r="N249" s="565"/>
      <c r="O249" s="9">
        <f t="shared" ref="O249:O280" si="17">SUM(C249:N249)</f>
        <v>0</v>
      </c>
      <c r="P249" s="338"/>
      <c r="R249" s="63"/>
    </row>
    <row r="250" spans="1:18" x14ac:dyDescent="0.25">
      <c r="A250" s="3">
        <f t="shared" si="16"/>
        <v>157</v>
      </c>
      <c r="B250" s="3"/>
      <c r="C250" s="9"/>
      <c r="D250" s="359"/>
      <c r="E250" s="478"/>
      <c r="F250" s="359"/>
      <c r="G250" s="478"/>
      <c r="H250" s="359"/>
      <c r="I250" s="478"/>
      <c r="J250" s="359"/>
      <c r="K250" s="478"/>
      <c r="L250" s="359"/>
      <c r="M250" s="478"/>
      <c r="N250" s="561"/>
      <c r="O250" s="9">
        <f t="shared" si="17"/>
        <v>0</v>
      </c>
      <c r="P250" s="338"/>
      <c r="R250" s="63"/>
    </row>
    <row r="251" spans="1:18" x14ac:dyDescent="0.25">
      <c r="A251" s="3"/>
      <c r="B251" s="3"/>
      <c r="C251" s="8"/>
      <c r="D251" s="369"/>
      <c r="E251" s="481"/>
      <c r="F251" s="369"/>
      <c r="G251" s="481"/>
      <c r="H251" s="369"/>
      <c r="I251" s="481"/>
      <c r="J251" s="369"/>
      <c r="K251" s="481"/>
      <c r="L251" s="369"/>
      <c r="M251" s="481"/>
      <c r="N251" s="565"/>
      <c r="O251" s="9">
        <f t="shared" si="17"/>
        <v>0</v>
      </c>
      <c r="P251" s="338"/>
      <c r="Q251" s="10"/>
      <c r="R251" s="63"/>
    </row>
    <row r="252" spans="1:18" x14ac:dyDescent="0.25">
      <c r="A252" s="3"/>
      <c r="B252" s="3"/>
      <c r="C252" s="8"/>
      <c r="D252" s="359"/>
      <c r="E252" s="478"/>
      <c r="F252" s="359"/>
      <c r="G252" s="478"/>
      <c r="H252" s="359"/>
      <c r="I252" s="478"/>
      <c r="J252" s="359"/>
      <c r="K252" s="478"/>
      <c r="L252" s="359"/>
      <c r="M252" s="478"/>
      <c r="N252" s="561"/>
      <c r="O252" s="9">
        <f t="shared" si="17"/>
        <v>0</v>
      </c>
      <c r="P252" s="338"/>
      <c r="Q252" s="10"/>
      <c r="R252" s="63"/>
    </row>
    <row r="253" spans="1:18" x14ac:dyDescent="0.25">
      <c r="A253" s="13">
        <v>1</v>
      </c>
      <c r="B253" s="3"/>
      <c r="C253" s="8"/>
      <c r="D253" s="359"/>
      <c r="E253" s="478"/>
      <c r="F253" s="359"/>
      <c r="G253" s="478"/>
      <c r="H253" s="359"/>
      <c r="I253" s="478"/>
      <c r="J253" s="359"/>
      <c r="K253" s="478"/>
      <c r="L253" s="359"/>
      <c r="M253" s="478"/>
      <c r="N253" s="561"/>
      <c r="O253" s="9">
        <f t="shared" si="17"/>
        <v>0</v>
      </c>
      <c r="P253" s="338"/>
      <c r="Q253" s="10"/>
      <c r="R253" s="63"/>
    </row>
    <row r="254" spans="1:18" x14ac:dyDescent="0.25">
      <c r="A254" s="13">
        <f t="shared" ref="A254:A285" si="18">A253+1</f>
        <v>2</v>
      </c>
      <c r="B254" s="3"/>
      <c r="C254" s="8"/>
      <c r="D254" s="359"/>
      <c r="E254" s="478"/>
      <c r="F254" s="359"/>
      <c r="G254" s="478"/>
      <c r="H254" s="359"/>
      <c r="I254" s="478"/>
      <c r="J254" s="359"/>
      <c r="K254" s="478"/>
      <c r="L254" s="359"/>
      <c r="M254" s="478"/>
      <c r="N254" s="561"/>
      <c r="O254" s="9">
        <f t="shared" si="17"/>
        <v>0</v>
      </c>
      <c r="P254" s="338"/>
      <c r="Q254" s="10"/>
      <c r="R254" s="63"/>
    </row>
    <row r="255" spans="1:18" x14ac:dyDescent="0.25">
      <c r="A255" s="13">
        <f t="shared" si="18"/>
        <v>3</v>
      </c>
      <c r="B255" s="3"/>
      <c r="C255" s="9"/>
      <c r="D255" s="369"/>
      <c r="E255" s="481"/>
      <c r="F255" s="369"/>
      <c r="G255" s="481"/>
      <c r="H255" s="369"/>
      <c r="I255" s="481"/>
      <c r="J255" s="369"/>
      <c r="K255" s="481"/>
      <c r="L255" s="369"/>
      <c r="M255" s="481"/>
      <c r="N255" s="565"/>
      <c r="O255" s="9">
        <f t="shared" si="17"/>
        <v>0</v>
      </c>
      <c r="P255" s="338"/>
      <c r="Q255" s="10"/>
      <c r="R255" s="63"/>
    </row>
    <row r="256" spans="1:18" x14ac:dyDescent="0.25">
      <c r="A256" s="13">
        <f t="shared" si="18"/>
        <v>4</v>
      </c>
      <c r="B256" s="3"/>
      <c r="C256" s="9"/>
      <c r="D256" s="369"/>
      <c r="E256" s="481"/>
      <c r="F256" s="369"/>
      <c r="G256" s="481"/>
      <c r="H256" s="369"/>
      <c r="I256" s="481"/>
      <c r="J256" s="369"/>
      <c r="K256" s="481"/>
      <c r="L256" s="369"/>
      <c r="M256" s="481"/>
      <c r="N256" s="565"/>
      <c r="O256" s="9">
        <f t="shared" si="17"/>
        <v>0</v>
      </c>
      <c r="P256" s="338"/>
      <c r="Q256" s="10"/>
      <c r="R256" s="63"/>
    </row>
    <row r="257" spans="1:18" x14ac:dyDescent="0.25">
      <c r="A257" s="13">
        <f t="shared" si="18"/>
        <v>5</v>
      </c>
      <c r="B257" s="3"/>
      <c r="C257" s="8"/>
      <c r="D257" s="369"/>
      <c r="E257" s="481"/>
      <c r="F257" s="369"/>
      <c r="G257" s="481"/>
      <c r="H257" s="369"/>
      <c r="I257" s="481"/>
      <c r="J257" s="369"/>
      <c r="K257" s="481"/>
      <c r="L257" s="369"/>
      <c r="M257" s="481"/>
      <c r="N257" s="565"/>
      <c r="O257" s="9">
        <f t="shared" si="17"/>
        <v>0</v>
      </c>
      <c r="P257" s="338"/>
      <c r="Q257" s="10"/>
      <c r="R257" s="63"/>
    </row>
    <row r="258" spans="1:18" x14ac:dyDescent="0.25">
      <c r="A258" s="13">
        <f t="shared" si="18"/>
        <v>6</v>
      </c>
      <c r="B258" s="3"/>
      <c r="C258" s="8"/>
      <c r="D258" s="359"/>
      <c r="E258" s="478"/>
      <c r="F258" s="359"/>
      <c r="G258" s="478"/>
      <c r="H258" s="359"/>
      <c r="I258" s="478"/>
      <c r="J258" s="359"/>
      <c r="K258" s="478"/>
      <c r="L258" s="359"/>
      <c r="M258" s="478"/>
      <c r="N258" s="561"/>
      <c r="O258" s="9">
        <f t="shared" si="17"/>
        <v>0</v>
      </c>
      <c r="P258" s="338"/>
      <c r="Q258" s="10"/>
      <c r="R258" s="63"/>
    </row>
    <row r="259" spans="1:18" x14ac:dyDescent="0.25">
      <c r="A259" s="13">
        <f t="shared" si="18"/>
        <v>7</v>
      </c>
      <c r="B259" s="3"/>
      <c r="C259" s="9"/>
      <c r="D259" s="369"/>
      <c r="E259" s="481"/>
      <c r="F259" s="369"/>
      <c r="G259" s="481"/>
      <c r="H259" s="369"/>
      <c r="I259" s="481"/>
      <c r="J259" s="369"/>
      <c r="K259" s="481"/>
      <c r="L259" s="369"/>
      <c r="M259" s="481"/>
      <c r="N259" s="565"/>
      <c r="O259" s="9">
        <f t="shared" si="17"/>
        <v>0</v>
      </c>
      <c r="P259" s="338"/>
      <c r="Q259" s="10"/>
      <c r="R259" s="63"/>
    </row>
    <row r="260" spans="1:18" x14ac:dyDescent="0.25">
      <c r="A260" s="13">
        <f t="shared" si="18"/>
        <v>8</v>
      </c>
      <c r="B260" s="3"/>
      <c r="C260" s="9"/>
      <c r="D260" s="369"/>
      <c r="E260" s="481"/>
      <c r="F260" s="369"/>
      <c r="G260" s="481"/>
      <c r="H260" s="369"/>
      <c r="I260" s="481"/>
      <c r="J260" s="369"/>
      <c r="K260" s="481"/>
      <c r="L260" s="369"/>
      <c r="M260" s="481"/>
      <c r="N260" s="565"/>
      <c r="O260" s="9">
        <f t="shared" si="17"/>
        <v>0</v>
      </c>
      <c r="P260" s="338"/>
      <c r="Q260" s="10"/>
      <c r="R260" s="64"/>
    </row>
    <row r="261" spans="1:18" x14ac:dyDescent="0.25">
      <c r="A261" s="13">
        <f t="shared" si="18"/>
        <v>9</v>
      </c>
      <c r="B261" s="3"/>
      <c r="C261" s="9"/>
      <c r="D261" s="369"/>
      <c r="E261" s="481"/>
      <c r="F261" s="369"/>
      <c r="G261" s="481"/>
      <c r="H261" s="369"/>
      <c r="I261" s="481"/>
      <c r="J261" s="369"/>
      <c r="K261" s="481"/>
      <c r="L261" s="369"/>
      <c r="M261" s="481"/>
      <c r="N261" s="565"/>
      <c r="O261" s="9">
        <f t="shared" si="17"/>
        <v>0</v>
      </c>
      <c r="P261" s="338"/>
      <c r="Q261" s="10"/>
      <c r="R261" s="63"/>
    </row>
    <row r="262" spans="1:18" x14ac:dyDescent="0.25">
      <c r="A262" s="13">
        <f t="shared" si="18"/>
        <v>10</v>
      </c>
      <c r="B262" s="3"/>
      <c r="C262" s="9"/>
      <c r="D262" s="369"/>
      <c r="E262" s="481"/>
      <c r="F262" s="369"/>
      <c r="G262" s="481"/>
      <c r="H262" s="369"/>
      <c r="I262" s="481"/>
      <c r="J262" s="369"/>
      <c r="K262" s="481"/>
      <c r="L262" s="369"/>
      <c r="M262" s="481"/>
      <c r="N262" s="565"/>
      <c r="O262" s="9">
        <f t="shared" si="17"/>
        <v>0</v>
      </c>
      <c r="P262" s="338"/>
      <c r="Q262" s="10"/>
      <c r="R262" s="63"/>
    </row>
    <row r="263" spans="1:18" x14ac:dyDescent="0.25">
      <c r="A263" s="13">
        <f t="shared" si="18"/>
        <v>11</v>
      </c>
      <c r="B263" s="3"/>
      <c r="C263" s="9"/>
      <c r="D263" s="359"/>
      <c r="E263" s="478"/>
      <c r="F263" s="359"/>
      <c r="G263" s="478"/>
      <c r="H263" s="359"/>
      <c r="I263" s="478"/>
      <c r="J263" s="359"/>
      <c r="K263" s="478"/>
      <c r="L263" s="359"/>
      <c r="M263" s="478"/>
      <c r="N263" s="561"/>
      <c r="O263" s="9">
        <f t="shared" si="17"/>
        <v>0</v>
      </c>
      <c r="P263" s="338"/>
      <c r="Q263" s="10"/>
      <c r="R263" s="63"/>
    </row>
    <row r="264" spans="1:18" x14ac:dyDescent="0.25">
      <c r="A264" s="13">
        <f t="shared" si="18"/>
        <v>12</v>
      </c>
      <c r="B264" s="3"/>
      <c r="C264" s="8"/>
      <c r="D264" s="369"/>
      <c r="E264" s="481"/>
      <c r="F264" s="369"/>
      <c r="G264" s="481"/>
      <c r="H264" s="369"/>
      <c r="I264" s="481"/>
      <c r="J264" s="369"/>
      <c r="K264" s="481"/>
      <c r="L264" s="369"/>
      <c r="M264" s="481"/>
      <c r="N264" s="565"/>
      <c r="O264" s="9">
        <f t="shared" si="17"/>
        <v>0</v>
      </c>
      <c r="P264" s="338"/>
      <c r="Q264" s="10"/>
      <c r="R264" s="63"/>
    </row>
    <row r="265" spans="1:18" x14ac:dyDescent="0.25">
      <c r="A265" s="13">
        <f t="shared" si="18"/>
        <v>13</v>
      </c>
      <c r="B265" s="3"/>
      <c r="C265" s="9"/>
      <c r="D265" s="359"/>
      <c r="E265" s="478"/>
      <c r="F265" s="359"/>
      <c r="G265" s="478"/>
      <c r="H265" s="359"/>
      <c r="I265" s="478"/>
      <c r="J265" s="359"/>
      <c r="K265" s="478"/>
      <c r="L265" s="359"/>
      <c r="M265" s="478"/>
      <c r="N265" s="561"/>
      <c r="O265" s="9">
        <f t="shared" si="17"/>
        <v>0</v>
      </c>
      <c r="P265" s="338"/>
      <c r="Q265" s="10"/>
      <c r="R265" s="63"/>
    </row>
    <row r="266" spans="1:18" x14ac:dyDescent="0.25">
      <c r="A266" s="13">
        <f t="shared" si="18"/>
        <v>14</v>
      </c>
      <c r="B266" s="3"/>
      <c r="C266" s="9"/>
      <c r="D266" s="369"/>
      <c r="E266" s="481"/>
      <c r="F266" s="369"/>
      <c r="G266" s="481"/>
      <c r="H266" s="369"/>
      <c r="I266" s="481"/>
      <c r="J266" s="369"/>
      <c r="K266" s="481"/>
      <c r="L266" s="369"/>
      <c r="M266" s="481"/>
      <c r="N266" s="565"/>
      <c r="O266" s="9">
        <f t="shared" si="17"/>
        <v>0</v>
      </c>
      <c r="P266" s="338"/>
      <c r="Q266" s="10"/>
      <c r="R266" s="63"/>
    </row>
    <row r="267" spans="1:18" x14ac:dyDescent="0.25">
      <c r="A267" s="13">
        <f t="shared" si="18"/>
        <v>15</v>
      </c>
      <c r="B267" s="3"/>
      <c r="C267" s="9"/>
      <c r="D267" s="369"/>
      <c r="E267" s="481"/>
      <c r="F267" s="369"/>
      <c r="G267" s="481"/>
      <c r="H267" s="369"/>
      <c r="I267" s="481"/>
      <c r="J267" s="369"/>
      <c r="K267" s="481"/>
      <c r="L267" s="369"/>
      <c r="M267" s="481"/>
      <c r="N267" s="565"/>
      <c r="O267" s="9">
        <f t="shared" si="17"/>
        <v>0</v>
      </c>
      <c r="P267" s="338"/>
      <c r="Q267" s="10"/>
      <c r="R267" s="63"/>
    </row>
    <row r="268" spans="1:18" x14ac:dyDescent="0.25">
      <c r="A268" s="13">
        <f t="shared" si="18"/>
        <v>16</v>
      </c>
      <c r="B268" s="3"/>
      <c r="C268" s="9"/>
      <c r="D268" s="369"/>
      <c r="E268" s="481"/>
      <c r="F268" s="369"/>
      <c r="G268" s="481"/>
      <c r="H268" s="369"/>
      <c r="I268" s="481"/>
      <c r="J268" s="369"/>
      <c r="K268" s="481"/>
      <c r="L268" s="369"/>
      <c r="M268" s="481"/>
      <c r="N268" s="565"/>
      <c r="O268" s="9">
        <f t="shared" si="17"/>
        <v>0</v>
      </c>
      <c r="P268" s="338"/>
      <c r="Q268" s="10"/>
      <c r="R268" s="63"/>
    </row>
    <row r="269" spans="1:18" x14ac:dyDescent="0.25">
      <c r="A269" s="13">
        <f t="shared" si="18"/>
        <v>17</v>
      </c>
      <c r="B269" s="3"/>
      <c r="C269" s="9"/>
      <c r="D269" s="369"/>
      <c r="E269" s="481"/>
      <c r="F269" s="369"/>
      <c r="G269" s="481"/>
      <c r="H269" s="369"/>
      <c r="I269" s="481"/>
      <c r="J269" s="369"/>
      <c r="K269" s="481"/>
      <c r="L269" s="369"/>
      <c r="M269" s="481"/>
      <c r="N269" s="565"/>
      <c r="O269" s="9">
        <f t="shared" si="17"/>
        <v>0</v>
      </c>
      <c r="P269" s="338"/>
      <c r="Q269" s="10"/>
      <c r="R269" s="63"/>
    </row>
    <row r="270" spans="1:18" x14ac:dyDescent="0.25">
      <c r="A270" s="13">
        <f t="shared" si="18"/>
        <v>18</v>
      </c>
      <c r="B270" s="3"/>
      <c r="C270" s="9"/>
      <c r="D270" s="369"/>
      <c r="E270" s="481"/>
      <c r="F270" s="369"/>
      <c r="G270" s="481"/>
      <c r="H270" s="369"/>
      <c r="I270" s="481"/>
      <c r="J270" s="369"/>
      <c r="K270" s="481"/>
      <c r="L270" s="369"/>
      <c r="M270" s="481"/>
      <c r="N270" s="565"/>
      <c r="O270" s="9">
        <f t="shared" si="17"/>
        <v>0</v>
      </c>
      <c r="P270" s="338"/>
      <c r="Q270" s="10"/>
      <c r="R270" s="63"/>
    </row>
    <row r="271" spans="1:18" x14ac:dyDescent="0.25">
      <c r="A271" s="13">
        <f t="shared" si="18"/>
        <v>19</v>
      </c>
      <c r="B271" s="3"/>
      <c r="C271" s="9"/>
      <c r="D271" s="359"/>
      <c r="E271" s="478"/>
      <c r="F271" s="359"/>
      <c r="G271" s="478"/>
      <c r="H271" s="359"/>
      <c r="I271" s="478"/>
      <c r="J271" s="359"/>
      <c r="K271" s="478"/>
      <c r="L271" s="359"/>
      <c r="M271" s="478"/>
      <c r="N271" s="561"/>
      <c r="O271" s="9">
        <f t="shared" si="17"/>
        <v>0</v>
      </c>
      <c r="P271" s="338"/>
      <c r="Q271" s="10"/>
      <c r="R271" s="63"/>
    </row>
    <row r="272" spans="1:18" x14ac:dyDescent="0.25">
      <c r="A272" s="13">
        <f t="shared" si="18"/>
        <v>20</v>
      </c>
      <c r="B272" s="3"/>
      <c r="C272" s="9"/>
      <c r="D272" s="369"/>
      <c r="E272" s="481"/>
      <c r="F272" s="369"/>
      <c r="G272" s="481"/>
      <c r="H272" s="369"/>
      <c r="I272" s="481"/>
      <c r="J272" s="369"/>
      <c r="K272" s="481"/>
      <c r="L272" s="369"/>
      <c r="M272" s="481"/>
      <c r="N272" s="565"/>
      <c r="O272" s="9">
        <f t="shared" si="17"/>
        <v>0</v>
      </c>
      <c r="P272" s="338"/>
      <c r="Q272" s="10"/>
      <c r="R272" s="63"/>
    </row>
    <row r="273" spans="1:18" x14ac:dyDescent="0.25">
      <c r="A273" s="13">
        <f t="shared" si="18"/>
        <v>21</v>
      </c>
      <c r="B273" s="3"/>
      <c r="C273" s="9"/>
      <c r="D273" s="369"/>
      <c r="E273" s="481"/>
      <c r="F273" s="369"/>
      <c r="G273" s="481"/>
      <c r="H273" s="369"/>
      <c r="I273" s="481"/>
      <c r="J273" s="369"/>
      <c r="K273" s="481"/>
      <c r="L273" s="369"/>
      <c r="M273" s="481"/>
      <c r="N273" s="565"/>
      <c r="O273" s="9">
        <f t="shared" si="17"/>
        <v>0</v>
      </c>
      <c r="P273" s="338"/>
      <c r="Q273" s="10"/>
      <c r="R273" s="63"/>
    </row>
    <row r="274" spans="1:18" x14ac:dyDescent="0.25">
      <c r="A274" s="13">
        <f t="shared" si="18"/>
        <v>22</v>
      </c>
      <c r="B274" s="3"/>
      <c r="C274" s="9"/>
      <c r="D274" s="369"/>
      <c r="E274" s="481"/>
      <c r="F274" s="369"/>
      <c r="G274" s="481"/>
      <c r="H274" s="369"/>
      <c r="I274" s="481"/>
      <c r="J274" s="369"/>
      <c r="K274" s="481"/>
      <c r="L274" s="369"/>
      <c r="M274" s="481"/>
      <c r="N274" s="565"/>
      <c r="O274" s="9">
        <f t="shared" si="17"/>
        <v>0</v>
      </c>
      <c r="P274" s="338"/>
      <c r="Q274" s="10"/>
      <c r="R274" s="63"/>
    </row>
    <row r="275" spans="1:18" x14ac:dyDescent="0.25">
      <c r="A275" s="13">
        <f t="shared" si="18"/>
        <v>23</v>
      </c>
      <c r="B275" s="3"/>
      <c r="C275" s="8"/>
      <c r="D275" s="369"/>
      <c r="E275" s="481"/>
      <c r="F275" s="369"/>
      <c r="G275" s="481"/>
      <c r="H275" s="369"/>
      <c r="I275" s="481"/>
      <c r="J275" s="369"/>
      <c r="K275" s="481"/>
      <c r="L275" s="369"/>
      <c r="M275" s="481"/>
      <c r="N275" s="565"/>
      <c r="O275" s="9">
        <f t="shared" si="17"/>
        <v>0</v>
      </c>
      <c r="P275" s="338"/>
      <c r="Q275" s="10"/>
      <c r="R275" s="63"/>
    </row>
    <row r="276" spans="1:18" x14ac:dyDescent="0.25">
      <c r="A276" s="13">
        <f t="shared" si="18"/>
        <v>24</v>
      </c>
      <c r="B276" s="3"/>
      <c r="C276" s="8"/>
      <c r="D276" s="359"/>
      <c r="E276" s="478"/>
      <c r="F276" s="359"/>
      <c r="G276" s="478"/>
      <c r="H276" s="359"/>
      <c r="I276" s="478"/>
      <c r="J276" s="359"/>
      <c r="K276" s="478"/>
      <c r="L276" s="359"/>
      <c r="M276" s="478"/>
      <c r="N276" s="561"/>
      <c r="O276" s="9">
        <f t="shared" si="17"/>
        <v>0</v>
      </c>
      <c r="P276" s="338"/>
      <c r="Q276" s="10"/>
      <c r="R276" s="63"/>
    </row>
    <row r="277" spans="1:18" x14ac:dyDescent="0.25">
      <c r="A277" s="13">
        <f t="shared" si="18"/>
        <v>25</v>
      </c>
      <c r="B277" s="3"/>
      <c r="C277" s="8"/>
      <c r="D277" s="369"/>
      <c r="E277" s="481"/>
      <c r="F277" s="369"/>
      <c r="G277" s="481"/>
      <c r="H277" s="369"/>
      <c r="I277" s="481"/>
      <c r="J277" s="369"/>
      <c r="K277" s="481"/>
      <c r="L277" s="369"/>
      <c r="M277" s="481"/>
      <c r="N277" s="565"/>
      <c r="O277" s="9">
        <f t="shared" si="17"/>
        <v>0</v>
      </c>
      <c r="P277" s="338"/>
      <c r="Q277" s="10"/>
      <c r="R277" s="63"/>
    </row>
    <row r="278" spans="1:18" x14ac:dyDescent="0.25">
      <c r="A278" s="13">
        <f t="shared" si="18"/>
        <v>26</v>
      </c>
      <c r="B278" s="3"/>
      <c r="C278" s="9"/>
      <c r="D278" s="369"/>
      <c r="E278" s="481"/>
      <c r="F278" s="369"/>
      <c r="G278" s="481"/>
      <c r="H278" s="369"/>
      <c r="I278" s="481"/>
      <c r="J278" s="369"/>
      <c r="K278" s="481"/>
      <c r="L278" s="369"/>
      <c r="M278" s="481"/>
      <c r="N278" s="565"/>
      <c r="O278" s="9">
        <f t="shared" si="17"/>
        <v>0</v>
      </c>
      <c r="P278" s="338"/>
      <c r="Q278" s="10"/>
      <c r="R278" s="63"/>
    </row>
    <row r="279" spans="1:18" x14ac:dyDescent="0.25">
      <c r="A279" s="13">
        <f t="shared" si="18"/>
        <v>27</v>
      </c>
      <c r="B279" s="3"/>
      <c r="C279" s="9"/>
      <c r="D279" s="359"/>
      <c r="E279" s="478"/>
      <c r="F279" s="359"/>
      <c r="G279" s="478"/>
      <c r="H279" s="359"/>
      <c r="I279" s="478"/>
      <c r="J279" s="359"/>
      <c r="K279" s="478"/>
      <c r="L279" s="359"/>
      <c r="M279" s="478"/>
      <c r="N279" s="561"/>
      <c r="O279" s="9">
        <f t="shared" si="17"/>
        <v>0</v>
      </c>
      <c r="P279" s="338"/>
      <c r="Q279" s="10"/>
      <c r="R279" s="63"/>
    </row>
    <row r="280" spans="1:18" x14ac:dyDescent="0.25">
      <c r="A280" s="13">
        <f t="shared" si="18"/>
        <v>28</v>
      </c>
      <c r="B280" s="3"/>
      <c r="C280" s="8"/>
      <c r="D280" s="369"/>
      <c r="E280" s="481"/>
      <c r="F280" s="369"/>
      <c r="G280" s="481"/>
      <c r="H280" s="369"/>
      <c r="I280" s="481"/>
      <c r="J280" s="369"/>
      <c r="K280" s="481"/>
      <c r="L280" s="369"/>
      <c r="M280" s="481"/>
      <c r="N280" s="565"/>
      <c r="O280" s="9">
        <f t="shared" si="17"/>
        <v>0</v>
      </c>
      <c r="P280" s="338"/>
      <c r="Q280" s="10"/>
      <c r="R280" s="63"/>
    </row>
    <row r="281" spans="1:18" x14ac:dyDescent="0.25">
      <c r="A281" s="13">
        <f t="shared" si="18"/>
        <v>29</v>
      </c>
      <c r="B281" s="3"/>
      <c r="C281" s="9"/>
      <c r="D281" s="369"/>
      <c r="E281" s="481"/>
      <c r="F281" s="369"/>
      <c r="G281" s="481"/>
      <c r="H281" s="369"/>
      <c r="I281" s="481"/>
      <c r="J281" s="369"/>
      <c r="K281" s="481"/>
      <c r="L281" s="369"/>
      <c r="M281" s="481"/>
      <c r="N281" s="565"/>
      <c r="O281" s="9">
        <f t="shared" ref="O281:O312" si="19">SUM(C281:N281)</f>
        <v>0</v>
      </c>
      <c r="P281" s="338"/>
      <c r="Q281" s="10"/>
      <c r="R281" s="63"/>
    </row>
    <row r="282" spans="1:18" x14ac:dyDescent="0.25">
      <c r="A282" s="13">
        <f t="shared" si="18"/>
        <v>30</v>
      </c>
      <c r="B282" s="3"/>
      <c r="C282" s="9"/>
      <c r="D282" s="359"/>
      <c r="E282" s="478"/>
      <c r="F282" s="359"/>
      <c r="G282" s="478"/>
      <c r="H282" s="359"/>
      <c r="I282" s="478"/>
      <c r="J282" s="359"/>
      <c r="K282" s="478"/>
      <c r="L282" s="359"/>
      <c r="M282" s="478"/>
      <c r="N282" s="561"/>
      <c r="O282" s="9">
        <f t="shared" si="19"/>
        <v>0</v>
      </c>
      <c r="P282" s="338"/>
      <c r="Q282" s="10"/>
      <c r="R282" s="63"/>
    </row>
    <row r="283" spans="1:18" x14ac:dyDescent="0.25">
      <c r="A283" s="13">
        <f t="shared" si="18"/>
        <v>31</v>
      </c>
      <c r="B283" s="3"/>
      <c r="C283" s="9"/>
      <c r="D283" s="369"/>
      <c r="E283" s="481"/>
      <c r="F283" s="369"/>
      <c r="G283" s="481"/>
      <c r="H283" s="369"/>
      <c r="I283" s="481"/>
      <c r="J283" s="369"/>
      <c r="K283" s="481"/>
      <c r="L283" s="369"/>
      <c r="M283" s="481"/>
      <c r="N283" s="565"/>
      <c r="O283" s="9">
        <f t="shared" si="19"/>
        <v>0</v>
      </c>
      <c r="P283" s="338"/>
      <c r="Q283" s="10"/>
      <c r="R283" s="63"/>
    </row>
    <row r="284" spans="1:18" x14ac:dyDescent="0.25">
      <c r="A284" s="13">
        <f t="shared" si="18"/>
        <v>32</v>
      </c>
      <c r="B284" s="3"/>
      <c r="C284" s="9"/>
      <c r="D284" s="369"/>
      <c r="E284" s="481"/>
      <c r="F284" s="369"/>
      <c r="G284" s="481"/>
      <c r="H284" s="369"/>
      <c r="I284" s="481"/>
      <c r="J284" s="369"/>
      <c r="K284" s="481"/>
      <c r="L284" s="369"/>
      <c r="M284" s="481"/>
      <c r="N284" s="565"/>
      <c r="O284" s="9">
        <f t="shared" si="19"/>
        <v>0</v>
      </c>
      <c r="P284" s="338"/>
      <c r="Q284" s="10"/>
      <c r="R284" s="63"/>
    </row>
    <row r="285" spans="1:18" x14ac:dyDescent="0.25">
      <c r="A285" s="13">
        <f t="shared" si="18"/>
        <v>33</v>
      </c>
      <c r="B285" s="3"/>
      <c r="C285" s="9"/>
      <c r="D285" s="369"/>
      <c r="E285" s="481"/>
      <c r="F285" s="369"/>
      <c r="G285" s="481"/>
      <c r="H285" s="369"/>
      <c r="I285" s="481"/>
      <c r="J285" s="369"/>
      <c r="K285" s="481"/>
      <c r="L285" s="369"/>
      <c r="M285" s="481"/>
      <c r="N285" s="565"/>
      <c r="O285" s="9">
        <f t="shared" si="19"/>
        <v>0</v>
      </c>
      <c r="P285" s="338"/>
      <c r="Q285" s="10"/>
      <c r="R285" s="63"/>
    </row>
    <row r="286" spans="1:18" x14ac:dyDescent="0.25">
      <c r="A286" s="13">
        <f t="shared" ref="A286:A317" si="20">A285+1</f>
        <v>34</v>
      </c>
      <c r="B286" s="3"/>
      <c r="C286" s="8"/>
      <c r="D286" s="369"/>
      <c r="E286" s="481"/>
      <c r="F286" s="369"/>
      <c r="G286" s="481"/>
      <c r="H286" s="369"/>
      <c r="I286" s="481"/>
      <c r="J286" s="369"/>
      <c r="K286" s="481"/>
      <c r="L286" s="369"/>
      <c r="M286" s="481"/>
      <c r="N286" s="565"/>
      <c r="O286" s="9">
        <f t="shared" si="19"/>
        <v>0</v>
      </c>
      <c r="P286" s="338"/>
      <c r="Q286" s="10"/>
      <c r="R286" s="63"/>
    </row>
    <row r="287" spans="1:18" x14ac:dyDescent="0.25">
      <c r="A287" s="13">
        <f t="shared" si="20"/>
        <v>35</v>
      </c>
      <c r="B287" s="3"/>
      <c r="C287" s="9"/>
      <c r="D287" s="359"/>
      <c r="E287" s="478"/>
      <c r="F287" s="359"/>
      <c r="G287" s="478"/>
      <c r="H287" s="359"/>
      <c r="I287" s="478"/>
      <c r="J287" s="359"/>
      <c r="K287" s="478"/>
      <c r="L287" s="359"/>
      <c r="M287" s="478"/>
      <c r="N287" s="561"/>
      <c r="O287" s="9">
        <f t="shared" si="19"/>
        <v>0</v>
      </c>
      <c r="P287" s="338"/>
      <c r="Q287" s="10"/>
      <c r="R287" s="63"/>
    </row>
    <row r="288" spans="1:18" x14ac:dyDescent="0.25">
      <c r="A288" s="13">
        <f t="shared" si="20"/>
        <v>36</v>
      </c>
      <c r="B288" s="3"/>
      <c r="C288" s="9"/>
      <c r="D288" s="369"/>
      <c r="E288" s="481"/>
      <c r="F288" s="369"/>
      <c r="G288" s="481"/>
      <c r="H288" s="369"/>
      <c r="I288" s="481"/>
      <c r="J288" s="369"/>
      <c r="K288" s="481"/>
      <c r="L288" s="369"/>
      <c r="M288" s="481"/>
      <c r="N288" s="565"/>
      <c r="O288" s="9">
        <f t="shared" si="19"/>
        <v>0</v>
      </c>
      <c r="P288" s="338"/>
      <c r="Q288" s="10"/>
      <c r="R288" s="63"/>
    </row>
    <row r="289" spans="1:18" x14ac:dyDescent="0.25">
      <c r="A289" s="13">
        <f t="shared" si="20"/>
        <v>37</v>
      </c>
      <c r="B289" s="3"/>
      <c r="C289" s="9"/>
      <c r="D289" s="369"/>
      <c r="E289" s="481"/>
      <c r="F289" s="369"/>
      <c r="G289" s="481"/>
      <c r="H289" s="369"/>
      <c r="I289" s="481"/>
      <c r="J289" s="369"/>
      <c r="K289" s="481"/>
      <c r="L289" s="369"/>
      <c r="M289" s="481"/>
      <c r="N289" s="565"/>
      <c r="O289" s="9">
        <f t="shared" si="19"/>
        <v>0</v>
      </c>
      <c r="P289" s="338"/>
      <c r="Q289" s="10"/>
      <c r="R289" s="63"/>
    </row>
    <row r="290" spans="1:18" x14ac:dyDescent="0.25">
      <c r="A290" s="13">
        <f t="shared" si="20"/>
        <v>38</v>
      </c>
      <c r="B290" s="3"/>
      <c r="C290" s="9"/>
      <c r="D290" s="369"/>
      <c r="E290" s="481"/>
      <c r="F290" s="369"/>
      <c r="G290" s="481"/>
      <c r="H290" s="369"/>
      <c r="I290" s="481"/>
      <c r="J290" s="369"/>
      <c r="K290" s="481"/>
      <c r="L290" s="369"/>
      <c r="M290" s="481"/>
      <c r="N290" s="565"/>
      <c r="O290" s="9">
        <f t="shared" si="19"/>
        <v>0</v>
      </c>
      <c r="P290" s="338"/>
      <c r="Q290" s="10"/>
      <c r="R290" s="63"/>
    </row>
    <row r="291" spans="1:18" x14ac:dyDescent="0.25">
      <c r="A291" s="13">
        <f t="shared" si="20"/>
        <v>39</v>
      </c>
      <c r="B291" s="3"/>
      <c r="C291" s="9"/>
      <c r="D291" s="369"/>
      <c r="E291" s="481"/>
      <c r="F291" s="369"/>
      <c r="G291" s="481"/>
      <c r="H291" s="369"/>
      <c r="I291" s="481"/>
      <c r="J291" s="369"/>
      <c r="K291" s="481"/>
      <c r="L291" s="369"/>
      <c r="M291" s="481"/>
      <c r="N291" s="565"/>
      <c r="O291" s="9">
        <f t="shared" si="19"/>
        <v>0</v>
      </c>
      <c r="P291" s="338"/>
      <c r="Q291" s="10"/>
      <c r="R291" s="63"/>
    </row>
    <row r="292" spans="1:18" x14ac:dyDescent="0.25">
      <c r="A292" s="13">
        <f t="shared" si="20"/>
        <v>40</v>
      </c>
      <c r="B292" s="3"/>
      <c r="C292" s="9"/>
      <c r="D292" s="359"/>
      <c r="E292" s="478"/>
      <c r="F292" s="359"/>
      <c r="G292" s="478"/>
      <c r="H292" s="359"/>
      <c r="I292" s="478"/>
      <c r="J292" s="359"/>
      <c r="K292" s="478"/>
      <c r="L292" s="359"/>
      <c r="M292" s="478"/>
      <c r="N292" s="561"/>
      <c r="O292" s="9">
        <f t="shared" si="19"/>
        <v>0</v>
      </c>
      <c r="P292" s="338"/>
      <c r="Q292" s="10"/>
      <c r="R292" s="63"/>
    </row>
    <row r="293" spans="1:18" x14ac:dyDescent="0.25">
      <c r="A293" s="13">
        <f t="shared" si="20"/>
        <v>41</v>
      </c>
      <c r="B293" s="3"/>
      <c r="C293" s="9"/>
      <c r="D293" s="369"/>
      <c r="E293" s="481"/>
      <c r="F293" s="369"/>
      <c r="G293" s="481"/>
      <c r="H293" s="369"/>
      <c r="I293" s="481"/>
      <c r="J293" s="369"/>
      <c r="K293" s="481"/>
      <c r="L293" s="369"/>
      <c r="M293" s="481"/>
      <c r="N293" s="565"/>
      <c r="O293" s="9">
        <f t="shared" si="19"/>
        <v>0</v>
      </c>
      <c r="P293" s="338"/>
      <c r="Q293" s="10"/>
      <c r="R293" s="63"/>
    </row>
    <row r="294" spans="1:18" x14ac:dyDescent="0.25">
      <c r="A294" s="13">
        <f t="shared" si="20"/>
        <v>42</v>
      </c>
      <c r="B294" s="3"/>
      <c r="C294" s="9"/>
      <c r="D294" s="369"/>
      <c r="E294" s="481"/>
      <c r="F294" s="369"/>
      <c r="G294" s="481"/>
      <c r="H294" s="369"/>
      <c r="I294" s="481"/>
      <c r="J294" s="369"/>
      <c r="K294" s="481"/>
      <c r="L294" s="369"/>
      <c r="M294" s="481"/>
      <c r="N294" s="565"/>
      <c r="O294" s="9">
        <f t="shared" si="19"/>
        <v>0</v>
      </c>
      <c r="P294" s="338"/>
      <c r="Q294" s="10"/>
      <c r="R294" s="63"/>
    </row>
    <row r="295" spans="1:18" x14ac:dyDescent="0.25">
      <c r="A295" s="13">
        <f t="shared" si="20"/>
        <v>43</v>
      </c>
      <c r="B295" s="3"/>
      <c r="C295" s="9"/>
      <c r="D295" s="359"/>
      <c r="E295" s="478"/>
      <c r="F295" s="359"/>
      <c r="G295" s="478"/>
      <c r="H295" s="359"/>
      <c r="I295" s="478"/>
      <c r="J295" s="359"/>
      <c r="K295" s="478"/>
      <c r="L295" s="359"/>
      <c r="M295" s="478"/>
      <c r="N295" s="561"/>
      <c r="O295" s="9">
        <f t="shared" si="19"/>
        <v>0</v>
      </c>
      <c r="P295" s="338"/>
      <c r="Q295" s="10"/>
      <c r="R295" s="63"/>
    </row>
    <row r="296" spans="1:18" x14ac:dyDescent="0.25">
      <c r="A296" s="13">
        <f t="shared" si="20"/>
        <v>44</v>
      </c>
      <c r="B296" s="3"/>
      <c r="C296" s="8"/>
      <c r="D296" s="369"/>
      <c r="E296" s="481"/>
      <c r="F296" s="369"/>
      <c r="G296" s="481"/>
      <c r="H296" s="369"/>
      <c r="I296" s="481"/>
      <c r="J296" s="369"/>
      <c r="K296" s="481"/>
      <c r="L296" s="369"/>
      <c r="M296" s="481"/>
      <c r="N296" s="565"/>
      <c r="O296" s="9">
        <f t="shared" si="19"/>
        <v>0</v>
      </c>
      <c r="P296" s="338"/>
      <c r="Q296" s="10"/>
      <c r="R296" s="63"/>
    </row>
    <row r="297" spans="1:18" x14ac:dyDescent="0.25">
      <c r="A297" s="13">
        <f t="shared" si="20"/>
        <v>45</v>
      </c>
      <c r="B297" s="3"/>
      <c r="C297" s="9"/>
      <c r="D297" s="369"/>
      <c r="E297" s="481"/>
      <c r="F297" s="369"/>
      <c r="G297" s="481"/>
      <c r="H297" s="369"/>
      <c r="I297" s="481"/>
      <c r="J297" s="369"/>
      <c r="K297" s="481"/>
      <c r="L297" s="369"/>
      <c r="M297" s="481"/>
      <c r="N297" s="565"/>
      <c r="O297" s="9">
        <f t="shared" si="19"/>
        <v>0</v>
      </c>
      <c r="P297" s="338"/>
      <c r="Q297" s="10"/>
      <c r="R297" s="63"/>
    </row>
    <row r="298" spans="1:18" x14ac:dyDescent="0.25">
      <c r="A298" s="13">
        <f t="shared" si="20"/>
        <v>46</v>
      </c>
      <c r="B298" s="3"/>
      <c r="C298" s="9"/>
      <c r="D298" s="359"/>
      <c r="E298" s="478"/>
      <c r="F298" s="359"/>
      <c r="G298" s="478"/>
      <c r="H298" s="359"/>
      <c r="I298" s="478"/>
      <c r="J298" s="359"/>
      <c r="K298" s="478"/>
      <c r="L298" s="359"/>
      <c r="M298" s="478"/>
      <c r="N298" s="561"/>
      <c r="O298" s="9">
        <f t="shared" si="19"/>
        <v>0</v>
      </c>
      <c r="P298" s="338"/>
      <c r="Q298" s="10"/>
      <c r="R298" s="63"/>
    </row>
    <row r="299" spans="1:18" x14ac:dyDescent="0.25">
      <c r="A299" s="13">
        <f t="shared" si="20"/>
        <v>47</v>
      </c>
      <c r="B299" s="3"/>
      <c r="C299" s="8"/>
      <c r="D299" s="369"/>
      <c r="E299" s="481"/>
      <c r="F299" s="369"/>
      <c r="G299" s="481"/>
      <c r="H299" s="369"/>
      <c r="I299" s="481"/>
      <c r="J299" s="369"/>
      <c r="K299" s="481"/>
      <c r="L299" s="369"/>
      <c r="M299" s="481"/>
      <c r="N299" s="565"/>
      <c r="O299" s="9">
        <f t="shared" si="19"/>
        <v>0</v>
      </c>
      <c r="P299" s="338"/>
      <c r="Q299" s="10"/>
      <c r="R299" s="64"/>
    </row>
    <row r="300" spans="1:18" x14ac:dyDescent="0.25">
      <c r="A300" s="13">
        <f t="shared" si="20"/>
        <v>48</v>
      </c>
      <c r="B300" s="3"/>
      <c r="C300" s="8"/>
      <c r="D300" s="369"/>
      <c r="E300" s="481"/>
      <c r="F300" s="369"/>
      <c r="G300" s="481"/>
      <c r="H300" s="369"/>
      <c r="I300" s="481"/>
      <c r="J300" s="369"/>
      <c r="K300" s="481"/>
      <c r="L300" s="369"/>
      <c r="M300" s="481"/>
      <c r="N300" s="565"/>
      <c r="O300" s="9">
        <f t="shared" si="19"/>
        <v>0</v>
      </c>
      <c r="P300" s="338"/>
      <c r="Q300" s="10"/>
      <c r="R300" s="63"/>
    </row>
    <row r="301" spans="1:18" x14ac:dyDescent="0.25">
      <c r="A301" s="13">
        <f t="shared" si="20"/>
        <v>49</v>
      </c>
      <c r="B301" s="3"/>
      <c r="C301" s="9"/>
      <c r="D301" s="369"/>
      <c r="E301" s="481"/>
      <c r="F301" s="369"/>
      <c r="G301" s="481"/>
      <c r="H301" s="369"/>
      <c r="I301" s="481"/>
      <c r="J301" s="369"/>
      <c r="K301" s="481"/>
      <c r="L301" s="369"/>
      <c r="M301" s="481"/>
      <c r="N301" s="565"/>
      <c r="O301" s="9">
        <f t="shared" si="19"/>
        <v>0</v>
      </c>
      <c r="P301" s="338"/>
      <c r="Q301" s="10"/>
      <c r="R301" s="63"/>
    </row>
    <row r="302" spans="1:18" x14ac:dyDescent="0.25">
      <c r="A302" s="13">
        <f t="shared" si="20"/>
        <v>50</v>
      </c>
      <c r="B302" s="3"/>
      <c r="C302" s="9"/>
      <c r="D302" s="369"/>
      <c r="E302" s="481"/>
      <c r="F302" s="369"/>
      <c r="G302" s="481"/>
      <c r="H302" s="369"/>
      <c r="I302" s="481"/>
      <c r="J302" s="369"/>
      <c r="K302" s="481"/>
      <c r="L302" s="369"/>
      <c r="M302" s="481"/>
      <c r="N302" s="565"/>
      <c r="O302" s="9">
        <f t="shared" si="19"/>
        <v>0</v>
      </c>
      <c r="P302" s="338"/>
      <c r="Q302" s="10"/>
      <c r="R302" s="63"/>
    </row>
    <row r="303" spans="1:18" x14ac:dyDescent="0.25">
      <c r="A303" s="13">
        <f t="shared" si="20"/>
        <v>51</v>
      </c>
      <c r="B303" s="3"/>
      <c r="C303" s="9"/>
      <c r="D303" s="369"/>
      <c r="E303" s="481"/>
      <c r="F303" s="369"/>
      <c r="G303" s="481"/>
      <c r="H303" s="369"/>
      <c r="I303" s="481"/>
      <c r="J303" s="369"/>
      <c r="K303" s="481"/>
      <c r="L303" s="369"/>
      <c r="M303" s="481"/>
      <c r="N303" s="565"/>
      <c r="O303" s="9">
        <f t="shared" si="19"/>
        <v>0</v>
      </c>
      <c r="P303" s="338"/>
      <c r="Q303" s="10"/>
      <c r="R303" s="63"/>
    </row>
    <row r="304" spans="1:18" x14ac:dyDescent="0.25">
      <c r="A304" s="13">
        <f t="shared" si="20"/>
        <v>52</v>
      </c>
      <c r="B304" s="3"/>
      <c r="C304" s="9"/>
      <c r="D304" s="369"/>
      <c r="E304" s="481"/>
      <c r="F304" s="369"/>
      <c r="G304" s="481"/>
      <c r="H304" s="369"/>
      <c r="I304" s="481"/>
      <c r="J304" s="369"/>
      <c r="K304" s="481"/>
      <c r="L304" s="369"/>
      <c r="M304" s="481"/>
      <c r="N304" s="565"/>
      <c r="O304" s="9">
        <f t="shared" si="19"/>
        <v>0</v>
      </c>
      <c r="P304" s="338"/>
      <c r="Q304" s="10"/>
      <c r="R304" s="63"/>
    </row>
    <row r="305" spans="1:18" x14ac:dyDescent="0.25">
      <c r="A305" s="13">
        <f t="shared" si="20"/>
        <v>53</v>
      </c>
      <c r="B305" s="3"/>
      <c r="C305" s="8"/>
      <c r="D305" s="369"/>
      <c r="E305" s="481"/>
      <c r="F305" s="369"/>
      <c r="G305" s="481"/>
      <c r="H305" s="369"/>
      <c r="I305" s="481"/>
      <c r="J305" s="369"/>
      <c r="K305" s="481"/>
      <c r="L305" s="369"/>
      <c r="M305" s="481"/>
      <c r="N305" s="565"/>
      <c r="O305" s="9">
        <f t="shared" si="19"/>
        <v>0</v>
      </c>
      <c r="P305" s="338"/>
      <c r="Q305" s="10"/>
      <c r="R305" s="63"/>
    </row>
    <row r="306" spans="1:18" x14ac:dyDescent="0.25">
      <c r="A306" s="13">
        <f t="shared" si="20"/>
        <v>54</v>
      </c>
      <c r="B306" s="3"/>
      <c r="C306" s="9"/>
      <c r="D306" s="369"/>
      <c r="E306" s="481"/>
      <c r="F306" s="369"/>
      <c r="G306" s="481"/>
      <c r="H306" s="369"/>
      <c r="I306" s="481"/>
      <c r="J306" s="369"/>
      <c r="K306" s="481"/>
      <c r="L306" s="369"/>
      <c r="M306" s="481"/>
      <c r="N306" s="565"/>
      <c r="O306" s="9">
        <f t="shared" si="19"/>
        <v>0</v>
      </c>
      <c r="P306" s="338"/>
      <c r="Q306" s="10"/>
      <c r="R306" s="63"/>
    </row>
    <row r="307" spans="1:18" x14ac:dyDescent="0.25">
      <c r="A307" s="13">
        <f t="shared" si="20"/>
        <v>55</v>
      </c>
      <c r="B307" s="3"/>
      <c r="C307" s="9"/>
      <c r="D307" s="369"/>
      <c r="E307" s="481"/>
      <c r="F307" s="369"/>
      <c r="G307" s="481"/>
      <c r="H307" s="369"/>
      <c r="I307" s="481"/>
      <c r="J307" s="369"/>
      <c r="K307" s="481"/>
      <c r="L307" s="369"/>
      <c r="M307" s="481"/>
      <c r="N307" s="565"/>
      <c r="O307" s="9">
        <f t="shared" si="19"/>
        <v>0</v>
      </c>
      <c r="P307" s="338"/>
      <c r="Q307" s="10"/>
      <c r="R307" s="63"/>
    </row>
    <row r="308" spans="1:18" x14ac:dyDescent="0.25">
      <c r="A308" s="13">
        <f t="shared" si="20"/>
        <v>56</v>
      </c>
      <c r="B308" s="3"/>
      <c r="C308" s="8"/>
      <c r="D308" s="359"/>
      <c r="E308" s="478"/>
      <c r="F308" s="359"/>
      <c r="G308" s="478"/>
      <c r="H308" s="359"/>
      <c r="I308" s="478"/>
      <c r="J308" s="359"/>
      <c r="K308" s="478"/>
      <c r="L308" s="359"/>
      <c r="M308" s="478"/>
      <c r="N308" s="561"/>
      <c r="O308" s="9">
        <f t="shared" si="19"/>
        <v>0</v>
      </c>
      <c r="P308" s="338"/>
      <c r="Q308" s="10"/>
      <c r="R308" s="63"/>
    </row>
    <row r="309" spans="1:18" x14ac:dyDescent="0.25">
      <c r="A309" s="13">
        <f t="shared" si="20"/>
        <v>57</v>
      </c>
      <c r="B309" s="3"/>
      <c r="C309" s="9"/>
      <c r="D309" s="369"/>
      <c r="E309" s="481"/>
      <c r="F309" s="369"/>
      <c r="G309" s="481"/>
      <c r="H309" s="369"/>
      <c r="I309" s="481"/>
      <c r="J309" s="369"/>
      <c r="K309" s="481"/>
      <c r="L309" s="369"/>
      <c r="M309" s="481"/>
      <c r="N309" s="565"/>
      <c r="O309" s="9">
        <f t="shared" si="19"/>
        <v>0</v>
      </c>
      <c r="P309" s="338"/>
      <c r="Q309" s="10"/>
      <c r="R309" s="63"/>
    </row>
    <row r="310" spans="1:18" x14ac:dyDescent="0.25">
      <c r="A310" s="13">
        <f t="shared" si="20"/>
        <v>58</v>
      </c>
      <c r="B310" s="3"/>
      <c r="C310" s="9"/>
      <c r="D310" s="369"/>
      <c r="E310" s="481"/>
      <c r="F310" s="369"/>
      <c r="G310" s="481"/>
      <c r="H310" s="369"/>
      <c r="I310" s="481"/>
      <c r="J310" s="369"/>
      <c r="K310" s="481"/>
      <c r="L310" s="369"/>
      <c r="M310" s="481"/>
      <c r="N310" s="565"/>
      <c r="O310" s="9">
        <f t="shared" si="19"/>
        <v>0</v>
      </c>
      <c r="P310" s="338"/>
      <c r="Q310" s="10"/>
      <c r="R310" s="63"/>
    </row>
    <row r="311" spans="1:18" x14ac:dyDescent="0.25">
      <c r="A311" s="13">
        <f t="shared" si="20"/>
        <v>59</v>
      </c>
      <c r="B311" s="3"/>
      <c r="C311" s="8"/>
      <c r="D311" s="369"/>
      <c r="E311" s="481"/>
      <c r="F311" s="369"/>
      <c r="G311" s="481"/>
      <c r="H311" s="369"/>
      <c r="I311" s="481"/>
      <c r="J311" s="369"/>
      <c r="K311" s="481"/>
      <c r="L311" s="369"/>
      <c r="M311" s="481"/>
      <c r="N311" s="565"/>
      <c r="O311" s="9">
        <f t="shared" si="19"/>
        <v>0</v>
      </c>
      <c r="P311" s="338"/>
      <c r="Q311" s="10"/>
      <c r="R311" s="63"/>
    </row>
    <row r="312" spans="1:18" x14ac:dyDescent="0.25">
      <c r="A312" s="13">
        <f t="shared" si="20"/>
        <v>60</v>
      </c>
      <c r="B312" s="3"/>
      <c r="C312" s="9"/>
      <c r="D312" s="369"/>
      <c r="E312" s="481"/>
      <c r="F312" s="369"/>
      <c r="G312" s="481"/>
      <c r="H312" s="369"/>
      <c r="I312" s="481"/>
      <c r="J312" s="369"/>
      <c r="K312" s="481"/>
      <c r="L312" s="369"/>
      <c r="M312" s="481"/>
      <c r="N312" s="565"/>
      <c r="O312" s="9">
        <f t="shared" si="19"/>
        <v>0</v>
      </c>
      <c r="P312" s="338"/>
      <c r="Q312" s="10"/>
      <c r="R312" s="63"/>
    </row>
    <row r="313" spans="1:18" x14ac:dyDescent="0.25">
      <c r="A313" s="13">
        <f t="shared" si="20"/>
        <v>61</v>
      </c>
      <c r="B313" s="3"/>
      <c r="C313" s="9"/>
      <c r="D313" s="369"/>
      <c r="E313" s="481"/>
      <c r="F313" s="369"/>
      <c r="G313" s="481"/>
      <c r="H313" s="369"/>
      <c r="I313" s="481"/>
      <c r="J313" s="369"/>
      <c r="K313" s="481"/>
      <c r="L313" s="369"/>
      <c r="M313" s="481"/>
      <c r="N313" s="565"/>
      <c r="O313" s="9">
        <f t="shared" ref="O313:O344" si="21">SUM(C313:N313)</f>
        <v>0</v>
      </c>
      <c r="P313" s="338"/>
      <c r="Q313" s="10"/>
      <c r="R313" s="63"/>
    </row>
    <row r="314" spans="1:18" x14ac:dyDescent="0.25">
      <c r="A314" s="13">
        <f t="shared" si="20"/>
        <v>62</v>
      </c>
      <c r="B314" s="3"/>
      <c r="C314" s="8"/>
      <c r="D314" s="369"/>
      <c r="E314" s="481"/>
      <c r="F314" s="369"/>
      <c r="G314" s="481"/>
      <c r="H314" s="369"/>
      <c r="I314" s="481"/>
      <c r="J314" s="369"/>
      <c r="K314" s="481"/>
      <c r="L314" s="369"/>
      <c r="M314" s="481"/>
      <c r="N314" s="565"/>
      <c r="O314" s="9">
        <f t="shared" si="21"/>
        <v>0</v>
      </c>
      <c r="P314" s="338"/>
      <c r="Q314" s="10"/>
      <c r="R314" s="63"/>
    </row>
    <row r="315" spans="1:18" x14ac:dyDescent="0.25">
      <c r="A315" s="13">
        <f t="shared" si="20"/>
        <v>63</v>
      </c>
      <c r="B315" s="3"/>
      <c r="C315" s="9"/>
      <c r="D315" s="359"/>
      <c r="E315" s="478"/>
      <c r="F315" s="359"/>
      <c r="G315" s="478"/>
      <c r="H315" s="359"/>
      <c r="I315" s="478"/>
      <c r="J315" s="359"/>
      <c r="K315" s="478"/>
      <c r="L315" s="359"/>
      <c r="M315" s="478"/>
      <c r="N315" s="561"/>
      <c r="O315" s="9">
        <f t="shared" si="21"/>
        <v>0</v>
      </c>
      <c r="P315" s="338"/>
      <c r="Q315" s="10"/>
      <c r="R315" s="63"/>
    </row>
    <row r="316" spans="1:18" x14ac:dyDescent="0.25">
      <c r="A316" s="13">
        <f t="shared" si="20"/>
        <v>64</v>
      </c>
      <c r="B316" s="3"/>
      <c r="C316" s="9"/>
      <c r="D316" s="369"/>
      <c r="E316" s="481"/>
      <c r="F316" s="369"/>
      <c r="G316" s="481"/>
      <c r="H316" s="369"/>
      <c r="I316" s="481"/>
      <c r="J316" s="369"/>
      <c r="K316" s="481"/>
      <c r="L316" s="369"/>
      <c r="M316" s="481"/>
      <c r="N316" s="565"/>
      <c r="O316" s="9">
        <f t="shared" si="21"/>
        <v>0</v>
      </c>
      <c r="P316" s="338"/>
      <c r="Q316" s="10"/>
      <c r="R316" s="63"/>
    </row>
    <row r="317" spans="1:18" x14ac:dyDescent="0.25">
      <c r="A317" s="13">
        <f t="shared" si="20"/>
        <v>65</v>
      </c>
      <c r="B317" s="3"/>
      <c r="C317" s="9"/>
      <c r="D317" s="369"/>
      <c r="E317" s="481"/>
      <c r="F317" s="369"/>
      <c r="G317" s="481"/>
      <c r="H317" s="369"/>
      <c r="I317" s="481"/>
      <c r="J317" s="369"/>
      <c r="K317" s="481"/>
      <c r="L317" s="369"/>
      <c r="M317" s="481"/>
      <c r="N317" s="565"/>
      <c r="O317" s="9">
        <f t="shared" si="21"/>
        <v>0</v>
      </c>
      <c r="P317" s="338"/>
      <c r="Q317" s="10"/>
      <c r="R317" s="63"/>
    </row>
    <row r="318" spans="1:18" x14ac:dyDescent="0.25">
      <c r="A318" s="13">
        <f t="shared" ref="A318:A349" si="22">A317+1</f>
        <v>66</v>
      </c>
      <c r="B318" s="3"/>
      <c r="C318" s="8"/>
      <c r="D318" s="369"/>
      <c r="E318" s="481"/>
      <c r="F318" s="369"/>
      <c r="G318" s="481"/>
      <c r="H318" s="369"/>
      <c r="I318" s="481"/>
      <c r="J318" s="369"/>
      <c r="K318" s="481"/>
      <c r="L318" s="369"/>
      <c r="M318" s="481"/>
      <c r="N318" s="565"/>
      <c r="O318" s="9">
        <f t="shared" si="21"/>
        <v>0</v>
      </c>
      <c r="P318" s="338"/>
      <c r="Q318" s="10"/>
      <c r="R318" s="63"/>
    </row>
    <row r="319" spans="1:18" x14ac:dyDescent="0.25">
      <c r="A319" s="13">
        <f t="shared" si="22"/>
        <v>67</v>
      </c>
      <c r="B319" s="3"/>
      <c r="C319" s="9"/>
      <c r="D319" s="369"/>
      <c r="E319" s="481"/>
      <c r="F319" s="369"/>
      <c r="G319" s="481"/>
      <c r="H319" s="369"/>
      <c r="I319" s="481"/>
      <c r="J319" s="369"/>
      <c r="K319" s="481"/>
      <c r="L319" s="369"/>
      <c r="M319" s="481"/>
      <c r="N319" s="565"/>
      <c r="O319" s="9">
        <f t="shared" si="21"/>
        <v>0</v>
      </c>
      <c r="P319" s="338"/>
      <c r="Q319" s="10"/>
      <c r="R319" s="63"/>
    </row>
    <row r="320" spans="1:18" x14ac:dyDescent="0.25">
      <c r="A320" s="13">
        <f t="shared" si="22"/>
        <v>68</v>
      </c>
      <c r="B320" s="3"/>
      <c r="C320" s="9"/>
      <c r="D320" s="369"/>
      <c r="E320" s="481"/>
      <c r="F320" s="369"/>
      <c r="G320" s="481"/>
      <c r="H320" s="369"/>
      <c r="I320" s="481"/>
      <c r="J320" s="369"/>
      <c r="K320" s="481"/>
      <c r="L320" s="369"/>
      <c r="M320" s="481"/>
      <c r="N320" s="565"/>
      <c r="O320" s="9">
        <f t="shared" si="21"/>
        <v>0</v>
      </c>
      <c r="P320" s="338"/>
      <c r="Q320" s="10"/>
      <c r="R320" s="63"/>
    </row>
    <row r="321" spans="1:18" x14ac:dyDescent="0.25">
      <c r="A321" s="13">
        <f t="shared" si="22"/>
        <v>69</v>
      </c>
      <c r="B321" s="3"/>
      <c r="C321" s="9"/>
      <c r="D321" s="369"/>
      <c r="E321" s="481"/>
      <c r="F321" s="369"/>
      <c r="G321" s="481"/>
      <c r="H321" s="369"/>
      <c r="I321" s="481"/>
      <c r="J321" s="369"/>
      <c r="K321" s="481"/>
      <c r="L321" s="369"/>
      <c r="M321" s="481"/>
      <c r="N321" s="565"/>
      <c r="O321" s="9">
        <f t="shared" si="21"/>
        <v>0</v>
      </c>
      <c r="P321" s="338"/>
      <c r="Q321" s="10"/>
      <c r="R321" s="63"/>
    </row>
    <row r="322" spans="1:18" x14ac:dyDescent="0.25">
      <c r="A322" s="13">
        <f t="shared" si="22"/>
        <v>70</v>
      </c>
      <c r="B322" s="3"/>
      <c r="C322" s="9"/>
      <c r="D322" s="369"/>
      <c r="E322" s="481"/>
      <c r="F322" s="369"/>
      <c r="G322" s="481"/>
      <c r="H322" s="369"/>
      <c r="I322" s="481"/>
      <c r="J322" s="369"/>
      <c r="K322" s="481"/>
      <c r="L322" s="369"/>
      <c r="M322" s="481"/>
      <c r="N322" s="565"/>
      <c r="O322" s="9">
        <f t="shared" si="21"/>
        <v>0</v>
      </c>
      <c r="P322" s="338"/>
      <c r="Q322" s="10"/>
      <c r="R322" s="63"/>
    </row>
    <row r="323" spans="1:18" x14ac:dyDescent="0.25">
      <c r="A323" s="13">
        <f t="shared" si="22"/>
        <v>71</v>
      </c>
      <c r="B323" s="3"/>
      <c r="C323" s="9"/>
      <c r="D323" s="369"/>
      <c r="E323" s="481"/>
      <c r="F323" s="369"/>
      <c r="G323" s="481"/>
      <c r="H323" s="369"/>
      <c r="I323" s="481"/>
      <c r="J323" s="369"/>
      <c r="K323" s="481"/>
      <c r="L323" s="369"/>
      <c r="M323" s="481"/>
      <c r="N323" s="565"/>
      <c r="O323" s="9">
        <f t="shared" si="21"/>
        <v>0</v>
      </c>
      <c r="P323" s="338"/>
      <c r="Q323" s="10"/>
      <c r="R323" s="63"/>
    </row>
    <row r="324" spans="1:18" x14ac:dyDescent="0.25">
      <c r="A324" s="13">
        <f t="shared" si="22"/>
        <v>72</v>
      </c>
      <c r="B324" s="3"/>
      <c r="C324" s="9"/>
      <c r="D324" s="369"/>
      <c r="E324" s="481"/>
      <c r="F324" s="369"/>
      <c r="G324" s="481"/>
      <c r="H324" s="369"/>
      <c r="I324" s="481"/>
      <c r="J324" s="369"/>
      <c r="K324" s="481"/>
      <c r="L324" s="369"/>
      <c r="M324" s="481"/>
      <c r="N324" s="565"/>
      <c r="O324" s="9">
        <f t="shared" si="21"/>
        <v>0</v>
      </c>
      <c r="P324" s="338"/>
      <c r="Q324" s="10"/>
      <c r="R324" s="63"/>
    </row>
    <row r="325" spans="1:18" x14ac:dyDescent="0.25">
      <c r="A325" s="13">
        <f t="shared" si="22"/>
        <v>73</v>
      </c>
      <c r="B325" s="3"/>
      <c r="C325" s="9"/>
      <c r="D325" s="369"/>
      <c r="E325" s="481"/>
      <c r="F325" s="369"/>
      <c r="G325" s="481"/>
      <c r="H325" s="369"/>
      <c r="I325" s="481"/>
      <c r="J325" s="369"/>
      <c r="K325" s="481"/>
      <c r="L325" s="369"/>
      <c r="M325" s="481"/>
      <c r="N325" s="565"/>
      <c r="O325" s="9">
        <f t="shared" si="21"/>
        <v>0</v>
      </c>
      <c r="P325" s="338"/>
      <c r="Q325" s="10"/>
      <c r="R325" s="63"/>
    </row>
    <row r="326" spans="1:18" x14ac:dyDescent="0.25">
      <c r="A326" s="13">
        <f t="shared" si="22"/>
        <v>74</v>
      </c>
      <c r="B326" s="3"/>
      <c r="C326" s="9"/>
      <c r="D326" s="369"/>
      <c r="E326" s="481"/>
      <c r="F326" s="369"/>
      <c r="G326" s="481"/>
      <c r="H326" s="369"/>
      <c r="I326" s="481"/>
      <c r="J326" s="369"/>
      <c r="K326" s="481"/>
      <c r="L326" s="369"/>
      <c r="M326" s="481"/>
      <c r="N326" s="565"/>
      <c r="O326" s="9">
        <f t="shared" si="21"/>
        <v>0</v>
      </c>
      <c r="P326" s="338"/>
      <c r="Q326" s="10"/>
      <c r="R326" s="63"/>
    </row>
    <row r="327" spans="1:18" x14ac:dyDescent="0.25">
      <c r="A327" s="13">
        <f t="shared" si="22"/>
        <v>75</v>
      </c>
      <c r="B327" s="3"/>
      <c r="C327" s="9"/>
      <c r="D327" s="369"/>
      <c r="E327" s="481"/>
      <c r="F327" s="369"/>
      <c r="G327" s="481"/>
      <c r="H327" s="369"/>
      <c r="I327" s="481"/>
      <c r="J327" s="369"/>
      <c r="K327" s="481"/>
      <c r="L327" s="369"/>
      <c r="M327" s="481"/>
      <c r="N327" s="565"/>
      <c r="O327" s="9">
        <f t="shared" si="21"/>
        <v>0</v>
      </c>
      <c r="P327" s="338"/>
      <c r="Q327" s="10"/>
      <c r="R327" s="63"/>
    </row>
    <row r="328" spans="1:18" x14ac:dyDescent="0.25">
      <c r="A328" s="13">
        <f t="shared" si="22"/>
        <v>76</v>
      </c>
      <c r="B328" s="3"/>
      <c r="C328" s="9"/>
      <c r="D328" s="369"/>
      <c r="E328" s="481"/>
      <c r="F328" s="369"/>
      <c r="G328" s="481"/>
      <c r="H328" s="369"/>
      <c r="I328" s="481"/>
      <c r="J328" s="369"/>
      <c r="K328" s="481"/>
      <c r="L328" s="369"/>
      <c r="M328" s="481"/>
      <c r="N328" s="565"/>
      <c r="O328" s="9">
        <f t="shared" si="21"/>
        <v>0</v>
      </c>
      <c r="P328" s="338"/>
      <c r="Q328" s="10"/>
      <c r="R328" s="63"/>
    </row>
    <row r="329" spans="1:18" x14ac:dyDescent="0.25">
      <c r="A329" s="13">
        <f t="shared" si="22"/>
        <v>77</v>
      </c>
      <c r="B329" s="3"/>
      <c r="C329" s="8"/>
      <c r="D329" s="359"/>
      <c r="E329" s="478"/>
      <c r="F329" s="359"/>
      <c r="G329" s="478"/>
      <c r="H329" s="359"/>
      <c r="I329" s="478"/>
      <c r="J329" s="359"/>
      <c r="K329" s="478"/>
      <c r="L329" s="359"/>
      <c r="M329" s="478"/>
      <c r="N329" s="561"/>
      <c r="O329" s="9">
        <f t="shared" si="21"/>
        <v>0</v>
      </c>
      <c r="P329" s="338"/>
      <c r="Q329" s="10"/>
      <c r="R329" s="63"/>
    </row>
    <row r="330" spans="1:18" x14ac:dyDescent="0.25">
      <c r="A330" s="13">
        <f t="shared" si="22"/>
        <v>78</v>
      </c>
      <c r="B330" s="3"/>
      <c r="C330" s="9"/>
      <c r="D330" s="369"/>
      <c r="E330" s="481"/>
      <c r="F330" s="369"/>
      <c r="G330" s="481"/>
      <c r="H330" s="369"/>
      <c r="I330" s="481"/>
      <c r="J330" s="369"/>
      <c r="K330" s="481"/>
      <c r="L330" s="369"/>
      <c r="M330" s="481"/>
      <c r="N330" s="565"/>
      <c r="O330" s="9">
        <f t="shared" si="21"/>
        <v>0</v>
      </c>
      <c r="P330" s="338"/>
      <c r="Q330" s="10"/>
      <c r="R330" s="63"/>
    </row>
    <row r="331" spans="1:18" x14ac:dyDescent="0.25">
      <c r="A331" s="13">
        <f t="shared" si="22"/>
        <v>79</v>
      </c>
      <c r="B331" s="3"/>
      <c r="C331" s="9"/>
      <c r="D331" s="359"/>
      <c r="E331" s="478"/>
      <c r="F331" s="359"/>
      <c r="G331" s="478"/>
      <c r="H331" s="359"/>
      <c r="I331" s="478"/>
      <c r="J331" s="359"/>
      <c r="K331" s="478"/>
      <c r="L331" s="359"/>
      <c r="M331" s="478"/>
      <c r="N331" s="561"/>
      <c r="O331" s="9">
        <f t="shared" si="21"/>
        <v>0</v>
      </c>
      <c r="P331" s="338"/>
      <c r="Q331" s="10"/>
      <c r="R331" s="63"/>
    </row>
    <row r="332" spans="1:18" x14ac:dyDescent="0.25">
      <c r="A332" s="13">
        <f t="shared" si="22"/>
        <v>80</v>
      </c>
      <c r="B332" s="3"/>
      <c r="C332" s="9"/>
      <c r="D332" s="369"/>
      <c r="E332" s="481"/>
      <c r="F332" s="369"/>
      <c r="G332" s="481"/>
      <c r="H332" s="369"/>
      <c r="I332" s="481"/>
      <c r="J332" s="369"/>
      <c r="K332" s="481"/>
      <c r="L332" s="369"/>
      <c r="M332" s="481"/>
      <c r="N332" s="565"/>
      <c r="O332" s="9">
        <f t="shared" si="21"/>
        <v>0</v>
      </c>
      <c r="P332" s="338"/>
      <c r="Q332" s="10"/>
      <c r="R332" s="63"/>
    </row>
    <row r="333" spans="1:18" x14ac:dyDescent="0.25">
      <c r="A333" s="13">
        <f t="shared" si="22"/>
        <v>81</v>
      </c>
      <c r="B333" s="3"/>
      <c r="C333" s="9"/>
      <c r="D333" s="369"/>
      <c r="E333" s="481"/>
      <c r="F333" s="369"/>
      <c r="G333" s="481"/>
      <c r="H333" s="369"/>
      <c r="I333" s="481"/>
      <c r="J333" s="369"/>
      <c r="K333" s="481"/>
      <c r="L333" s="369"/>
      <c r="M333" s="481"/>
      <c r="N333" s="565"/>
      <c r="O333" s="9">
        <f t="shared" si="21"/>
        <v>0</v>
      </c>
      <c r="P333" s="338"/>
      <c r="Q333" s="10"/>
      <c r="R333" s="63"/>
    </row>
    <row r="334" spans="1:18" x14ac:dyDescent="0.25">
      <c r="A334" s="13">
        <f t="shared" si="22"/>
        <v>82</v>
      </c>
      <c r="B334" s="3"/>
      <c r="C334" s="8"/>
      <c r="D334" s="369"/>
      <c r="E334" s="481"/>
      <c r="F334" s="369"/>
      <c r="G334" s="481"/>
      <c r="H334" s="369"/>
      <c r="I334" s="481"/>
      <c r="J334" s="369"/>
      <c r="K334" s="481"/>
      <c r="L334" s="369"/>
      <c r="M334" s="481"/>
      <c r="N334" s="565"/>
      <c r="O334" s="9">
        <f t="shared" si="21"/>
        <v>0</v>
      </c>
      <c r="P334" s="338"/>
      <c r="Q334" s="10"/>
      <c r="R334" s="63"/>
    </row>
    <row r="335" spans="1:18" x14ac:dyDescent="0.25">
      <c r="A335" s="13">
        <f t="shared" si="22"/>
        <v>83</v>
      </c>
      <c r="B335" s="3"/>
      <c r="C335" s="9"/>
      <c r="D335" s="369"/>
      <c r="E335" s="481"/>
      <c r="F335" s="369"/>
      <c r="G335" s="481"/>
      <c r="H335" s="369"/>
      <c r="I335" s="481"/>
      <c r="J335" s="369"/>
      <c r="K335" s="481"/>
      <c r="L335" s="369"/>
      <c r="M335" s="481"/>
      <c r="N335" s="565"/>
      <c r="O335" s="9">
        <f t="shared" si="21"/>
        <v>0</v>
      </c>
      <c r="P335" s="338"/>
      <c r="Q335" s="10"/>
      <c r="R335" s="63"/>
    </row>
    <row r="336" spans="1:18" x14ac:dyDescent="0.25">
      <c r="A336" s="13">
        <f t="shared" si="22"/>
        <v>84</v>
      </c>
      <c r="B336" s="3"/>
      <c r="C336" s="9"/>
      <c r="D336" s="359"/>
      <c r="E336" s="478"/>
      <c r="F336" s="359"/>
      <c r="G336" s="478"/>
      <c r="H336" s="359"/>
      <c r="I336" s="478"/>
      <c r="J336" s="359"/>
      <c r="K336" s="478"/>
      <c r="L336" s="359"/>
      <c r="M336" s="478"/>
      <c r="N336" s="561"/>
      <c r="O336" s="9">
        <f t="shared" si="21"/>
        <v>0</v>
      </c>
      <c r="P336" s="338"/>
      <c r="Q336" s="10"/>
      <c r="R336" s="63"/>
    </row>
    <row r="337" spans="1:18" x14ac:dyDescent="0.25">
      <c r="A337" s="13">
        <f t="shared" si="22"/>
        <v>85</v>
      </c>
      <c r="B337" s="3"/>
      <c r="C337" s="9"/>
      <c r="D337" s="369"/>
      <c r="E337" s="481"/>
      <c r="F337" s="369"/>
      <c r="G337" s="481"/>
      <c r="H337" s="369"/>
      <c r="I337" s="481"/>
      <c r="J337" s="369"/>
      <c r="K337" s="481"/>
      <c r="L337" s="369"/>
      <c r="M337" s="481"/>
      <c r="N337" s="565"/>
      <c r="O337" s="9">
        <f t="shared" si="21"/>
        <v>0</v>
      </c>
      <c r="P337" s="338"/>
      <c r="Q337" s="10"/>
      <c r="R337" s="63"/>
    </row>
    <row r="338" spans="1:18" x14ac:dyDescent="0.25">
      <c r="A338" s="13">
        <f t="shared" si="22"/>
        <v>86</v>
      </c>
      <c r="B338" s="3"/>
      <c r="C338" s="8"/>
      <c r="D338" s="369"/>
      <c r="E338" s="481"/>
      <c r="F338" s="369"/>
      <c r="G338" s="481"/>
      <c r="H338" s="369"/>
      <c r="I338" s="481"/>
      <c r="J338" s="369"/>
      <c r="K338" s="481"/>
      <c r="L338" s="369"/>
      <c r="M338" s="481"/>
      <c r="N338" s="565"/>
      <c r="O338" s="9">
        <f t="shared" si="21"/>
        <v>0</v>
      </c>
      <c r="P338" s="338"/>
      <c r="Q338" s="10"/>
      <c r="R338" s="63"/>
    </row>
    <row r="339" spans="1:18" x14ac:dyDescent="0.25">
      <c r="A339" s="13">
        <f t="shared" si="22"/>
        <v>87</v>
      </c>
      <c r="B339" s="3"/>
      <c r="C339" s="9"/>
      <c r="D339" s="369"/>
      <c r="E339" s="481"/>
      <c r="F339" s="369"/>
      <c r="G339" s="481"/>
      <c r="H339" s="369"/>
      <c r="I339" s="481"/>
      <c r="J339" s="369"/>
      <c r="K339" s="481"/>
      <c r="L339" s="369"/>
      <c r="M339" s="481"/>
      <c r="N339" s="565"/>
      <c r="O339" s="9">
        <f t="shared" si="21"/>
        <v>0</v>
      </c>
      <c r="P339" s="338"/>
      <c r="Q339" s="10"/>
      <c r="R339" s="63"/>
    </row>
    <row r="340" spans="1:18" x14ac:dyDescent="0.25">
      <c r="A340" s="13">
        <f t="shared" si="22"/>
        <v>88</v>
      </c>
      <c r="B340" s="3"/>
      <c r="C340" s="9"/>
      <c r="D340" s="369"/>
      <c r="E340" s="481"/>
      <c r="F340" s="369"/>
      <c r="G340" s="481"/>
      <c r="H340" s="369"/>
      <c r="I340" s="481"/>
      <c r="J340" s="369"/>
      <c r="K340" s="481"/>
      <c r="L340" s="369"/>
      <c r="M340" s="481"/>
      <c r="N340" s="565"/>
      <c r="O340" s="9">
        <f t="shared" si="21"/>
        <v>0</v>
      </c>
      <c r="P340" s="338"/>
      <c r="Q340" s="10"/>
      <c r="R340" s="63"/>
    </row>
    <row r="341" spans="1:18" x14ac:dyDescent="0.25">
      <c r="A341" s="13">
        <f t="shared" si="22"/>
        <v>89</v>
      </c>
      <c r="B341" s="3"/>
      <c r="C341" s="9"/>
      <c r="D341" s="369"/>
      <c r="E341" s="481"/>
      <c r="F341" s="369"/>
      <c r="G341" s="481"/>
      <c r="H341" s="369"/>
      <c r="I341" s="481"/>
      <c r="J341" s="369"/>
      <c r="K341" s="481"/>
      <c r="L341" s="369"/>
      <c r="M341" s="481"/>
      <c r="N341" s="565"/>
      <c r="O341" s="9">
        <f t="shared" si="21"/>
        <v>0</v>
      </c>
      <c r="P341" s="338"/>
      <c r="Q341" s="10"/>
      <c r="R341" s="63"/>
    </row>
    <row r="342" spans="1:18" x14ac:dyDescent="0.25">
      <c r="A342" s="13">
        <f t="shared" si="22"/>
        <v>90</v>
      </c>
      <c r="B342" s="3"/>
      <c r="C342" s="9"/>
      <c r="D342" s="369"/>
      <c r="E342" s="481"/>
      <c r="F342" s="369"/>
      <c r="G342" s="481"/>
      <c r="H342" s="369"/>
      <c r="I342" s="481"/>
      <c r="J342" s="369"/>
      <c r="K342" s="481"/>
      <c r="L342" s="369"/>
      <c r="M342" s="481"/>
      <c r="N342" s="565"/>
      <c r="O342" s="9">
        <f t="shared" si="21"/>
        <v>0</v>
      </c>
      <c r="P342" s="338"/>
      <c r="Q342" s="10"/>
      <c r="R342" s="63"/>
    </row>
    <row r="343" spans="1:18" x14ac:dyDescent="0.25">
      <c r="A343" s="13">
        <f t="shared" si="22"/>
        <v>91</v>
      </c>
      <c r="B343" s="3"/>
      <c r="C343" s="9"/>
      <c r="D343" s="369"/>
      <c r="E343" s="481"/>
      <c r="F343" s="369"/>
      <c r="G343" s="481"/>
      <c r="H343" s="369"/>
      <c r="I343" s="481"/>
      <c r="J343" s="369"/>
      <c r="K343" s="481"/>
      <c r="L343" s="369"/>
      <c r="M343" s="481"/>
      <c r="N343" s="565"/>
      <c r="O343" s="9">
        <f t="shared" si="21"/>
        <v>0</v>
      </c>
      <c r="P343" s="338"/>
      <c r="Q343" s="10"/>
      <c r="R343" s="63"/>
    </row>
    <row r="344" spans="1:18" x14ac:dyDescent="0.25">
      <c r="A344" s="13">
        <f t="shared" si="22"/>
        <v>92</v>
      </c>
      <c r="B344" s="3"/>
      <c r="C344" s="9"/>
      <c r="D344" s="369"/>
      <c r="E344" s="481"/>
      <c r="F344" s="369"/>
      <c r="G344" s="481"/>
      <c r="H344" s="369"/>
      <c r="I344" s="481"/>
      <c r="J344" s="369"/>
      <c r="K344" s="481"/>
      <c r="L344" s="369"/>
      <c r="M344" s="481"/>
      <c r="N344" s="565"/>
      <c r="O344" s="9">
        <f t="shared" si="21"/>
        <v>0</v>
      </c>
      <c r="P344" s="338"/>
      <c r="Q344" s="10"/>
      <c r="R344" s="63"/>
    </row>
    <row r="345" spans="1:18" x14ac:dyDescent="0.25">
      <c r="A345" s="13">
        <f t="shared" si="22"/>
        <v>93</v>
      </c>
      <c r="B345" s="3"/>
      <c r="C345" s="9"/>
      <c r="D345" s="369"/>
      <c r="E345" s="481"/>
      <c r="F345" s="369"/>
      <c r="G345" s="481"/>
      <c r="H345" s="369"/>
      <c r="I345" s="481"/>
      <c r="J345" s="369"/>
      <c r="K345" s="481"/>
      <c r="L345" s="369"/>
      <c r="M345" s="481"/>
      <c r="N345" s="565"/>
      <c r="O345" s="9">
        <f t="shared" ref="O345:O351" si="23">SUM(C345:N345)</f>
        <v>0</v>
      </c>
      <c r="P345" s="338"/>
      <c r="Q345" s="10"/>
      <c r="R345" s="63"/>
    </row>
    <row r="346" spans="1:18" x14ac:dyDescent="0.25">
      <c r="A346" s="13">
        <f t="shared" si="22"/>
        <v>94</v>
      </c>
      <c r="B346" s="3"/>
      <c r="C346" s="9"/>
      <c r="D346" s="369"/>
      <c r="E346" s="481"/>
      <c r="F346" s="369"/>
      <c r="G346" s="481"/>
      <c r="H346" s="369"/>
      <c r="I346" s="481"/>
      <c r="J346" s="369"/>
      <c r="K346" s="481"/>
      <c r="L346" s="369"/>
      <c r="M346" s="481"/>
      <c r="N346" s="565"/>
      <c r="O346" s="9">
        <f t="shared" si="23"/>
        <v>0</v>
      </c>
      <c r="P346" s="338"/>
      <c r="Q346" s="10"/>
      <c r="R346" s="63"/>
    </row>
    <row r="347" spans="1:18" x14ac:dyDescent="0.25">
      <c r="A347" s="13">
        <f t="shared" si="22"/>
        <v>95</v>
      </c>
      <c r="B347" s="3"/>
      <c r="C347" s="9"/>
      <c r="D347" s="369"/>
      <c r="E347" s="481"/>
      <c r="F347" s="369"/>
      <c r="G347" s="481"/>
      <c r="H347" s="369"/>
      <c r="I347" s="481"/>
      <c r="J347" s="369"/>
      <c r="K347" s="481"/>
      <c r="L347" s="369"/>
      <c r="M347" s="481"/>
      <c r="N347" s="565"/>
      <c r="O347" s="9">
        <f t="shared" si="23"/>
        <v>0</v>
      </c>
      <c r="P347" s="338"/>
      <c r="Q347" s="10"/>
      <c r="R347" s="63"/>
    </row>
    <row r="348" spans="1:18" x14ac:dyDescent="0.25">
      <c r="A348" s="13">
        <f t="shared" si="22"/>
        <v>96</v>
      </c>
      <c r="B348" s="3"/>
      <c r="C348" s="8"/>
      <c r="D348" s="359"/>
      <c r="E348" s="478"/>
      <c r="F348" s="359"/>
      <c r="G348" s="478"/>
      <c r="H348" s="359"/>
      <c r="I348" s="478"/>
      <c r="J348" s="359"/>
      <c r="K348" s="478"/>
      <c r="L348" s="359"/>
      <c r="M348" s="478"/>
      <c r="N348" s="561"/>
      <c r="O348" s="9">
        <f t="shared" si="23"/>
        <v>0</v>
      </c>
      <c r="P348" s="338"/>
      <c r="Q348" s="10"/>
      <c r="R348" s="63"/>
    </row>
    <row r="349" spans="1:18" x14ac:dyDescent="0.25">
      <c r="A349" s="13">
        <f t="shared" si="22"/>
        <v>97</v>
      </c>
      <c r="B349" s="3"/>
      <c r="C349" s="9"/>
      <c r="D349" s="369"/>
      <c r="E349" s="481"/>
      <c r="F349" s="369"/>
      <c r="G349" s="481"/>
      <c r="H349" s="369"/>
      <c r="I349" s="481"/>
      <c r="J349" s="369"/>
      <c r="K349" s="481"/>
      <c r="L349" s="369"/>
      <c r="M349" s="481"/>
      <c r="N349" s="565"/>
      <c r="O349" s="9">
        <f t="shared" si="23"/>
        <v>0</v>
      </c>
      <c r="P349" s="338"/>
      <c r="Q349" s="10"/>
      <c r="R349" s="63"/>
    </row>
    <row r="350" spans="1:18" x14ac:dyDescent="0.25">
      <c r="A350" s="13">
        <f t="shared" ref="A350:A355" si="24">A349+1</f>
        <v>98</v>
      </c>
      <c r="B350" s="3"/>
      <c r="C350" s="9"/>
      <c r="D350" s="369"/>
      <c r="E350" s="481"/>
      <c r="F350" s="369"/>
      <c r="G350" s="481"/>
      <c r="H350" s="369"/>
      <c r="I350" s="481"/>
      <c r="J350" s="369"/>
      <c r="K350" s="481"/>
      <c r="L350" s="369"/>
      <c r="M350" s="481"/>
      <c r="N350" s="565"/>
      <c r="O350" s="9">
        <f t="shared" si="23"/>
        <v>0</v>
      </c>
      <c r="P350" s="338"/>
      <c r="Q350" s="10"/>
      <c r="R350" s="63"/>
    </row>
    <row r="351" spans="1:18" x14ac:dyDescent="0.25">
      <c r="A351" s="13">
        <f t="shared" si="24"/>
        <v>99</v>
      </c>
      <c r="B351" s="13"/>
      <c r="C351" s="17"/>
      <c r="D351" s="369"/>
      <c r="E351" s="481"/>
      <c r="F351" s="369"/>
      <c r="G351" s="481"/>
      <c r="H351" s="369"/>
      <c r="I351" s="481"/>
      <c r="J351" s="369"/>
      <c r="K351" s="481"/>
      <c r="L351" s="369"/>
      <c r="M351" s="481"/>
      <c r="N351" s="565"/>
      <c r="O351" s="9">
        <f t="shared" si="23"/>
        <v>0</v>
      </c>
      <c r="P351" s="338"/>
      <c r="Q351" s="10"/>
      <c r="R351" s="63"/>
    </row>
    <row r="352" spans="1:18" x14ac:dyDescent="0.25">
      <c r="A352" s="13">
        <f t="shared" si="24"/>
        <v>100</v>
      </c>
      <c r="B352" s="13"/>
      <c r="C352" s="17"/>
      <c r="D352" s="369"/>
      <c r="E352" s="481"/>
      <c r="F352" s="369"/>
      <c r="G352" s="481"/>
      <c r="H352" s="369"/>
      <c r="I352" s="481"/>
      <c r="J352" s="369"/>
      <c r="K352" s="481"/>
      <c r="L352" s="369"/>
      <c r="M352" s="481"/>
      <c r="N352" s="565"/>
      <c r="O352" s="120"/>
      <c r="P352" s="338"/>
      <c r="Q352" s="10"/>
      <c r="R352" s="66"/>
    </row>
    <row r="353" spans="1:18" x14ac:dyDescent="0.25">
      <c r="A353" s="13">
        <f t="shared" si="24"/>
        <v>101</v>
      </c>
      <c r="B353" s="13"/>
      <c r="C353" s="17"/>
      <c r="D353" s="369"/>
      <c r="E353" s="481"/>
      <c r="F353" s="369"/>
      <c r="G353" s="481"/>
      <c r="H353" s="369"/>
      <c r="I353" s="481"/>
      <c r="J353" s="369"/>
      <c r="K353" s="481"/>
      <c r="L353" s="369"/>
      <c r="M353" s="481"/>
      <c r="N353" s="565"/>
      <c r="O353" s="120"/>
      <c r="P353" s="338"/>
      <c r="R353" s="66"/>
    </row>
    <row r="354" spans="1:18" x14ac:dyDescent="0.25">
      <c r="A354" s="13">
        <f t="shared" si="24"/>
        <v>102</v>
      </c>
      <c r="B354" s="13"/>
      <c r="C354" s="17"/>
      <c r="D354" s="369"/>
      <c r="E354" s="481"/>
      <c r="F354" s="369"/>
      <c r="G354" s="481"/>
      <c r="H354" s="369"/>
      <c r="I354" s="481"/>
      <c r="J354" s="369"/>
      <c r="K354" s="481"/>
      <c r="L354" s="369"/>
      <c r="M354" s="481"/>
      <c r="N354" s="565"/>
      <c r="O354" s="120"/>
      <c r="P354" s="338"/>
      <c r="R354" s="66"/>
    </row>
    <row r="355" spans="1:18" x14ac:dyDescent="0.25">
      <c r="A355" s="13">
        <f t="shared" si="24"/>
        <v>103</v>
      </c>
      <c r="B355" s="13"/>
      <c r="C355" s="17"/>
      <c r="D355" s="369"/>
      <c r="E355" s="481"/>
      <c r="F355" s="369"/>
      <c r="G355" s="481"/>
      <c r="H355" s="369"/>
      <c r="I355" s="481"/>
      <c r="J355" s="369"/>
      <c r="K355" s="481"/>
      <c r="L355" s="369"/>
      <c r="M355" s="481"/>
      <c r="N355" s="565"/>
      <c r="O355" s="120"/>
      <c r="P355" s="338"/>
      <c r="R355" s="66"/>
    </row>
    <row r="356" spans="1:18" x14ac:dyDescent="0.25">
      <c r="A356" s="13"/>
      <c r="B356" s="13"/>
      <c r="C356" s="17"/>
      <c r="D356" s="369"/>
      <c r="E356" s="481"/>
      <c r="F356" s="369"/>
      <c r="G356" s="481"/>
      <c r="H356" s="369"/>
      <c r="I356" s="481"/>
      <c r="J356" s="369"/>
      <c r="K356" s="481"/>
      <c r="L356" s="369"/>
      <c r="M356" s="481"/>
      <c r="N356" s="565"/>
      <c r="O356" s="120"/>
      <c r="P356" s="338"/>
      <c r="R356" s="66"/>
    </row>
    <row r="357" spans="1:18" x14ac:dyDescent="0.25">
      <c r="A357" s="13"/>
      <c r="B357" s="13"/>
      <c r="C357" s="17"/>
      <c r="D357" s="369"/>
      <c r="E357" s="481"/>
      <c r="F357" s="369"/>
      <c r="G357" s="481"/>
      <c r="H357" s="369"/>
      <c r="I357" s="481"/>
      <c r="J357" s="369"/>
      <c r="K357" s="481"/>
      <c r="L357" s="369"/>
      <c r="M357" s="481"/>
      <c r="N357" s="565"/>
      <c r="O357" s="120"/>
      <c r="P357" s="338"/>
      <c r="R357" s="66"/>
    </row>
    <row r="358" spans="1:18" x14ac:dyDescent="0.25">
      <c r="A358" s="13"/>
    </row>
    <row r="359" spans="1:18" x14ac:dyDescent="0.25">
      <c r="A359" s="13"/>
    </row>
    <row r="360" spans="1:18" x14ac:dyDescent="0.25">
      <c r="A360" s="13"/>
    </row>
    <row r="361" spans="1:18" x14ac:dyDescent="0.25">
      <c r="A361" s="13"/>
    </row>
  </sheetData>
  <autoFilter ref="A1:AD18"/>
  <sortState ref="B3:C9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/>
  <dimension ref="A1:I427"/>
  <sheetViews>
    <sheetView topLeftCell="A28" zoomScaleNormal="100" workbookViewId="0">
      <selection activeCell="D36" sqref="D36"/>
    </sheetView>
  </sheetViews>
  <sheetFormatPr baseColWidth="10" defaultRowHeight="15" x14ac:dyDescent="0.25"/>
  <cols>
    <col min="1" max="1" width="4.42578125" style="13" customWidth="1"/>
    <col min="2" max="2" width="51.28515625" style="13" bestFit="1" customWidth="1"/>
    <col min="3" max="3" width="8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9" ht="30" x14ac:dyDescent="0.25">
      <c r="A1" s="128" t="s">
        <v>0</v>
      </c>
      <c r="B1" s="128" t="s">
        <v>705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9" x14ac:dyDescent="0.25">
      <c r="A2" s="3">
        <v>1</v>
      </c>
      <c r="B2" s="314" t="s">
        <v>1048</v>
      </c>
      <c r="C2" s="415">
        <v>4</v>
      </c>
      <c r="D2" s="15">
        <v>1.76</v>
      </c>
      <c r="E2" s="7">
        <v>3</v>
      </c>
      <c r="F2" s="141">
        <f t="shared" ref="F2:F33" si="0">(E2-D2)/(E2)</f>
        <v>0.41333333333333333</v>
      </c>
      <c r="G2" s="142">
        <f t="shared" ref="G2:G33" si="1">D2*C2</f>
        <v>7.04</v>
      </c>
      <c r="H2" s="143">
        <f t="shared" ref="H2:H33" si="2">E2*C2</f>
        <v>12</v>
      </c>
      <c r="I2" s="3"/>
    </row>
    <row r="3" spans="1:9" x14ac:dyDescent="0.25">
      <c r="A3" s="314">
        <f t="shared" ref="A3:A66" si="3">A2+1</f>
        <v>2</v>
      </c>
      <c r="B3" s="314" t="s">
        <v>149</v>
      </c>
      <c r="C3" s="415">
        <v>3</v>
      </c>
      <c r="D3" s="10">
        <v>4.5</v>
      </c>
      <c r="E3" s="7">
        <v>8</v>
      </c>
      <c r="F3" s="141">
        <f t="shared" si="0"/>
        <v>0.4375</v>
      </c>
      <c r="G3" s="142">
        <f t="shared" si="1"/>
        <v>13.5</v>
      </c>
      <c r="H3" s="143">
        <f t="shared" si="2"/>
        <v>24</v>
      </c>
      <c r="I3" s="3"/>
    </row>
    <row r="4" spans="1:9" x14ac:dyDescent="0.25">
      <c r="A4" s="314">
        <f t="shared" si="3"/>
        <v>3</v>
      </c>
      <c r="B4" s="314" t="s">
        <v>209</v>
      </c>
      <c r="C4" s="415">
        <v>4</v>
      </c>
      <c r="D4" s="10">
        <v>6.2</v>
      </c>
      <c r="E4" s="7">
        <v>12</v>
      </c>
      <c r="F4" s="141">
        <f t="shared" si="0"/>
        <v>0.48333333333333334</v>
      </c>
      <c r="G4" s="142">
        <f t="shared" si="1"/>
        <v>24.8</v>
      </c>
      <c r="H4" s="143">
        <f t="shared" si="2"/>
        <v>48</v>
      </c>
      <c r="I4" s="16"/>
    </row>
    <row r="5" spans="1:9" x14ac:dyDescent="0.25">
      <c r="A5" s="314">
        <f t="shared" si="3"/>
        <v>4</v>
      </c>
      <c r="B5" s="314" t="s">
        <v>649</v>
      </c>
      <c r="C5" s="415">
        <v>1</v>
      </c>
      <c r="D5" s="10">
        <v>25</v>
      </c>
      <c r="E5" s="7">
        <v>85</v>
      </c>
      <c r="F5" s="141">
        <f t="shared" si="0"/>
        <v>0.70588235294117652</v>
      </c>
      <c r="G5" s="142">
        <f t="shared" si="1"/>
        <v>25</v>
      </c>
      <c r="H5" s="143">
        <f t="shared" si="2"/>
        <v>85</v>
      </c>
      <c r="I5" s="3"/>
    </row>
    <row r="6" spans="1:9" x14ac:dyDescent="0.25">
      <c r="A6" s="314">
        <f t="shared" si="3"/>
        <v>5</v>
      </c>
      <c r="B6" s="314" t="s">
        <v>1456</v>
      </c>
      <c r="C6" s="340">
        <v>1</v>
      </c>
      <c r="D6" s="10">
        <v>14</v>
      </c>
      <c r="E6" s="7">
        <v>65</v>
      </c>
      <c r="F6" s="141">
        <f t="shared" si="0"/>
        <v>0.7846153846153846</v>
      </c>
      <c r="G6" s="142">
        <f t="shared" si="1"/>
        <v>14</v>
      </c>
      <c r="H6" s="143">
        <f t="shared" si="2"/>
        <v>65</v>
      </c>
      <c r="I6" s="16"/>
    </row>
    <row r="7" spans="1:9" x14ac:dyDescent="0.25">
      <c r="A7" s="314">
        <f t="shared" si="3"/>
        <v>6</v>
      </c>
      <c r="B7" s="314" t="s">
        <v>1203</v>
      </c>
      <c r="C7" s="341">
        <v>3</v>
      </c>
      <c r="D7" s="15">
        <v>32.5</v>
      </c>
      <c r="E7" s="7">
        <v>55</v>
      </c>
      <c r="F7" s="141">
        <f t="shared" si="0"/>
        <v>0.40909090909090912</v>
      </c>
      <c r="G7" s="142">
        <f t="shared" si="1"/>
        <v>97.5</v>
      </c>
      <c r="H7" s="143">
        <f t="shared" si="2"/>
        <v>165</v>
      </c>
      <c r="I7" s="3"/>
    </row>
    <row r="8" spans="1:9" x14ac:dyDescent="0.25">
      <c r="A8" s="314">
        <f t="shared" si="3"/>
        <v>7</v>
      </c>
      <c r="B8" s="314" t="s">
        <v>795</v>
      </c>
      <c r="C8" s="415">
        <v>5</v>
      </c>
      <c r="D8" s="15">
        <v>25</v>
      </c>
      <c r="E8" s="7">
        <v>38</v>
      </c>
      <c r="F8" s="141">
        <f t="shared" si="0"/>
        <v>0.34210526315789475</v>
      </c>
      <c r="G8" s="142">
        <f t="shared" si="1"/>
        <v>125</v>
      </c>
      <c r="H8" s="143">
        <f t="shared" si="2"/>
        <v>190</v>
      </c>
      <c r="I8" s="3"/>
    </row>
    <row r="9" spans="1:9" x14ac:dyDescent="0.25">
      <c r="A9" s="314">
        <f t="shared" si="3"/>
        <v>8</v>
      </c>
      <c r="B9" s="314" t="s">
        <v>599</v>
      </c>
      <c r="C9" s="413">
        <v>2</v>
      </c>
      <c r="D9" s="405">
        <v>10.199999999999999</v>
      </c>
      <c r="E9" s="44">
        <v>30</v>
      </c>
      <c r="F9" s="141">
        <f t="shared" si="0"/>
        <v>0.66</v>
      </c>
      <c r="G9" s="142">
        <f t="shared" si="1"/>
        <v>20.399999999999999</v>
      </c>
      <c r="H9" s="143">
        <f t="shared" si="2"/>
        <v>60</v>
      </c>
      <c r="I9" s="3"/>
    </row>
    <row r="10" spans="1:9" x14ac:dyDescent="0.25">
      <c r="A10" s="314">
        <f t="shared" si="3"/>
        <v>9</v>
      </c>
      <c r="B10" s="314" t="s">
        <v>698</v>
      </c>
      <c r="C10" s="653">
        <v>1</v>
      </c>
      <c r="D10" s="15">
        <v>11</v>
      </c>
      <c r="E10" s="7">
        <v>20</v>
      </c>
      <c r="F10" s="141">
        <f t="shared" si="0"/>
        <v>0.45</v>
      </c>
      <c r="G10" s="142">
        <f t="shared" si="1"/>
        <v>11</v>
      </c>
      <c r="H10" s="143">
        <f t="shared" si="2"/>
        <v>20</v>
      </c>
      <c r="I10" s="3"/>
    </row>
    <row r="11" spans="1:9" x14ac:dyDescent="0.25">
      <c r="A11" s="314">
        <f t="shared" si="3"/>
        <v>10</v>
      </c>
      <c r="B11" s="314" t="s">
        <v>133</v>
      </c>
      <c r="C11" s="340">
        <v>49</v>
      </c>
      <c r="D11" s="15">
        <v>4.42</v>
      </c>
      <c r="E11" s="7">
        <v>7</v>
      </c>
      <c r="F11" s="141">
        <f t="shared" si="0"/>
        <v>0.36857142857142861</v>
      </c>
      <c r="G11" s="142">
        <f t="shared" si="1"/>
        <v>216.57999999999998</v>
      </c>
      <c r="H11" s="143">
        <f t="shared" si="2"/>
        <v>343</v>
      </c>
      <c r="I11" s="3"/>
    </row>
    <row r="12" spans="1:9" x14ac:dyDescent="0.25">
      <c r="A12" s="314">
        <f t="shared" si="3"/>
        <v>11</v>
      </c>
      <c r="B12" s="314" t="s">
        <v>1311</v>
      </c>
      <c r="C12" s="340">
        <v>1</v>
      </c>
      <c r="D12" s="15">
        <v>65</v>
      </c>
      <c r="E12" s="10">
        <v>110</v>
      </c>
      <c r="F12" s="141">
        <f t="shared" si="0"/>
        <v>0.40909090909090912</v>
      </c>
      <c r="G12" s="142">
        <f t="shared" si="1"/>
        <v>65</v>
      </c>
      <c r="H12" s="143">
        <f t="shared" si="2"/>
        <v>110</v>
      </c>
      <c r="I12" s="3"/>
    </row>
    <row r="13" spans="1:9" x14ac:dyDescent="0.25">
      <c r="A13" s="314">
        <f t="shared" si="3"/>
        <v>12</v>
      </c>
      <c r="B13" s="314" t="s">
        <v>139</v>
      </c>
      <c r="C13" s="340">
        <v>89</v>
      </c>
      <c r="D13" s="15">
        <v>2.1</v>
      </c>
      <c r="E13" s="7">
        <v>4.5</v>
      </c>
      <c r="F13" s="141">
        <f t="shared" si="0"/>
        <v>0.53333333333333333</v>
      </c>
      <c r="G13" s="142">
        <f t="shared" si="1"/>
        <v>186.9</v>
      </c>
      <c r="H13" s="143">
        <f t="shared" si="2"/>
        <v>400.5</v>
      </c>
      <c r="I13" s="3"/>
    </row>
    <row r="14" spans="1:9" x14ac:dyDescent="0.25">
      <c r="A14" s="314">
        <f t="shared" si="3"/>
        <v>13</v>
      </c>
      <c r="B14" s="314" t="s">
        <v>131</v>
      </c>
      <c r="C14" s="340">
        <v>11</v>
      </c>
      <c r="D14" s="15">
        <v>8</v>
      </c>
      <c r="E14" s="7">
        <v>17</v>
      </c>
      <c r="F14" s="141">
        <f t="shared" si="0"/>
        <v>0.52941176470588236</v>
      </c>
      <c r="G14" s="142">
        <f t="shared" si="1"/>
        <v>88</v>
      </c>
      <c r="H14" s="143">
        <f t="shared" si="2"/>
        <v>187</v>
      </c>
      <c r="I14" s="3"/>
    </row>
    <row r="15" spans="1:9" x14ac:dyDescent="0.25">
      <c r="A15" s="314">
        <f t="shared" si="3"/>
        <v>14</v>
      </c>
      <c r="B15" s="314" t="s">
        <v>289</v>
      </c>
      <c r="C15" s="415">
        <v>1</v>
      </c>
      <c r="D15" s="15">
        <v>15</v>
      </c>
      <c r="E15" s="7">
        <v>25</v>
      </c>
      <c r="F15" s="141">
        <f t="shared" si="0"/>
        <v>0.4</v>
      </c>
      <c r="G15" s="142">
        <f t="shared" si="1"/>
        <v>15</v>
      </c>
      <c r="H15" s="143">
        <f t="shared" si="2"/>
        <v>25</v>
      </c>
      <c r="I15" s="3"/>
    </row>
    <row r="16" spans="1:9" x14ac:dyDescent="0.25">
      <c r="A16" s="314">
        <f t="shared" si="3"/>
        <v>15</v>
      </c>
      <c r="B16" s="314" t="s">
        <v>809</v>
      </c>
      <c r="C16" s="415">
        <v>1</v>
      </c>
      <c r="D16" s="15">
        <v>25</v>
      </c>
      <c r="E16" s="7">
        <v>50</v>
      </c>
      <c r="F16" s="141">
        <f t="shared" si="0"/>
        <v>0.5</v>
      </c>
      <c r="G16" s="142">
        <f t="shared" si="1"/>
        <v>25</v>
      </c>
      <c r="H16" s="143">
        <f t="shared" si="2"/>
        <v>50</v>
      </c>
      <c r="I16" s="16"/>
    </row>
    <row r="17" spans="1:9" x14ac:dyDescent="0.25">
      <c r="A17" s="314">
        <f t="shared" si="3"/>
        <v>16</v>
      </c>
      <c r="B17" s="314" t="s">
        <v>533</v>
      </c>
      <c r="C17" s="415">
        <v>0</v>
      </c>
      <c r="D17" s="10">
        <v>30</v>
      </c>
      <c r="E17" s="7">
        <v>47</v>
      </c>
      <c r="F17" s="141">
        <f t="shared" si="0"/>
        <v>0.36170212765957449</v>
      </c>
      <c r="G17" s="142">
        <f t="shared" si="1"/>
        <v>0</v>
      </c>
      <c r="H17" s="143">
        <f t="shared" si="2"/>
        <v>0</v>
      </c>
      <c r="I17" s="3"/>
    </row>
    <row r="18" spans="1:9" x14ac:dyDescent="0.25">
      <c r="A18" s="314">
        <f t="shared" si="3"/>
        <v>17</v>
      </c>
      <c r="B18" s="353" t="s">
        <v>636</v>
      </c>
      <c r="C18" s="413">
        <v>1</v>
      </c>
      <c r="D18" s="404">
        <v>30</v>
      </c>
      <c r="E18" s="448">
        <v>45</v>
      </c>
      <c r="F18" s="141">
        <f t="shared" si="0"/>
        <v>0.33333333333333331</v>
      </c>
      <c r="G18" s="142">
        <f t="shared" si="1"/>
        <v>30</v>
      </c>
      <c r="H18" s="143">
        <f t="shared" si="2"/>
        <v>45</v>
      </c>
      <c r="I18" s="3"/>
    </row>
    <row r="19" spans="1:9" x14ac:dyDescent="0.25">
      <c r="A19" s="314">
        <f t="shared" si="3"/>
        <v>18</v>
      </c>
      <c r="B19" s="314" t="s">
        <v>403</v>
      </c>
      <c r="C19" s="415">
        <v>95</v>
      </c>
      <c r="D19" s="15">
        <v>1.804</v>
      </c>
      <c r="E19" s="7">
        <v>3</v>
      </c>
      <c r="F19" s="141">
        <f t="shared" si="0"/>
        <v>0.39866666666666667</v>
      </c>
      <c r="G19" s="142">
        <f t="shared" si="1"/>
        <v>171.38</v>
      </c>
      <c r="H19" s="143">
        <f t="shared" si="2"/>
        <v>285</v>
      </c>
      <c r="I19" s="16"/>
    </row>
    <row r="20" spans="1:9" x14ac:dyDescent="0.25">
      <c r="A20" s="314">
        <f t="shared" si="3"/>
        <v>19</v>
      </c>
      <c r="B20" s="314" t="s">
        <v>1208</v>
      </c>
      <c r="C20" s="415">
        <v>7</v>
      </c>
      <c r="D20" s="15">
        <v>21.25</v>
      </c>
      <c r="E20" s="7">
        <v>45</v>
      </c>
      <c r="F20" s="141">
        <f t="shared" si="0"/>
        <v>0.52777777777777779</v>
      </c>
      <c r="G20" s="142">
        <f t="shared" si="1"/>
        <v>148.75</v>
      </c>
      <c r="H20" s="143">
        <f t="shared" si="2"/>
        <v>315</v>
      </c>
      <c r="I20" s="3"/>
    </row>
    <row r="21" spans="1:9" x14ac:dyDescent="0.25">
      <c r="A21" s="314">
        <f t="shared" si="3"/>
        <v>20</v>
      </c>
      <c r="B21" s="314" t="s">
        <v>660</v>
      </c>
      <c r="C21" s="658">
        <v>3</v>
      </c>
      <c r="D21" s="10">
        <v>5</v>
      </c>
      <c r="E21" s="7">
        <v>10</v>
      </c>
      <c r="F21" s="141">
        <f t="shared" si="0"/>
        <v>0.5</v>
      </c>
      <c r="G21" s="142">
        <f t="shared" si="1"/>
        <v>15</v>
      </c>
      <c r="H21" s="143">
        <f t="shared" si="2"/>
        <v>30</v>
      </c>
      <c r="I21" s="3"/>
    </row>
    <row r="22" spans="1:9" x14ac:dyDescent="0.25">
      <c r="A22" s="314">
        <f t="shared" si="3"/>
        <v>21</v>
      </c>
      <c r="B22" s="314" t="s">
        <v>33</v>
      </c>
      <c r="C22" s="415">
        <v>119</v>
      </c>
      <c r="D22" s="15">
        <v>2.66</v>
      </c>
      <c r="E22" s="7">
        <v>4.3</v>
      </c>
      <c r="F22" s="141">
        <f t="shared" si="0"/>
        <v>0.38139534883720927</v>
      </c>
      <c r="G22" s="142">
        <f t="shared" si="1"/>
        <v>316.54000000000002</v>
      </c>
      <c r="H22" s="143">
        <f t="shared" si="2"/>
        <v>511.7</v>
      </c>
      <c r="I22" s="16"/>
    </row>
    <row r="23" spans="1:9" x14ac:dyDescent="0.25">
      <c r="A23" s="314">
        <f t="shared" si="3"/>
        <v>22</v>
      </c>
      <c r="B23" s="314" t="s">
        <v>987</v>
      </c>
      <c r="C23" s="340">
        <v>44</v>
      </c>
      <c r="D23" s="15">
        <v>3.4</v>
      </c>
      <c r="E23" s="7">
        <v>7</v>
      </c>
      <c r="F23" s="141">
        <f t="shared" si="0"/>
        <v>0.51428571428571435</v>
      </c>
      <c r="G23" s="142">
        <f t="shared" si="1"/>
        <v>149.6</v>
      </c>
      <c r="H23" s="143">
        <f t="shared" si="2"/>
        <v>308</v>
      </c>
      <c r="I23" s="3"/>
    </row>
    <row r="24" spans="1:9" x14ac:dyDescent="0.25">
      <c r="A24" s="314">
        <f t="shared" si="3"/>
        <v>23</v>
      </c>
      <c r="B24" s="314" t="s">
        <v>183</v>
      </c>
      <c r="C24" s="415">
        <v>100</v>
      </c>
      <c r="D24" s="10">
        <v>0.65</v>
      </c>
      <c r="E24" s="7">
        <v>1.5</v>
      </c>
      <c r="F24" s="141">
        <f t="shared" si="0"/>
        <v>0.56666666666666665</v>
      </c>
      <c r="G24" s="142">
        <f t="shared" si="1"/>
        <v>65</v>
      </c>
      <c r="H24" s="143">
        <f t="shared" si="2"/>
        <v>150</v>
      </c>
      <c r="I24" s="3"/>
    </row>
    <row r="25" spans="1:9" x14ac:dyDescent="0.25">
      <c r="A25" s="314">
        <f t="shared" si="3"/>
        <v>24</v>
      </c>
      <c r="B25" s="314" t="s">
        <v>1155</v>
      </c>
      <c r="C25" s="415">
        <v>29</v>
      </c>
      <c r="D25" s="15">
        <v>3.3730000000000002</v>
      </c>
      <c r="E25" s="7">
        <v>5.2</v>
      </c>
      <c r="F25" s="141">
        <f t="shared" si="0"/>
        <v>0.35134615384615381</v>
      </c>
      <c r="G25" s="142">
        <f t="shared" si="1"/>
        <v>97.817000000000007</v>
      </c>
      <c r="H25" s="143">
        <f t="shared" si="2"/>
        <v>150.80000000000001</v>
      </c>
      <c r="I25" s="3"/>
    </row>
    <row r="26" spans="1:9" x14ac:dyDescent="0.25">
      <c r="A26" s="314">
        <f t="shared" si="3"/>
        <v>25</v>
      </c>
      <c r="B26" s="314" t="s">
        <v>47</v>
      </c>
      <c r="C26" s="414">
        <v>11</v>
      </c>
      <c r="D26" s="15">
        <v>8</v>
      </c>
      <c r="E26" s="7">
        <v>12</v>
      </c>
      <c r="F26" s="141">
        <f t="shared" si="0"/>
        <v>0.33333333333333331</v>
      </c>
      <c r="G26" s="142">
        <f t="shared" si="1"/>
        <v>88</v>
      </c>
      <c r="H26" s="143">
        <f t="shared" si="2"/>
        <v>132</v>
      </c>
      <c r="I26" s="3"/>
    </row>
    <row r="27" spans="1:9" x14ac:dyDescent="0.25">
      <c r="A27" s="314">
        <f t="shared" si="3"/>
        <v>26</v>
      </c>
      <c r="B27" s="314" t="s">
        <v>1049</v>
      </c>
      <c r="C27" s="415">
        <v>5</v>
      </c>
      <c r="D27" s="10">
        <v>4.5</v>
      </c>
      <c r="E27" s="7">
        <v>8</v>
      </c>
      <c r="F27" s="141">
        <f t="shared" si="0"/>
        <v>0.4375</v>
      </c>
      <c r="G27" s="142">
        <f t="shared" si="1"/>
        <v>22.5</v>
      </c>
      <c r="H27" s="143">
        <f t="shared" si="2"/>
        <v>40</v>
      </c>
      <c r="I27" s="47"/>
    </row>
    <row r="28" spans="1:9" ht="15.75" x14ac:dyDescent="0.25">
      <c r="A28" s="314">
        <f t="shared" si="3"/>
        <v>27</v>
      </c>
      <c r="B28" s="314" t="s">
        <v>1438</v>
      </c>
      <c r="C28" s="415">
        <v>5</v>
      </c>
      <c r="D28" s="15">
        <v>17</v>
      </c>
      <c r="E28" s="10">
        <v>30</v>
      </c>
      <c r="F28" s="141">
        <f t="shared" si="0"/>
        <v>0.43333333333333335</v>
      </c>
      <c r="G28" s="142">
        <f t="shared" si="1"/>
        <v>85</v>
      </c>
      <c r="H28" s="143">
        <f t="shared" si="2"/>
        <v>150</v>
      </c>
      <c r="I28" s="164"/>
    </row>
    <row r="29" spans="1:9" x14ac:dyDescent="0.25">
      <c r="A29" s="314">
        <f t="shared" si="3"/>
        <v>28</v>
      </c>
      <c r="B29" s="314" t="s">
        <v>457</v>
      </c>
      <c r="C29" s="415">
        <v>4</v>
      </c>
      <c r="D29" s="10">
        <v>3.58</v>
      </c>
      <c r="E29" s="7">
        <v>7</v>
      </c>
      <c r="F29" s="141">
        <f t="shared" si="0"/>
        <v>0.48857142857142855</v>
      </c>
      <c r="G29" s="142">
        <f t="shared" si="1"/>
        <v>14.32</v>
      </c>
      <c r="H29" s="143">
        <f t="shared" si="2"/>
        <v>28</v>
      </c>
      <c r="I29" s="3"/>
    </row>
    <row r="30" spans="1:9" x14ac:dyDescent="0.25">
      <c r="A30" s="314">
        <f t="shared" si="3"/>
        <v>29</v>
      </c>
      <c r="B30" s="314" t="s">
        <v>1193</v>
      </c>
      <c r="C30" s="415">
        <v>2</v>
      </c>
      <c r="D30" s="15">
        <v>86</v>
      </c>
      <c r="E30" s="7">
        <v>132</v>
      </c>
      <c r="F30" s="141">
        <f t="shared" si="0"/>
        <v>0.34848484848484851</v>
      </c>
      <c r="G30" s="142">
        <f t="shared" si="1"/>
        <v>172</v>
      </c>
      <c r="H30" s="143">
        <f t="shared" si="2"/>
        <v>264</v>
      </c>
      <c r="I30" s="16"/>
    </row>
    <row r="31" spans="1:9" x14ac:dyDescent="0.25">
      <c r="A31" s="314">
        <f t="shared" si="3"/>
        <v>30</v>
      </c>
      <c r="B31" s="314" t="s">
        <v>720</v>
      </c>
      <c r="C31" s="658">
        <v>2</v>
      </c>
      <c r="D31" s="15">
        <v>15</v>
      </c>
      <c r="E31" s="10">
        <v>30</v>
      </c>
      <c r="F31" s="141">
        <f t="shared" si="0"/>
        <v>0.5</v>
      </c>
      <c r="G31" s="142">
        <f t="shared" si="1"/>
        <v>30</v>
      </c>
      <c r="H31" s="143">
        <f t="shared" si="2"/>
        <v>60</v>
      </c>
      <c r="I31" s="16"/>
    </row>
    <row r="32" spans="1:9" x14ac:dyDescent="0.25">
      <c r="A32" s="314">
        <f t="shared" si="3"/>
        <v>31</v>
      </c>
      <c r="B32" s="314" t="s">
        <v>501</v>
      </c>
      <c r="C32" s="594">
        <v>1</v>
      </c>
      <c r="D32" s="15">
        <v>1.7809999999999999</v>
      </c>
      <c r="E32" s="7">
        <v>3</v>
      </c>
      <c r="F32" s="141">
        <f t="shared" si="0"/>
        <v>0.40633333333333338</v>
      </c>
      <c r="G32" s="142">
        <f t="shared" si="1"/>
        <v>1.7809999999999999</v>
      </c>
      <c r="H32" s="143">
        <f t="shared" si="2"/>
        <v>3</v>
      </c>
      <c r="I32" s="38"/>
    </row>
    <row r="33" spans="1:9" x14ac:dyDescent="0.25">
      <c r="A33" s="314">
        <f t="shared" si="3"/>
        <v>32</v>
      </c>
      <c r="B33" s="314" t="s">
        <v>1206</v>
      </c>
      <c r="C33" s="415">
        <v>3</v>
      </c>
      <c r="D33" s="10">
        <v>23</v>
      </c>
      <c r="E33" s="7">
        <v>35</v>
      </c>
      <c r="F33" s="141">
        <f t="shared" si="0"/>
        <v>0.34285714285714286</v>
      </c>
      <c r="G33" s="142">
        <f t="shared" si="1"/>
        <v>69</v>
      </c>
      <c r="H33" s="143">
        <f t="shared" si="2"/>
        <v>105</v>
      </c>
      <c r="I33" s="38"/>
    </row>
    <row r="34" spans="1:9" x14ac:dyDescent="0.25">
      <c r="A34" s="314">
        <f t="shared" si="3"/>
        <v>33</v>
      </c>
      <c r="B34" s="314" t="s">
        <v>701</v>
      </c>
      <c r="C34" s="415">
        <v>35</v>
      </c>
      <c r="D34" s="15">
        <v>2.8</v>
      </c>
      <c r="E34" s="7">
        <v>5</v>
      </c>
      <c r="F34" s="141">
        <f t="shared" ref="F34:F65" si="4">(E34-D34)/(E34)</f>
        <v>0.44000000000000006</v>
      </c>
      <c r="G34" s="142">
        <f t="shared" ref="G34:G65" si="5">D34*C34</f>
        <v>98</v>
      </c>
      <c r="H34" s="143">
        <f t="shared" ref="H34:H65" si="6">E34*C34</f>
        <v>175</v>
      </c>
    </row>
    <row r="35" spans="1:9" x14ac:dyDescent="0.25">
      <c r="A35" s="314">
        <f t="shared" si="3"/>
        <v>34</v>
      </c>
      <c r="B35" s="314" t="s">
        <v>702</v>
      </c>
      <c r="C35" s="415">
        <v>40</v>
      </c>
      <c r="D35" s="27">
        <v>3.13</v>
      </c>
      <c r="E35" s="44">
        <v>5</v>
      </c>
      <c r="F35" s="141">
        <f t="shared" si="4"/>
        <v>0.374</v>
      </c>
      <c r="G35" s="142">
        <f t="shared" si="5"/>
        <v>125.19999999999999</v>
      </c>
      <c r="H35" s="143">
        <f t="shared" si="6"/>
        <v>200</v>
      </c>
    </row>
    <row r="36" spans="1:9" x14ac:dyDescent="0.25">
      <c r="A36" s="314">
        <f t="shared" si="3"/>
        <v>35</v>
      </c>
      <c r="B36" s="314" t="s">
        <v>1352</v>
      </c>
      <c r="C36" s="280">
        <v>3</v>
      </c>
      <c r="D36" s="15">
        <v>35.200000000000003</v>
      </c>
      <c r="E36" s="7">
        <v>59</v>
      </c>
      <c r="F36" s="141">
        <f t="shared" si="4"/>
        <v>0.40338983050847455</v>
      </c>
      <c r="G36" s="142">
        <f t="shared" si="5"/>
        <v>105.60000000000001</v>
      </c>
      <c r="H36" s="143">
        <f t="shared" si="6"/>
        <v>177</v>
      </c>
    </row>
    <row r="37" spans="1:9" x14ac:dyDescent="0.25">
      <c r="A37" s="314">
        <f t="shared" si="3"/>
        <v>36</v>
      </c>
      <c r="B37" s="314" t="s">
        <v>1185</v>
      </c>
      <c r="C37" s="415">
        <v>1</v>
      </c>
      <c r="D37" s="15">
        <v>40</v>
      </c>
      <c r="E37" s="10">
        <v>95</v>
      </c>
      <c r="F37" s="141">
        <f t="shared" si="4"/>
        <v>0.57894736842105265</v>
      </c>
      <c r="G37" s="142">
        <f t="shared" si="5"/>
        <v>40</v>
      </c>
      <c r="H37" s="143">
        <f t="shared" si="6"/>
        <v>95</v>
      </c>
    </row>
    <row r="38" spans="1:9" x14ac:dyDescent="0.25">
      <c r="A38" s="314">
        <f t="shared" si="3"/>
        <v>37</v>
      </c>
      <c r="B38" s="314" t="s">
        <v>1190</v>
      </c>
      <c r="C38" s="280">
        <v>56</v>
      </c>
      <c r="D38" s="15">
        <v>0.3</v>
      </c>
      <c r="E38" s="7">
        <v>1</v>
      </c>
      <c r="F38" s="141">
        <f t="shared" si="4"/>
        <v>0.7</v>
      </c>
      <c r="G38" s="142">
        <f t="shared" si="5"/>
        <v>16.8</v>
      </c>
      <c r="H38" s="143">
        <f t="shared" si="6"/>
        <v>56</v>
      </c>
    </row>
    <row r="39" spans="1:9" x14ac:dyDescent="0.25">
      <c r="A39" s="314">
        <f t="shared" si="3"/>
        <v>38</v>
      </c>
      <c r="B39" s="314" t="s">
        <v>1050</v>
      </c>
      <c r="C39" s="415">
        <v>64</v>
      </c>
      <c r="D39" s="10">
        <v>2.0659999999999998</v>
      </c>
      <c r="E39" s="7">
        <v>3.5</v>
      </c>
      <c r="F39" s="141">
        <f t="shared" si="4"/>
        <v>0.40971428571428575</v>
      </c>
      <c r="G39" s="142">
        <f t="shared" si="5"/>
        <v>132.22399999999999</v>
      </c>
      <c r="H39" s="143">
        <f t="shared" si="6"/>
        <v>224</v>
      </c>
    </row>
    <row r="40" spans="1:9" x14ac:dyDescent="0.25">
      <c r="A40" s="314">
        <f t="shared" si="3"/>
        <v>39</v>
      </c>
      <c r="B40" s="314" t="s">
        <v>1115</v>
      </c>
      <c r="C40" s="341">
        <v>2</v>
      </c>
      <c r="D40" s="15">
        <v>14</v>
      </c>
      <c r="E40" s="7">
        <v>28</v>
      </c>
      <c r="F40" s="141">
        <f t="shared" si="4"/>
        <v>0.5</v>
      </c>
      <c r="G40" s="142">
        <f t="shared" si="5"/>
        <v>28</v>
      </c>
      <c r="H40" s="143">
        <f t="shared" si="6"/>
        <v>56</v>
      </c>
    </row>
    <row r="41" spans="1:9" x14ac:dyDescent="0.25">
      <c r="A41" s="314">
        <f t="shared" si="3"/>
        <v>40</v>
      </c>
      <c r="B41" s="4" t="s">
        <v>1051</v>
      </c>
      <c r="C41" s="415">
        <v>2</v>
      </c>
      <c r="D41" s="15">
        <v>20</v>
      </c>
      <c r="E41" s="7">
        <v>90</v>
      </c>
      <c r="F41" s="141">
        <f t="shared" si="4"/>
        <v>0.77777777777777779</v>
      </c>
      <c r="G41" s="142">
        <f t="shared" si="5"/>
        <v>40</v>
      </c>
      <c r="H41" s="143">
        <f t="shared" si="6"/>
        <v>180</v>
      </c>
    </row>
    <row r="42" spans="1:9" x14ac:dyDescent="0.25">
      <c r="A42" s="314">
        <f t="shared" si="3"/>
        <v>41</v>
      </c>
      <c r="B42" s="314" t="s">
        <v>1440</v>
      </c>
      <c r="C42" s="340">
        <v>1</v>
      </c>
      <c r="D42" s="15">
        <v>16.399999999999999</v>
      </c>
      <c r="E42" s="7">
        <v>60</v>
      </c>
      <c r="F42" s="141">
        <f t="shared" si="4"/>
        <v>0.72666666666666668</v>
      </c>
      <c r="G42" s="142">
        <f t="shared" si="5"/>
        <v>16.399999999999999</v>
      </c>
      <c r="H42" s="143">
        <f t="shared" si="6"/>
        <v>60</v>
      </c>
    </row>
    <row r="43" spans="1:9" x14ac:dyDescent="0.25">
      <c r="A43" s="314">
        <f t="shared" si="3"/>
        <v>42</v>
      </c>
      <c r="B43" s="314" t="s">
        <v>801</v>
      </c>
      <c r="C43" s="415">
        <v>1</v>
      </c>
      <c r="D43" s="15">
        <v>23</v>
      </c>
      <c r="E43" s="10">
        <v>37</v>
      </c>
      <c r="F43" s="141">
        <f t="shared" si="4"/>
        <v>0.3783783783783784</v>
      </c>
      <c r="G43" s="142">
        <f t="shared" si="5"/>
        <v>23</v>
      </c>
      <c r="H43" s="143">
        <f t="shared" si="6"/>
        <v>37</v>
      </c>
    </row>
    <row r="44" spans="1:9" x14ac:dyDescent="0.25">
      <c r="A44" s="314">
        <f t="shared" si="3"/>
        <v>43</v>
      </c>
      <c r="B44" s="314" t="s">
        <v>1333</v>
      </c>
      <c r="C44" s="280">
        <v>2</v>
      </c>
      <c r="D44" s="15">
        <v>35</v>
      </c>
      <c r="E44" s="7">
        <v>57</v>
      </c>
      <c r="F44" s="141">
        <f t="shared" si="4"/>
        <v>0.38596491228070173</v>
      </c>
      <c r="G44" s="142">
        <f t="shared" si="5"/>
        <v>70</v>
      </c>
      <c r="H44" s="143">
        <f t="shared" si="6"/>
        <v>114</v>
      </c>
    </row>
    <row r="45" spans="1:9" x14ac:dyDescent="0.25">
      <c r="A45" s="314">
        <f t="shared" si="3"/>
        <v>44</v>
      </c>
      <c r="B45" s="314" t="s">
        <v>1324</v>
      </c>
      <c r="C45" s="415">
        <v>1</v>
      </c>
      <c r="D45" s="15">
        <v>115</v>
      </c>
      <c r="E45" s="10">
        <v>168</v>
      </c>
      <c r="F45" s="141">
        <f t="shared" si="4"/>
        <v>0.31547619047619047</v>
      </c>
      <c r="G45" s="142">
        <f t="shared" si="5"/>
        <v>115</v>
      </c>
      <c r="H45" s="143">
        <f t="shared" si="6"/>
        <v>168</v>
      </c>
    </row>
    <row r="46" spans="1:9" x14ac:dyDescent="0.25">
      <c r="A46" s="314">
        <f t="shared" si="3"/>
        <v>45</v>
      </c>
      <c r="B46" s="314" t="s">
        <v>1458</v>
      </c>
      <c r="C46" s="340">
        <v>1</v>
      </c>
      <c r="D46" s="10">
        <v>17</v>
      </c>
      <c r="E46" s="7">
        <v>60</v>
      </c>
      <c r="F46" s="141">
        <f t="shared" si="4"/>
        <v>0.71666666666666667</v>
      </c>
      <c r="G46" s="142">
        <f t="shared" si="5"/>
        <v>17</v>
      </c>
      <c r="H46" s="143">
        <f t="shared" si="6"/>
        <v>60</v>
      </c>
    </row>
    <row r="47" spans="1:9" x14ac:dyDescent="0.25">
      <c r="A47" s="314">
        <f t="shared" si="3"/>
        <v>46</v>
      </c>
      <c r="B47" s="535" t="s">
        <v>1301</v>
      </c>
      <c r="C47" s="415">
        <v>2</v>
      </c>
      <c r="D47" s="15">
        <v>16.600000000000001</v>
      </c>
      <c r="E47" s="404">
        <v>26</v>
      </c>
      <c r="F47" s="141">
        <f t="shared" si="4"/>
        <v>0.36153846153846148</v>
      </c>
      <c r="G47" s="142">
        <f t="shared" si="5"/>
        <v>33.200000000000003</v>
      </c>
      <c r="H47" s="143">
        <f t="shared" si="6"/>
        <v>52</v>
      </c>
    </row>
    <row r="48" spans="1:9" x14ac:dyDescent="0.25">
      <c r="A48" s="314">
        <f t="shared" si="3"/>
        <v>47</v>
      </c>
      <c r="B48" s="353" t="s">
        <v>1302</v>
      </c>
      <c r="C48" s="415">
        <v>3</v>
      </c>
      <c r="D48" s="404">
        <v>9.6</v>
      </c>
      <c r="E48" s="448">
        <v>17</v>
      </c>
      <c r="F48" s="141">
        <f t="shared" si="4"/>
        <v>0.43529411764705883</v>
      </c>
      <c r="G48" s="142">
        <f t="shared" si="5"/>
        <v>28.799999999999997</v>
      </c>
      <c r="H48" s="143">
        <f t="shared" si="6"/>
        <v>51</v>
      </c>
    </row>
    <row r="49" spans="1:8" x14ac:dyDescent="0.25">
      <c r="A49" s="314">
        <f t="shared" si="3"/>
        <v>48</v>
      </c>
      <c r="B49" s="314" t="s">
        <v>227</v>
      </c>
      <c r="C49" s="415">
        <v>4</v>
      </c>
      <c r="D49" s="10">
        <v>8.1999999999999993</v>
      </c>
      <c r="E49" s="7">
        <v>15</v>
      </c>
      <c r="F49" s="141">
        <f t="shared" si="4"/>
        <v>0.45333333333333337</v>
      </c>
      <c r="G49" s="142">
        <f t="shared" si="5"/>
        <v>32.799999999999997</v>
      </c>
      <c r="H49" s="143">
        <f t="shared" si="6"/>
        <v>60</v>
      </c>
    </row>
    <row r="50" spans="1:8" x14ac:dyDescent="0.25">
      <c r="A50" s="314">
        <f t="shared" si="3"/>
        <v>49</v>
      </c>
      <c r="B50" s="314" t="s">
        <v>263</v>
      </c>
      <c r="C50" s="415">
        <v>2</v>
      </c>
      <c r="D50" s="10">
        <v>9.1</v>
      </c>
      <c r="E50" s="7">
        <v>17</v>
      </c>
      <c r="F50" s="141">
        <f t="shared" si="4"/>
        <v>0.46470588235294119</v>
      </c>
      <c r="G50" s="142">
        <f t="shared" si="5"/>
        <v>18.2</v>
      </c>
      <c r="H50" s="143">
        <f t="shared" si="6"/>
        <v>34</v>
      </c>
    </row>
    <row r="51" spans="1:8" x14ac:dyDescent="0.25">
      <c r="A51" s="314">
        <f t="shared" si="3"/>
        <v>50</v>
      </c>
      <c r="B51" s="314" t="s">
        <v>264</v>
      </c>
      <c r="C51" s="415">
        <v>1</v>
      </c>
      <c r="D51" s="10">
        <v>8.8000000000000007</v>
      </c>
      <c r="E51" s="7">
        <v>15</v>
      </c>
      <c r="F51" s="141">
        <f t="shared" si="4"/>
        <v>0.41333333333333327</v>
      </c>
      <c r="G51" s="142">
        <f t="shared" si="5"/>
        <v>8.8000000000000007</v>
      </c>
      <c r="H51" s="143">
        <f t="shared" si="6"/>
        <v>15</v>
      </c>
    </row>
    <row r="52" spans="1:8" x14ac:dyDescent="0.25">
      <c r="A52" s="314">
        <f t="shared" si="3"/>
        <v>51</v>
      </c>
      <c r="B52" s="314" t="s">
        <v>1052</v>
      </c>
      <c r="C52" s="415">
        <v>2</v>
      </c>
      <c r="D52" s="15">
        <v>4.34</v>
      </c>
      <c r="E52" s="7">
        <v>10</v>
      </c>
      <c r="F52" s="141">
        <f t="shared" si="4"/>
        <v>0.56600000000000006</v>
      </c>
      <c r="G52" s="142">
        <f t="shared" si="5"/>
        <v>8.68</v>
      </c>
      <c r="H52" s="143">
        <f t="shared" si="6"/>
        <v>20</v>
      </c>
    </row>
    <row r="53" spans="1:8" x14ac:dyDescent="0.25">
      <c r="A53" s="314">
        <f t="shared" si="3"/>
        <v>52</v>
      </c>
      <c r="B53" s="314" t="s">
        <v>758</v>
      </c>
      <c r="C53" s="415">
        <v>17</v>
      </c>
      <c r="D53" s="15">
        <v>1.75</v>
      </c>
      <c r="E53" s="10">
        <v>3</v>
      </c>
      <c r="F53" s="141">
        <f t="shared" si="4"/>
        <v>0.41666666666666669</v>
      </c>
      <c r="G53" s="142">
        <f t="shared" si="5"/>
        <v>29.75</v>
      </c>
      <c r="H53" s="143">
        <f t="shared" si="6"/>
        <v>51</v>
      </c>
    </row>
    <row r="54" spans="1:8" x14ac:dyDescent="0.25">
      <c r="A54" s="314">
        <f t="shared" si="3"/>
        <v>53</v>
      </c>
      <c r="B54" s="314" t="s">
        <v>759</v>
      </c>
      <c r="C54" s="415">
        <v>32</v>
      </c>
      <c r="D54" s="15">
        <v>1.75</v>
      </c>
      <c r="E54" s="7">
        <v>3</v>
      </c>
      <c r="F54" s="141">
        <f t="shared" si="4"/>
        <v>0.41666666666666669</v>
      </c>
      <c r="G54" s="142">
        <f t="shared" si="5"/>
        <v>56</v>
      </c>
      <c r="H54" s="143">
        <f t="shared" si="6"/>
        <v>96</v>
      </c>
    </row>
    <row r="55" spans="1:8" x14ac:dyDescent="0.25">
      <c r="A55" s="314">
        <f t="shared" si="3"/>
        <v>54</v>
      </c>
      <c r="B55" s="314" t="s">
        <v>1053</v>
      </c>
      <c r="C55" s="415">
        <v>2</v>
      </c>
      <c r="D55" s="15">
        <v>20.86</v>
      </c>
      <c r="E55" s="7">
        <v>35</v>
      </c>
      <c r="F55" s="141">
        <f t="shared" si="4"/>
        <v>0.40400000000000003</v>
      </c>
      <c r="G55" s="142">
        <f t="shared" si="5"/>
        <v>41.72</v>
      </c>
      <c r="H55" s="143">
        <f t="shared" si="6"/>
        <v>70</v>
      </c>
    </row>
    <row r="56" spans="1:8" x14ac:dyDescent="0.25">
      <c r="A56" s="314">
        <f t="shared" si="3"/>
        <v>55</v>
      </c>
      <c r="B56" s="314" t="s">
        <v>551</v>
      </c>
      <c r="C56" s="653">
        <v>2.12</v>
      </c>
      <c r="D56" s="10">
        <v>21.5</v>
      </c>
      <c r="E56" s="7">
        <v>35</v>
      </c>
      <c r="F56" s="141">
        <f t="shared" si="4"/>
        <v>0.38571428571428573</v>
      </c>
      <c r="G56" s="142">
        <f t="shared" si="5"/>
        <v>45.580000000000005</v>
      </c>
      <c r="H56" s="143">
        <f t="shared" si="6"/>
        <v>74.2</v>
      </c>
    </row>
    <row r="57" spans="1:8" x14ac:dyDescent="0.25">
      <c r="A57" s="314">
        <f t="shared" si="3"/>
        <v>56</v>
      </c>
      <c r="B57" s="314" t="s">
        <v>1343</v>
      </c>
      <c r="C57" s="415">
        <v>1</v>
      </c>
      <c r="D57" s="15">
        <v>62</v>
      </c>
      <c r="E57" s="7">
        <v>100</v>
      </c>
      <c r="F57" s="141">
        <f t="shared" si="4"/>
        <v>0.38</v>
      </c>
      <c r="G57" s="142">
        <f t="shared" si="5"/>
        <v>62</v>
      </c>
      <c r="H57" s="143">
        <f t="shared" si="6"/>
        <v>100</v>
      </c>
    </row>
    <row r="58" spans="1:8" x14ac:dyDescent="0.25">
      <c r="A58" s="314">
        <f t="shared" si="3"/>
        <v>57</v>
      </c>
      <c r="B58" s="314" t="s">
        <v>1340</v>
      </c>
      <c r="C58" s="280">
        <v>1</v>
      </c>
      <c r="D58" s="10">
        <v>62</v>
      </c>
      <c r="E58" s="7">
        <v>100</v>
      </c>
      <c r="F58" s="141">
        <f t="shared" si="4"/>
        <v>0.38</v>
      </c>
      <c r="G58" s="142">
        <f t="shared" si="5"/>
        <v>62</v>
      </c>
      <c r="H58" s="143">
        <f t="shared" si="6"/>
        <v>100</v>
      </c>
    </row>
    <row r="59" spans="1:8" x14ac:dyDescent="0.25">
      <c r="A59" s="314">
        <f t="shared" si="3"/>
        <v>58</v>
      </c>
      <c r="B59" s="314" t="s">
        <v>1341</v>
      </c>
      <c r="C59" s="280">
        <v>1</v>
      </c>
      <c r="D59" s="15">
        <v>62</v>
      </c>
      <c r="E59" s="10">
        <v>100</v>
      </c>
      <c r="F59" s="141">
        <f t="shared" si="4"/>
        <v>0.38</v>
      </c>
      <c r="G59" s="142">
        <f t="shared" si="5"/>
        <v>62</v>
      </c>
      <c r="H59" s="143">
        <f t="shared" si="6"/>
        <v>100</v>
      </c>
    </row>
    <row r="60" spans="1:8" x14ac:dyDescent="0.25">
      <c r="A60" s="314">
        <f t="shared" si="3"/>
        <v>59</v>
      </c>
      <c r="B60" s="314" t="s">
        <v>1342</v>
      </c>
      <c r="C60" s="340">
        <v>0</v>
      </c>
      <c r="D60" s="15">
        <v>62</v>
      </c>
      <c r="E60" s="7">
        <v>100</v>
      </c>
      <c r="F60" s="141">
        <f t="shared" si="4"/>
        <v>0.38</v>
      </c>
      <c r="G60" s="142">
        <f t="shared" si="5"/>
        <v>0</v>
      </c>
      <c r="H60" s="143">
        <f t="shared" si="6"/>
        <v>0</v>
      </c>
    </row>
    <row r="61" spans="1:8" x14ac:dyDescent="0.25">
      <c r="A61" s="314">
        <f t="shared" si="3"/>
        <v>60</v>
      </c>
      <c r="B61" s="4" t="s">
        <v>1345</v>
      </c>
      <c r="C61" s="340">
        <v>1</v>
      </c>
      <c r="D61" s="15">
        <v>62</v>
      </c>
      <c r="E61" s="7">
        <v>100</v>
      </c>
      <c r="F61" s="141">
        <f t="shared" si="4"/>
        <v>0.38</v>
      </c>
      <c r="G61" s="142">
        <f t="shared" si="5"/>
        <v>62</v>
      </c>
      <c r="H61" s="143">
        <f t="shared" si="6"/>
        <v>100</v>
      </c>
    </row>
    <row r="62" spans="1:8" x14ac:dyDescent="0.25">
      <c r="A62" s="314">
        <f t="shared" si="3"/>
        <v>61</v>
      </c>
      <c r="B62" s="314" t="s">
        <v>1344</v>
      </c>
      <c r="C62" s="415">
        <v>1</v>
      </c>
      <c r="D62" s="15">
        <v>62</v>
      </c>
      <c r="E62" s="7">
        <v>100</v>
      </c>
      <c r="F62" s="141">
        <f t="shared" si="4"/>
        <v>0.38</v>
      </c>
      <c r="G62" s="142">
        <f t="shared" si="5"/>
        <v>62</v>
      </c>
      <c r="H62" s="143">
        <f t="shared" si="6"/>
        <v>100</v>
      </c>
    </row>
    <row r="63" spans="1:8" x14ac:dyDescent="0.25">
      <c r="A63" s="314">
        <f t="shared" si="3"/>
        <v>62</v>
      </c>
      <c r="B63" s="314" t="s">
        <v>35</v>
      </c>
      <c r="C63" s="653">
        <v>4</v>
      </c>
      <c r="D63" s="15">
        <v>15.78</v>
      </c>
      <c r="E63" s="7">
        <v>23</v>
      </c>
      <c r="F63" s="141">
        <f t="shared" si="4"/>
        <v>0.31391304347826088</v>
      </c>
      <c r="G63" s="142">
        <f t="shared" si="5"/>
        <v>63.12</v>
      </c>
      <c r="H63" s="143">
        <f t="shared" si="6"/>
        <v>92</v>
      </c>
    </row>
    <row r="64" spans="1:8" x14ac:dyDescent="0.25">
      <c r="A64" s="314">
        <f t="shared" si="3"/>
        <v>63</v>
      </c>
      <c r="B64" s="314" t="s">
        <v>302</v>
      </c>
      <c r="C64" s="653">
        <v>5</v>
      </c>
      <c r="D64" s="15">
        <v>15.78</v>
      </c>
      <c r="E64" s="7">
        <v>23</v>
      </c>
      <c r="F64" s="141">
        <f t="shared" si="4"/>
        <v>0.31391304347826088</v>
      </c>
      <c r="G64" s="142">
        <f t="shared" si="5"/>
        <v>78.899999999999991</v>
      </c>
      <c r="H64" s="143">
        <f t="shared" si="6"/>
        <v>115</v>
      </c>
    </row>
    <row r="65" spans="1:8" x14ac:dyDescent="0.25">
      <c r="A65" s="314">
        <f t="shared" si="3"/>
        <v>64</v>
      </c>
      <c r="B65" s="314" t="s">
        <v>827</v>
      </c>
      <c r="C65" s="340">
        <v>4</v>
      </c>
      <c r="D65" s="15">
        <v>15.78</v>
      </c>
      <c r="E65" s="7">
        <v>23</v>
      </c>
      <c r="F65" s="141">
        <f t="shared" si="4"/>
        <v>0.31391304347826088</v>
      </c>
      <c r="G65" s="142">
        <f t="shared" si="5"/>
        <v>63.12</v>
      </c>
      <c r="H65" s="143">
        <f t="shared" si="6"/>
        <v>92</v>
      </c>
    </row>
    <row r="66" spans="1:8" x14ac:dyDescent="0.25">
      <c r="A66" s="314">
        <f t="shared" si="3"/>
        <v>65</v>
      </c>
      <c r="B66" s="314" t="s">
        <v>208</v>
      </c>
      <c r="C66" s="340">
        <v>3</v>
      </c>
      <c r="D66" s="15">
        <v>15.78</v>
      </c>
      <c r="E66" s="7">
        <v>23</v>
      </c>
      <c r="F66" s="141">
        <f t="shared" ref="F66:F97" si="7">(E66-D66)/(E66)</f>
        <v>0.31391304347826088</v>
      </c>
      <c r="G66" s="142">
        <f t="shared" ref="G66:G97" si="8">D66*C66</f>
        <v>47.339999999999996</v>
      </c>
      <c r="H66" s="143">
        <f t="shared" ref="H66:H97" si="9">E66*C66</f>
        <v>69</v>
      </c>
    </row>
    <row r="67" spans="1:8" x14ac:dyDescent="0.25">
      <c r="A67" s="314">
        <f>A66+1</f>
        <v>66</v>
      </c>
      <c r="B67" s="314" t="s">
        <v>828</v>
      </c>
      <c r="C67" s="340">
        <v>4</v>
      </c>
      <c r="D67" s="15">
        <v>15.8</v>
      </c>
      <c r="E67" s="7">
        <v>23</v>
      </c>
      <c r="F67" s="141">
        <f t="shared" si="7"/>
        <v>0.31304347826086953</v>
      </c>
      <c r="G67" s="142">
        <f t="shared" si="8"/>
        <v>63.2</v>
      </c>
      <c r="H67" s="143">
        <f t="shared" si="9"/>
        <v>92</v>
      </c>
    </row>
    <row r="68" spans="1:8" x14ac:dyDescent="0.25">
      <c r="A68" s="314">
        <f t="shared" ref="A68:A117" si="10">A67+1</f>
        <v>67</v>
      </c>
      <c r="B68" s="4" t="s">
        <v>176</v>
      </c>
      <c r="C68" s="340">
        <v>9</v>
      </c>
      <c r="D68" s="10">
        <v>6.5</v>
      </c>
      <c r="E68" s="7">
        <v>12</v>
      </c>
      <c r="F68" s="141">
        <f t="shared" si="7"/>
        <v>0.45833333333333331</v>
      </c>
      <c r="G68" s="142">
        <f t="shared" si="8"/>
        <v>58.5</v>
      </c>
      <c r="H68" s="143">
        <f t="shared" si="9"/>
        <v>108</v>
      </c>
    </row>
    <row r="69" spans="1:8" x14ac:dyDescent="0.25">
      <c r="A69" s="314">
        <f t="shared" si="10"/>
        <v>68</v>
      </c>
      <c r="B69" s="314" t="s">
        <v>855</v>
      </c>
      <c r="C69" s="415">
        <v>26</v>
      </c>
      <c r="D69" s="15">
        <v>2.67</v>
      </c>
      <c r="E69" s="7">
        <v>5</v>
      </c>
      <c r="F69" s="141">
        <f t="shared" si="7"/>
        <v>0.46600000000000003</v>
      </c>
      <c r="G69" s="142">
        <f t="shared" si="8"/>
        <v>69.42</v>
      </c>
      <c r="H69" s="143">
        <f t="shared" si="9"/>
        <v>130</v>
      </c>
    </row>
    <row r="70" spans="1:8" x14ac:dyDescent="0.25">
      <c r="A70" s="314">
        <f t="shared" si="10"/>
        <v>69</v>
      </c>
      <c r="B70" s="4" t="s">
        <v>1054</v>
      </c>
      <c r="C70" s="413">
        <v>5</v>
      </c>
      <c r="D70" s="15">
        <v>15.38</v>
      </c>
      <c r="E70" s="7">
        <v>80</v>
      </c>
      <c r="F70" s="141">
        <f t="shared" si="7"/>
        <v>0.80775000000000008</v>
      </c>
      <c r="G70" s="142">
        <f t="shared" si="8"/>
        <v>76.900000000000006</v>
      </c>
      <c r="H70" s="143">
        <f t="shared" si="9"/>
        <v>400</v>
      </c>
    </row>
    <row r="71" spans="1:8" x14ac:dyDescent="0.25">
      <c r="A71" s="314">
        <f t="shared" si="10"/>
        <v>70</v>
      </c>
      <c r="B71" s="314" t="s">
        <v>966</v>
      </c>
      <c r="C71" s="415">
        <v>8</v>
      </c>
      <c r="D71" s="15">
        <v>12.6</v>
      </c>
      <c r="E71" s="7">
        <v>20</v>
      </c>
      <c r="F71" s="141">
        <f t="shared" si="7"/>
        <v>0.37</v>
      </c>
      <c r="G71" s="142">
        <f t="shared" si="8"/>
        <v>100.8</v>
      </c>
      <c r="H71" s="143">
        <f t="shared" si="9"/>
        <v>160</v>
      </c>
    </row>
    <row r="72" spans="1:8" x14ac:dyDescent="0.25">
      <c r="A72" s="314">
        <f t="shared" si="10"/>
        <v>71</v>
      </c>
      <c r="B72" s="314" t="s">
        <v>1055</v>
      </c>
      <c r="C72" s="415">
        <v>1</v>
      </c>
      <c r="D72" s="15">
        <v>39</v>
      </c>
      <c r="E72" s="7">
        <v>61</v>
      </c>
      <c r="F72" s="141">
        <f t="shared" si="7"/>
        <v>0.36065573770491804</v>
      </c>
      <c r="G72" s="142">
        <f t="shared" si="8"/>
        <v>39</v>
      </c>
      <c r="H72" s="143">
        <f t="shared" si="9"/>
        <v>61</v>
      </c>
    </row>
    <row r="73" spans="1:8" x14ac:dyDescent="0.25">
      <c r="A73" s="314">
        <f t="shared" si="10"/>
        <v>72</v>
      </c>
      <c r="B73" s="314" t="s">
        <v>1116</v>
      </c>
      <c r="C73" s="340">
        <v>4</v>
      </c>
      <c r="D73" s="15">
        <v>5.05</v>
      </c>
      <c r="E73" s="7">
        <v>9</v>
      </c>
      <c r="F73" s="141">
        <f t="shared" si="7"/>
        <v>0.43888888888888888</v>
      </c>
      <c r="G73" s="142">
        <f t="shared" si="8"/>
        <v>20.2</v>
      </c>
      <c r="H73" s="143">
        <f t="shared" si="9"/>
        <v>36</v>
      </c>
    </row>
    <row r="74" spans="1:8" x14ac:dyDescent="0.25">
      <c r="A74" s="314">
        <f t="shared" si="10"/>
        <v>73</v>
      </c>
      <c r="B74" s="314" t="s">
        <v>70</v>
      </c>
      <c r="C74" s="415">
        <v>43</v>
      </c>
      <c r="D74" s="15">
        <v>2.83</v>
      </c>
      <c r="E74" s="7">
        <v>5</v>
      </c>
      <c r="F74" s="141">
        <f t="shared" si="7"/>
        <v>0.434</v>
      </c>
      <c r="G74" s="142">
        <f t="shared" si="8"/>
        <v>121.69</v>
      </c>
      <c r="H74" s="143">
        <f t="shared" si="9"/>
        <v>215</v>
      </c>
    </row>
    <row r="75" spans="1:8" x14ac:dyDescent="0.25">
      <c r="A75" s="314">
        <f t="shared" si="10"/>
        <v>74</v>
      </c>
      <c r="B75" s="314" t="s">
        <v>451</v>
      </c>
      <c r="C75" s="415">
        <v>5</v>
      </c>
      <c r="D75" s="10">
        <v>2.5</v>
      </c>
      <c r="E75" s="7">
        <v>5</v>
      </c>
      <c r="F75" s="141">
        <f t="shared" si="7"/>
        <v>0.5</v>
      </c>
      <c r="G75" s="142">
        <f t="shared" si="8"/>
        <v>12.5</v>
      </c>
      <c r="H75" s="143">
        <f t="shared" si="9"/>
        <v>25</v>
      </c>
    </row>
    <row r="76" spans="1:8" x14ac:dyDescent="0.25">
      <c r="A76" s="314">
        <f t="shared" si="10"/>
        <v>75</v>
      </c>
      <c r="B76" s="4" t="s">
        <v>1351</v>
      </c>
      <c r="C76" s="415">
        <v>4</v>
      </c>
      <c r="D76" s="15">
        <v>5.6</v>
      </c>
      <c r="E76" s="7">
        <v>12</v>
      </c>
      <c r="F76" s="141">
        <f t="shared" si="7"/>
        <v>0.53333333333333333</v>
      </c>
      <c r="G76" s="142">
        <f t="shared" si="8"/>
        <v>22.4</v>
      </c>
      <c r="H76" s="143">
        <f t="shared" si="9"/>
        <v>48</v>
      </c>
    </row>
    <row r="77" spans="1:8" x14ac:dyDescent="0.25">
      <c r="A77" s="314">
        <f t="shared" si="10"/>
        <v>76</v>
      </c>
      <c r="B77" s="314" t="s">
        <v>1056</v>
      </c>
      <c r="C77" s="415">
        <v>2</v>
      </c>
      <c r="D77" s="15">
        <v>7</v>
      </c>
      <c r="E77" s="7">
        <v>15</v>
      </c>
      <c r="F77" s="141">
        <f t="shared" si="7"/>
        <v>0.53333333333333333</v>
      </c>
      <c r="G77" s="142">
        <f t="shared" si="8"/>
        <v>14</v>
      </c>
      <c r="H77" s="143">
        <f t="shared" si="9"/>
        <v>30</v>
      </c>
    </row>
    <row r="78" spans="1:8" x14ac:dyDescent="0.25">
      <c r="A78" s="314">
        <f t="shared" si="10"/>
        <v>77</v>
      </c>
      <c r="B78" s="4" t="s">
        <v>1347</v>
      </c>
      <c r="C78" s="415">
        <v>4</v>
      </c>
      <c r="D78" s="15">
        <v>15</v>
      </c>
      <c r="E78" s="10">
        <v>35</v>
      </c>
      <c r="F78" s="141">
        <f t="shared" si="7"/>
        <v>0.5714285714285714</v>
      </c>
      <c r="G78" s="142">
        <f t="shared" si="8"/>
        <v>60</v>
      </c>
      <c r="H78" s="143">
        <f t="shared" si="9"/>
        <v>140</v>
      </c>
    </row>
    <row r="79" spans="1:8" x14ac:dyDescent="0.25">
      <c r="A79" s="314">
        <f t="shared" si="10"/>
        <v>78</v>
      </c>
      <c r="B79" s="651" t="s">
        <v>1474</v>
      </c>
      <c r="C79" s="658">
        <v>3</v>
      </c>
      <c r="D79" s="15">
        <v>10</v>
      </c>
      <c r="E79" s="10">
        <v>30</v>
      </c>
      <c r="F79" s="141">
        <f t="shared" si="7"/>
        <v>0.66666666666666663</v>
      </c>
      <c r="G79" s="142">
        <f t="shared" si="8"/>
        <v>30</v>
      </c>
      <c r="H79" s="143">
        <f t="shared" si="9"/>
        <v>90</v>
      </c>
    </row>
    <row r="80" spans="1:8" x14ac:dyDescent="0.25">
      <c r="A80" s="314">
        <f t="shared" si="10"/>
        <v>79</v>
      </c>
      <c r="B80" s="314" t="s">
        <v>600</v>
      </c>
      <c r="C80" s="415">
        <v>2</v>
      </c>
      <c r="D80" s="10">
        <v>9.64</v>
      </c>
      <c r="E80" s="7">
        <v>19</v>
      </c>
      <c r="F80" s="141">
        <f t="shared" si="7"/>
        <v>0.49263157894736836</v>
      </c>
      <c r="G80" s="142">
        <f t="shared" si="8"/>
        <v>19.28</v>
      </c>
      <c r="H80" s="143">
        <f t="shared" si="9"/>
        <v>38</v>
      </c>
    </row>
    <row r="81" spans="1:8" x14ac:dyDescent="0.25">
      <c r="A81" s="314">
        <f t="shared" si="10"/>
        <v>80</v>
      </c>
      <c r="B81" s="314" t="s">
        <v>1057</v>
      </c>
      <c r="C81" s="415">
        <v>20</v>
      </c>
      <c r="D81" s="15">
        <v>0.79</v>
      </c>
      <c r="E81" s="7">
        <v>2</v>
      </c>
      <c r="F81" s="141">
        <f t="shared" si="7"/>
        <v>0.60499999999999998</v>
      </c>
      <c r="G81" s="142">
        <f t="shared" si="8"/>
        <v>15.8</v>
      </c>
      <c r="H81" s="143">
        <f t="shared" si="9"/>
        <v>40</v>
      </c>
    </row>
    <row r="82" spans="1:8" x14ac:dyDescent="0.25">
      <c r="A82" s="314">
        <f t="shared" si="10"/>
        <v>81</v>
      </c>
      <c r="B82" s="314" t="s">
        <v>613</v>
      </c>
      <c r="C82" s="435">
        <v>1</v>
      </c>
      <c r="D82" s="404">
        <v>11</v>
      </c>
      <c r="E82" s="448">
        <v>20</v>
      </c>
      <c r="F82" s="141">
        <f t="shared" si="7"/>
        <v>0.45</v>
      </c>
      <c r="G82" s="142">
        <f t="shared" si="8"/>
        <v>11</v>
      </c>
      <c r="H82" s="143">
        <f t="shared" si="9"/>
        <v>20</v>
      </c>
    </row>
    <row r="83" spans="1:8" x14ac:dyDescent="0.25">
      <c r="A83" s="314">
        <f t="shared" si="10"/>
        <v>82</v>
      </c>
      <c r="B83" s="314" t="s">
        <v>612</v>
      </c>
      <c r="C83" s="413">
        <v>2</v>
      </c>
      <c r="D83" s="404">
        <v>11</v>
      </c>
      <c r="E83" s="448">
        <v>20</v>
      </c>
      <c r="F83" s="141">
        <f t="shared" si="7"/>
        <v>0.45</v>
      </c>
      <c r="G83" s="142">
        <f t="shared" si="8"/>
        <v>22</v>
      </c>
      <c r="H83" s="143">
        <f t="shared" si="9"/>
        <v>40</v>
      </c>
    </row>
    <row r="84" spans="1:8" x14ac:dyDescent="0.25">
      <c r="A84" s="314">
        <f t="shared" si="10"/>
        <v>83</v>
      </c>
      <c r="B84" s="314" t="s">
        <v>1024</v>
      </c>
      <c r="C84" s="340">
        <v>1</v>
      </c>
      <c r="D84" s="15">
        <v>10.41</v>
      </c>
      <c r="E84" s="448">
        <v>20</v>
      </c>
      <c r="F84" s="141">
        <f t="shared" si="7"/>
        <v>0.47949999999999998</v>
      </c>
      <c r="G84" s="142">
        <f t="shared" si="8"/>
        <v>10.41</v>
      </c>
      <c r="H84" s="143">
        <f t="shared" si="9"/>
        <v>20</v>
      </c>
    </row>
    <row r="85" spans="1:8" x14ac:dyDescent="0.25">
      <c r="A85" s="314">
        <f t="shared" si="10"/>
        <v>84</v>
      </c>
      <c r="B85" s="314" t="s">
        <v>1452</v>
      </c>
      <c r="C85" s="435">
        <v>1</v>
      </c>
      <c r="D85" s="404">
        <v>10.85</v>
      </c>
      <c r="E85" s="448">
        <v>20</v>
      </c>
      <c r="F85" s="141">
        <f t="shared" si="7"/>
        <v>0.45750000000000002</v>
      </c>
      <c r="G85" s="142">
        <f t="shared" si="8"/>
        <v>10.85</v>
      </c>
      <c r="H85" s="143">
        <f t="shared" si="9"/>
        <v>20</v>
      </c>
    </row>
    <row r="86" spans="1:8" x14ac:dyDescent="0.25">
      <c r="A86" s="314">
        <f t="shared" si="10"/>
        <v>85</v>
      </c>
      <c r="B86" s="4" t="s">
        <v>1025</v>
      </c>
      <c r="C86" s="340">
        <v>2</v>
      </c>
      <c r="D86" s="15">
        <v>11</v>
      </c>
      <c r="E86" s="448">
        <v>20</v>
      </c>
      <c r="F86" s="141">
        <f t="shared" si="7"/>
        <v>0.45</v>
      </c>
      <c r="G86" s="142">
        <f t="shared" si="8"/>
        <v>22</v>
      </c>
      <c r="H86" s="143">
        <f t="shared" si="9"/>
        <v>40</v>
      </c>
    </row>
    <row r="87" spans="1:8" x14ac:dyDescent="0.25">
      <c r="A87" s="314">
        <f t="shared" si="10"/>
        <v>86</v>
      </c>
      <c r="B87" s="314" t="s">
        <v>1026</v>
      </c>
      <c r="C87" s="340">
        <v>2</v>
      </c>
      <c r="D87" s="15">
        <v>10.85</v>
      </c>
      <c r="E87" s="448">
        <v>20</v>
      </c>
      <c r="F87" s="141">
        <f t="shared" si="7"/>
        <v>0.45750000000000002</v>
      </c>
      <c r="G87" s="142">
        <f t="shared" si="8"/>
        <v>21.7</v>
      </c>
      <c r="H87" s="143">
        <f t="shared" si="9"/>
        <v>40</v>
      </c>
    </row>
    <row r="88" spans="1:8" x14ac:dyDescent="0.25">
      <c r="A88" s="314">
        <f t="shared" si="10"/>
        <v>87</v>
      </c>
      <c r="B88" s="314" t="s">
        <v>611</v>
      </c>
      <c r="C88" s="435">
        <v>0</v>
      </c>
      <c r="D88" s="404">
        <v>11.7</v>
      </c>
      <c r="E88" s="448">
        <v>20</v>
      </c>
      <c r="F88" s="141">
        <f t="shared" si="7"/>
        <v>0.41500000000000004</v>
      </c>
      <c r="G88" s="142">
        <f t="shared" si="8"/>
        <v>0</v>
      </c>
      <c r="H88" s="143">
        <f t="shared" si="9"/>
        <v>0</v>
      </c>
    </row>
    <row r="89" spans="1:8" x14ac:dyDescent="0.25">
      <c r="A89" s="314">
        <f t="shared" si="10"/>
        <v>88</v>
      </c>
      <c r="B89" s="314" t="s">
        <v>601</v>
      </c>
      <c r="C89" s="435">
        <v>1</v>
      </c>
      <c r="D89" s="404">
        <v>10.85</v>
      </c>
      <c r="E89" s="448">
        <v>20</v>
      </c>
      <c r="F89" s="141">
        <f t="shared" si="7"/>
        <v>0.45750000000000002</v>
      </c>
      <c r="G89" s="142">
        <f t="shared" si="8"/>
        <v>10.85</v>
      </c>
      <c r="H89" s="143">
        <f t="shared" si="9"/>
        <v>20</v>
      </c>
    </row>
    <row r="90" spans="1:8" x14ac:dyDescent="0.25">
      <c r="A90" s="314">
        <f t="shared" si="10"/>
        <v>89</v>
      </c>
      <c r="B90" s="314" t="s">
        <v>602</v>
      </c>
      <c r="C90" s="652">
        <v>2</v>
      </c>
      <c r="D90" s="404">
        <v>11.7</v>
      </c>
      <c r="E90" s="448">
        <v>20</v>
      </c>
      <c r="F90" s="141">
        <f t="shared" si="7"/>
        <v>0.41500000000000004</v>
      </c>
      <c r="G90" s="142">
        <f t="shared" si="8"/>
        <v>23.4</v>
      </c>
      <c r="H90" s="143">
        <f t="shared" si="9"/>
        <v>40</v>
      </c>
    </row>
    <row r="91" spans="1:8" x14ac:dyDescent="0.25">
      <c r="A91" s="314">
        <f t="shared" si="10"/>
        <v>90</v>
      </c>
      <c r="B91" s="314" t="s">
        <v>610</v>
      </c>
      <c r="C91" s="435">
        <v>0</v>
      </c>
      <c r="D91" s="404">
        <v>10.5</v>
      </c>
      <c r="E91" s="448">
        <v>20</v>
      </c>
      <c r="F91" s="141">
        <f t="shared" si="7"/>
        <v>0.47499999999999998</v>
      </c>
      <c r="G91" s="142">
        <f t="shared" si="8"/>
        <v>0</v>
      </c>
      <c r="H91" s="143">
        <f t="shared" si="9"/>
        <v>0</v>
      </c>
    </row>
    <row r="92" spans="1:8" x14ac:dyDescent="0.25">
      <c r="A92" s="314">
        <f t="shared" si="10"/>
        <v>91</v>
      </c>
      <c r="B92" s="314" t="s">
        <v>1348</v>
      </c>
      <c r="C92" s="280">
        <v>2</v>
      </c>
      <c r="D92" s="15">
        <v>22.5</v>
      </c>
      <c r="E92" s="10">
        <v>48</v>
      </c>
      <c r="F92" s="141">
        <f t="shared" si="7"/>
        <v>0.53125</v>
      </c>
      <c r="G92" s="142">
        <f t="shared" si="8"/>
        <v>45</v>
      </c>
      <c r="H92" s="143">
        <f t="shared" si="9"/>
        <v>96</v>
      </c>
    </row>
    <row r="93" spans="1:8" x14ac:dyDescent="0.25">
      <c r="A93" s="314">
        <f t="shared" si="10"/>
        <v>92</v>
      </c>
      <c r="B93" s="314" t="s">
        <v>1060</v>
      </c>
      <c r="C93" s="415">
        <v>14</v>
      </c>
      <c r="D93" s="10">
        <v>0.7</v>
      </c>
      <c r="E93" s="7">
        <v>1.5</v>
      </c>
      <c r="F93" s="141">
        <f t="shared" si="7"/>
        <v>0.53333333333333333</v>
      </c>
      <c r="G93" s="142">
        <f t="shared" si="8"/>
        <v>9.7999999999999989</v>
      </c>
      <c r="H93" s="143">
        <f t="shared" si="9"/>
        <v>21</v>
      </c>
    </row>
    <row r="94" spans="1:8" x14ac:dyDescent="0.25">
      <c r="A94" s="314">
        <f t="shared" si="10"/>
        <v>93</v>
      </c>
      <c r="B94" s="314" t="s">
        <v>1058</v>
      </c>
      <c r="C94" s="658">
        <v>10</v>
      </c>
      <c r="D94" s="10">
        <v>0.85</v>
      </c>
      <c r="E94" s="7">
        <v>1.5</v>
      </c>
      <c r="F94" s="141">
        <f t="shared" si="7"/>
        <v>0.43333333333333335</v>
      </c>
      <c r="G94" s="142">
        <f t="shared" si="8"/>
        <v>8.5</v>
      </c>
      <c r="H94" s="143">
        <f t="shared" si="9"/>
        <v>15</v>
      </c>
    </row>
    <row r="95" spans="1:8" x14ac:dyDescent="0.25">
      <c r="A95" s="314">
        <f t="shared" si="10"/>
        <v>94</v>
      </c>
      <c r="B95" s="314" t="s">
        <v>567</v>
      </c>
      <c r="C95" s="594">
        <v>4</v>
      </c>
      <c r="D95" s="15">
        <v>4</v>
      </c>
      <c r="E95" s="10">
        <v>18</v>
      </c>
      <c r="F95" s="141">
        <f t="shared" si="7"/>
        <v>0.77777777777777779</v>
      </c>
      <c r="G95" s="142">
        <f t="shared" si="8"/>
        <v>16</v>
      </c>
      <c r="H95" s="143">
        <f t="shared" si="9"/>
        <v>72</v>
      </c>
    </row>
    <row r="96" spans="1:8" x14ac:dyDescent="0.25">
      <c r="A96" s="314">
        <f t="shared" si="10"/>
        <v>95</v>
      </c>
      <c r="B96" s="314" t="s">
        <v>1061</v>
      </c>
      <c r="C96" s="415">
        <v>2</v>
      </c>
      <c r="D96" s="15">
        <v>4</v>
      </c>
      <c r="E96" s="7">
        <v>12</v>
      </c>
      <c r="F96" s="141">
        <f t="shared" si="7"/>
        <v>0.66666666666666663</v>
      </c>
      <c r="G96" s="142">
        <f t="shared" si="8"/>
        <v>8</v>
      </c>
      <c r="H96" s="143">
        <f t="shared" si="9"/>
        <v>24</v>
      </c>
    </row>
    <row r="97" spans="1:8" x14ac:dyDescent="0.25">
      <c r="A97" s="314">
        <f t="shared" si="10"/>
        <v>96</v>
      </c>
      <c r="B97" s="314" t="s">
        <v>69</v>
      </c>
      <c r="C97" s="415">
        <v>9</v>
      </c>
      <c r="D97" s="15">
        <v>1.5</v>
      </c>
      <c r="E97" s="7">
        <v>3</v>
      </c>
      <c r="F97" s="141">
        <f t="shared" si="7"/>
        <v>0.5</v>
      </c>
      <c r="G97" s="142">
        <f t="shared" si="8"/>
        <v>13.5</v>
      </c>
      <c r="H97" s="143">
        <f t="shared" si="9"/>
        <v>27</v>
      </c>
    </row>
    <row r="98" spans="1:8" x14ac:dyDescent="0.25">
      <c r="A98" s="314">
        <f t="shared" si="10"/>
        <v>97</v>
      </c>
      <c r="B98" s="314" t="s">
        <v>1443</v>
      </c>
      <c r="C98" s="340">
        <v>2</v>
      </c>
      <c r="D98" s="15">
        <v>90</v>
      </c>
      <c r="E98" s="7">
        <v>150</v>
      </c>
      <c r="F98" s="26">
        <f t="shared" ref="F98:F107" si="11">(E98-D98)/(E98)</f>
        <v>0.4</v>
      </c>
      <c r="G98" s="30">
        <f t="shared" ref="G98:G107" si="12">D98*C98</f>
        <v>180</v>
      </c>
      <c r="H98" s="25">
        <f t="shared" ref="H98:H107" si="13">E98*C98</f>
        <v>300</v>
      </c>
    </row>
    <row r="99" spans="1:8" x14ac:dyDescent="0.25">
      <c r="A99" s="314">
        <f t="shared" si="10"/>
        <v>98</v>
      </c>
      <c r="B99" s="314" t="s">
        <v>1062</v>
      </c>
      <c r="C99" s="415">
        <v>5</v>
      </c>
      <c r="D99" s="15">
        <v>3.95</v>
      </c>
      <c r="E99" s="7">
        <v>6.2</v>
      </c>
      <c r="F99" s="141">
        <f t="shared" si="11"/>
        <v>0.36290322580645162</v>
      </c>
      <c r="G99" s="142">
        <f t="shared" si="12"/>
        <v>19.75</v>
      </c>
      <c r="H99" s="143">
        <f t="shared" si="13"/>
        <v>31</v>
      </c>
    </row>
    <row r="100" spans="1:8" x14ac:dyDescent="0.25">
      <c r="A100" s="314">
        <f t="shared" si="10"/>
        <v>99</v>
      </c>
      <c r="B100" s="314" t="s">
        <v>888</v>
      </c>
      <c r="C100" s="413">
        <v>32</v>
      </c>
      <c r="D100" s="404">
        <v>3.5</v>
      </c>
      <c r="E100" s="448">
        <v>5.6</v>
      </c>
      <c r="F100" s="141">
        <f t="shared" si="11"/>
        <v>0.37499999999999994</v>
      </c>
      <c r="G100" s="142">
        <f t="shared" si="12"/>
        <v>112</v>
      </c>
      <c r="H100" s="143">
        <f t="shared" si="13"/>
        <v>179.2</v>
      </c>
    </row>
    <row r="101" spans="1:8" x14ac:dyDescent="0.25">
      <c r="A101" s="314">
        <f t="shared" si="10"/>
        <v>100</v>
      </c>
      <c r="B101" s="314" t="s">
        <v>851</v>
      </c>
      <c r="C101" s="415">
        <v>1</v>
      </c>
      <c r="D101" s="15">
        <v>86.67</v>
      </c>
      <c r="E101" s="7">
        <v>140</v>
      </c>
      <c r="F101" s="141">
        <f t="shared" si="11"/>
        <v>0.38092857142857139</v>
      </c>
      <c r="G101" s="142">
        <f t="shared" si="12"/>
        <v>86.67</v>
      </c>
      <c r="H101" s="143">
        <f t="shared" si="13"/>
        <v>140</v>
      </c>
    </row>
    <row r="102" spans="1:8" ht="15.75" x14ac:dyDescent="0.25">
      <c r="A102" s="314">
        <f t="shared" si="10"/>
        <v>101</v>
      </c>
      <c r="B102" s="314" t="s">
        <v>1063</v>
      </c>
      <c r="C102" s="415">
        <v>8</v>
      </c>
      <c r="D102" s="101">
        <v>9.31</v>
      </c>
      <c r="E102" s="169">
        <v>15</v>
      </c>
      <c r="F102" s="141">
        <f t="shared" si="11"/>
        <v>0.3793333333333333</v>
      </c>
      <c r="G102" s="142">
        <f t="shared" si="12"/>
        <v>74.48</v>
      </c>
      <c r="H102" s="143">
        <f t="shared" si="13"/>
        <v>120</v>
      </c>
    </row>
    <row r="103" spans="1:8" x14ac:dyDescent="0.25">
      <c r="A103" s="314">
        <f t="shared" si="10"/>
        <v>102</v>
      </c>
      <c r="B103" s="314" t="s">
        <v>553</v>
      </c>
      <c r="C103" s="415">
        <v>2</v>
      </c>
      <c r="D103" s="15">
        <v>9.69</v>
      </c>
      <c r="E103" s="10">
        <v>17</v>
      </c>
      <c r="F103" s="141">
        <f t="shared" si="11"/>
        <v>0.43000000000000005</v>
      </c>
      <c r="G103" s="142">
        <f t="shared" si="12"/>
        <v>19.38</v>
      </c>
      <c r="H103" s="143">
        <f t="shared" si="13"/>
        <v>34</v>
      </c>
    </row>
    <row r="104" spans="1:8" x14ac:dyDescent="0.25">
      <c r="A104" s="314">
        <f t="shared" si="10"/>
        <v>103</v>
      </c>
      <c r="B104" s="314" t="s">
        <v>552</v>
      </c>
      <c r="C104" s="415">
        <v>1</v>
      </c>
      <c r="D104" s="15">
        <v>8.4600000000000009</v>
      </c>
      <c r="E104" s="10">
        <v>15</v>
      </c>
      <c r="F104" s="141">
        <f t="shared" si="11"/>
        <v>0.43599999999999994</v>
      </c>
      <c r="G104" s="142">
        <f t="shared" si="12"/>
        <v>8.4600000000000009</v>
      </c>
      <c r="H104" s="143">
        <f t="shared" si="13"/>
        <v>15</v>
      </c>
    </row>
    <row r="105" spans="1:8" x14ac:dyDescent="0.25">
      <c r="A105" s="314">
        <f t="shared" si="10"/>
        <v>104</v>
      </c>
      <c r="B105" s="314" t="s">
        <v>1064</v>
      </c>
      <c r="C105" s="415">
        <v>39</v>
      </c>
      <c r="D105" s="10">
        <v>0.45</v>
      </c>
      <c r="E105" s="7">
        <v>0.875</v>
      </c>
      <c r="F105" s="141">
        <f t="shared" si="11"/>
        <v>0.48571428571428571</v>
      </c>
      <c r="G105" s="142">
        <f t="shared" si="12"/>
        <v>17.55</v>
      </c>
      <c r="H105" s="143">
        <f t="shared" si="13"/>
        <v>34.125</v>
      </c>
    </row>
    <row r="106" spans="1:8" x14ac:dyDescent="0.25">
      <c r="A106" s="314">
        <f t="shared" si="10"/>
        <v>105</v>
      </c>
      <c r="B106" s="314" t="s">
        <v>1065</v>
      </c>
      <c r="C106" s="415">
        <v>47</v>
      </c>
      <c r="D106" s="15">
        <v>0.45</v>
      </c>
      <c r="E106" s="7">
        <v>0.88</v>
      </c>
      <c r="F106" s="141">
        <f t="shared" si="11"/>
        <v>0.48863636363636365</v>
      </c>
      <c r="G106" s="142">
        <f t="shared" si="12"/>
        <v>21.150000000000002</v>
      </c>
      <c r="H106" s="143">
        <f t="shared" si="13"/>
        <v>41.36</v>
      </c>
    </row>
    <row r="107" spans="1:8" x14ac:dyDescent="0.25">
      <c r="A107" s="314">
        <f t="shared" si="10"/>
        <v>106</v>
      </c>
      <c r="B107" s="314" t="s">
        <v>31</v>
      </c>
      <c r="C107" s="340">
        <v>5</v>
      </c>
      <c r="D107" s="10">
        <v>5.5</v>
      </c>
      <c r="E107" s="7">
        <v>12</v>
      </c>
      <c r="F107" s="141">
        <f t="shared" si="11"/>
        <v>0.54166666666666663</v>
      </c>
      <c r="G107" s="142">
        <f t="shared" si="12"/>
        <v>27.5</v>
      </c>
      <c r="H107" s="143">
        <f t="shared" si="13"/>
        <v>60</v>
      </c>
    </row>
    <row r="108" spans="1:8" x14ac:dyDescent="0.25">
      <c r="A108" s="314">
        <f t="shared" si="10"/>
        <v>107</v>
      </c>
      <c r="B108" s="314"/>
      <c r="C108" s="340"/>
      <c r="D108" s="10"/>
      <c r="E108" s="7"/>
      <c r="F108" s="141" t="e">
        <f t="shared" ref="F108:F114" si="14">(E108-D108)/(E108)</f>
        <v>#DIV/0!</v>
      </c>
      <c r="G108" s="142">
        <f t="shared" ref="G108:G114" si="15">D108*C108</f>
        <v>0</v>
      </c>
      <c r="H108" s="143">
        <f t="shared" ref="H108:H114" si="16">E108*C108</f>
        <v>0</v>
      </c>
    </row>
    <row r="109" spans="1:8" x14ac:dyDescent="0.25">
      <c r="A109" s="314">
        <f t="shared" si="10"/>
        <v>108</v>
      </c>
      <c r="B109" s="314"/>
      <c r="C109" s="340"/>
      <c r="D109" s="10"/>
      <c r="E109" s="7"/>
      <c r="F109" s="141" t="e">
        <f t="shared" si="14"/>
        <v>#DIV/0!</v>
      </c>
      <c r="G109" s="142">
        <f t="shared" si="15"/>
        <v>0</v>
      </c>
      <c r="H109" s="143">
        <f t="shared" si="16"/>
        <v>0</v>
      </c>
    </row>
    <row r="110" spans="1:8" x14ac:dyDescent="0.25">
      <c r="A110" s="314">
        <f t="shared" si="10"/>
        <v>109</v>
      </c>
      <c r="B110" s="314"/>
      <c r="C110" s="340"/>
      <c r="D110" s="10"/>
      <c r="E110" s="7"/>
      <c r="F110" s="141" t="e">
        <f t="shared" si="14"/>
        <v>#DIV/0!</v>
      </c>
      <c r="G110" s="142">
        <f t="shared" si="15"/>
        <v>0</v>
      </c>
      <c r="H110" s="143">
        <f t="shared" si="16"/>
        <v>0</v>
      </c>
    </row>
    <row r="111" spans="1:8" x14ac:dyDescent="0.25">
      <c r="A111" s="314">
        <f t="shared" si="10"/>
        <v>110</v>
      </c>
      <c r="B111" s="314"/>
      <c r="C111" s="340"/>
      <c r="D111" s="10"/>
      <c r="E111" s="7"/>
      <c r="F111" s="141" t="e">
        <f t="shared" si="14"/>
        <v>#DIV/0!</v>
      </c>
      <c r="G111" s="142">
        <f t="shared" si="15"/>
        <v>0</v>
      </c>
      <c r="H111" s="143">
        <f t="shared" si="16"/>
        <v>0</v>
      </c>
    </row>
    <row r="112" spans="1:8" x14ac:dyDescent="0.25">
      <c r="A112" s="314">
        <f t="shared" si="10"/>
        <v>111</v>
      </c>
      <c r="B112" s="314"/>
      <c r="C112" s="340"/>
      <c r="D112" s="10"/>
      <c r="E112" s="7"/>
      <c r="F112" s="141" t="e">
        <f t="shared" si="14"/>
        <v>#DIV/0!</v>
      </c>
      <c r="G112" s="142">
        <f t="shared" si="15"/>
        <v>0</v>
      </c>
      <c r="H112" s="143">
        <f t="shared" si="16"/>
        <v>0</v>
      </c>
    </row>
    <row r="113" spans="1:8" x14ac:dyDescent="0.25">
      <c r="A113" s="314">
        <f t="shared" si="10"/>
        <v>112</v>
      </c>
      <c r="B113" s="314"/>
      <c r="C113" s="340"/>
      <c r="D113" s="10"/>
      <c r="E113" s="7"/>
      <c r="F113" s="141" t="e">
        <f t="shared" si="14"/>
        <v>#DIV/0!</v>
      </c>
      <c r="G113" s="142">
        <f t="shared" si="15"/>
        <v>0</v>
      </c>
      <c r="H113" s="143">
        <f t="shared" si="16"/>
        <v>0</v>
      </c>
    </row>
    <row r="114" spans="1:8" x14ac:dyDescent="0.25">
      <c r="A114" s="314">
        <f t="shared" si="10"/>
        <v>113</v>
      </c>
      <c r="B114" s="535"/>
      <c r="C114" s="404"/>
      <c r="D114" s="15"/>
      <c r="E114" s="448"/>
      <c r="F114" s="141" t="e">
        <f t="shared" si="14"/>
        <v>#DIV/0!</v>
      </c>
      <c r="G114" s="142">
        <f t="shared" si="15"/>
        <v>0</v>
      </c>
      <c r="H114" s="143">
        <f t="shared" si="16"/>
        <v>0</v>
      </c>
    </row>
    <row r="115" spans="1:8" x14ac:dyDescent="0.25">
      <c r="A115" s="314">
        <f t="shared" si="10"/>
        <v>114</v>
      </c>
      <c r="B115" s="3"/>
      <c r="C115" s="47"/>
      <c r="D115" s="15"/>
      <c r="E115" s="7"/>
      <c r="G115" s="30">
        <f>SUM(G2:G114)</f>
        <v>5628.2819999999983</v>
      </c>
      <c r="H115" s="25">
        <f>SUM(H2:H114)</f>
        <v>10417.885000000002</v>
      </c>
    </row>
    <row r="116" spans="1:8" x14ac:dyDescent="0.25">
      <c r="A116" s="314">
        <f t="shared" si="10"/>
        <v>115</v>
      </c>
      <c r="B116" s="3"/>
      <c r="C116" s="47"/>
      <c r="D116" s="15"/>
      <c r="E116" s="7"/>
      <c r="G116" s="30"/>
      <c r="H116" s="25">
        <f>H115-G115</f>
        <v>4789.6030000000037</v>
      </c>
    </row>
    <row r="117" spans="1:8" x14ac:dyDescent="0.25">
      <c r="A117" s="314">
        <f t="shared" si="10"/>
        <v>116</v>
      </c>
      <c r="B117" s="3"/>
      <c r="C117" s="47"/>
      <c r="D117" s="15"/>
      <c r="E117" s="7"/>
      <c r="G117" s="30"/>
      <c r="H117" s="25"/>
    </row>
    <row r="118" spans="1:8" x14ac:dyDescent="0.25">
      <c r="A118" s="314">
        <f t="shared" ref="A118:A134" si="17">A117+1</f>
        <v>117</v>
      </c>
      <c r="B118" s="3"/>
      <c r="C118" s="47"/>
      <c r="D118" s="15"/>
      <c r="E118" s="7"/>
      <c r="G118" s="30"/>
      <c r="H118" s="29">
        <f>H116/H115</f>
        <v>0.45974811586036923</v>
      </c>
    </row>
    <row r="119" spans="1:8" x14ac:dyDescent="0.25">
      <c r="A119" s="314">
        <f t="shared" si="17"/>
        <v>118</v>
      </c>
      <c r="B119" s="3"/>
      <c r="C119" s="47"/>
      <c r="D119" s="15"/>
      <c r="E119" s="7"/>
      <c r="G119" s="30"/>
      <c r="H119" s="25"/>
    </row>
    <row r="120" spans="1:8" x14ac:dyDescent="0.25">
      <c r="A120" s="314">
        <f t="shared" si="17"/>
        <v>119</v>
      </c>
      <c r="B120" s="3"/>
      <c r="C120" s="47"/>
      <c r="D120" s="15"/>
      <c r="E120" s="7"/>
      <c r="G120" s="30"/>
      <c r="H120" s="25"/>
    </row>
    <row r="121" spans="1:8" x14ac:dyDescent="0.25">
      <c r="A121" s="314">
        <f t="shared" si="17"/>
        <v>120</v>
      </c>
      <c r="B121" s="3"/>
      <c r="C121" s="47"/>
      <c r="D121" s="15"/>
      <c r="E121" s="7"/>
      <c r="G121" s="30"/>
      <c r="H121" s="25"/>
    </row>
    <row r="122" spans="1:8" x14ac:dyDescent="0.25">
      <c r="A122" s="314">
        <f t="shared" si="17"/>
        <v>121</v>
      </c>
      <c r="B122" s="3"/>
      <c r="C122" s="47"/>
      <c r="D122" s="15"/>
      <c r="E122" s="7"/>
      <c r="G122" s="30"/>
      <c r="H122" s="25"/>
    </row>
    <row r="123" spans="1:8" x14ac:dyDescent="0.25">
      <c r="A123" s="314">
        <f t="shared" si="17"/>
        <v>122</v>
      </c>
      <c r="B123" s="3"/>
      <c r="C123" s="47"/>
      <c r="D123" s="15"/>
      <c r="E123" s="7"/>
      <c r="G123" s="30"/>
      <c r="H123" s="25"/>
    </row>
    <row r="124" spans="1:8" x14ac:dyDescent="0.25">
      <c r="A124" s="314">
        <f>A123+1</f>
        <v>123</v>
      </c>
      <c r="B124" s="3"/>
      <c r="C124" s="47"/>
      <c r="D124" s="15"/>
      <c r="E124" s="7"/>
      <c r="G124" s="30"/>
      <c r="H124" s="25"/>
    </row>
    <row r="125" spans="1:8" x14ac:dyDescent="0.25">
      <c r="A125" s="314">
        <f t="shared" si="17"/>
        <v>124</v>
      </c>
      <c r="B125" s="3"/>
      <c r="C125" s="47"/>
      <c r="D125" s="15"/>
      <c r="E125" s="7"/>
      <c r="G125" s="30"/>
      <c r="H125" s="25"/>
    </row>
    <row r="126" spans="1:8" x14ac:dyDescent="0.25">
      <c r="A126" s="314">
        <f t="shared" si="17"/>
        <v>125</v>
      </c>
      <c r="B126" s="3"/>
      <c r="C126" s="47"/>
      <c r="D126" s="15"/>
      <c r="E126" s="7"/>
      <c r="G126" s="30"/>
    </row>
    <row r="127" spans="1:8" x14ac:dyDescent="0.25">
      <c r="A127" s="314">
        <f t="shared" si="17"/>
        <v>126</v>
      </c>
      <c r="B127" s="3"/>
      <c r="C127" s="47"/>
      <c r="D127" s="15"/>
      <c r="E127" s="7"/>
      <c r="G127" s="30"/>
      <c r="H127" s="25"/>
    </row>
    <row r="128" spans="1:8" x14ac:dyDescent="0.25">
      <c r="A128" s="314">
        <f t="shared" si="17"/>
        <v>127</v>
      </c>
      <c r="B128" s="3"/>
      <c r="C128" s="47"/>
      <c r="D128" s="15"/>
      <c r="E128" s="7"/>
      <c r="G128" s="30"/>
      <c r="H128" s="25"/>
    </row>
    <row r="129" spans="1:9" x14ac:dyDescent="0.25">
      <c r="A129" s="314">
        <f t="shared" si="17"/>
        <v>128</v>
      </c>
      <c r="B129" s="3"/>
      <c r="C129" s="47"/>
      <c r="D129" s="15"/>
      <c r="E129" s="7"/>
      <c r="G129" s="30"/>
      <c r="H129" s="25"/>
    </row>
    <row r="130" spans="1:9" x14ac:dyDescent="0.25">
      <c r="A130" s="314">
        <f t="shared" si="17"/>
        <v>129</v>
      </c>
      <c r="B130" s="3"/>
      <c r="C130" s="47"/>
      <c r="D130" s="15"/>
      <c r="E130" s="7"/>
      <c r="G130" s="30"/>
      <c r="H130" s="25"/>
    </row>
    <row r="131" spans="1:9" x14ac:dyDescent="0.25">
      <c r="A131" s="314">
        <f t="shared" si="17"/>
        <v>130</v>
      </c>
      <c r="B131" s="3"/>
      <c r="C131" s="47"/>
      <c r="D131" s="15"/>
      <c r="E131" s="7"/>
      <c r="G131" s="30"/>
      <c r="H131" s="25"/>
    </row>
    <row r="132" spans="1:9" x14ac:dyDescent="0.25">
      <c r="A132" s="314">
        <f t="shared" si="17"/>
        <v>131</v>
      </c>
      <c r="B132" s="3"/>
      <c r="C132" s="47"/>
      <c r="D132" s="15"/>
      <c r="E132" s="7"/>
      <c r="G132" s="30"/>
      <c r="H132" s="25"/>
    </row>
    <row r="133" spans="1:9" x14ac:dyDescent="0.25">
      <c r="A133" s="314">
        <f t="shared" si="17"/>
        <v>132</v>
      </c>
      <c r="B133" s="3"/>
      <c r="C133" s="47"/>
      <c r="D133" s="15"/>
      <c r="E133" s="7"/>
      <c r="G133" s="30"/>
      <c r="H133" s="25"/>
    </row>
    <row r="134" spans="1:9" x14ac:dyDescent="0.25">
      <c r="A134" s="314">
        <f t="shared" si="17"/>
        <v>133</v>
      </c>
      <c r="B134" s="3"/>
      <c r="C134" s="47"/>
      <c r="D134" s="15"/>
      <c r="E134" s="7"/>
      <c r="G134" s="30"/>
      <c r="H134" s="25"/>
    </row>
    <row r="135" spans="1:9" x14ac:dyDescent="0.25">
      <c r="A135" s="314">
        <f>A133+1</f>
        <v>133</v>
      </c>
      <c r="B135" s="3"/>
      <c r="C135" s="47"/>
      <c r="D135" s="15"/>
      <c r="E135" s="7"/>
      <c r="G135" s="30"/>
      <c r="H135" s="25"/>
      <c r="I135" s="38"/>
    </row>
    <row r="136" spans="1:9" ht="14.25" customHeight="1" x14ac:dyDescent="0.25">
      <c r="A136" s="314">
        <f>A134+1</f>
        <v>134</v>
      </c>
      <c r="B136" s="3"/>
      <c r="C136" s="47"/>
      <c r="D136" s="15"/>
      <c r="E136" s="7"/>
      <c r="G136" s="30"/>
      <c r="H136" s="25"/>
    </row>
    <row r="137" spans="1:9" x14ac:dyDescent="0.25">
      <c r="A137" s="314">
        <f>A135+1</f>
        <v>134</v>
      </c>
      <c r="B137" s="3"/>
      <c r="C137" s="47"/>
      <c r="D137" s="15"/>
      <c r="E137" s="7"/>
      <c r="G137" s="30"/>
      <c r="H137" s="25"/>
    </row>
    <row r="138" spans="1:9" x14ac:dyDescent="0.25">
      <c r="B138" s="3"/>
      <c r="C138" s="47"/>
      <c r="D138" s="15"/>
      <c r="E138" s="7"/>
      <c r="G138" s="30"/>
      <c r="H138" s="25"/>
    </row>
    <row r="139" spans="1:9" x14ac:dyDescent="0.25">
      <c r="B139" s="3"/>
      <c r="C139" s="47"/>
      <c r="D139" s="10"/>
      <c r="E139" s="7"/>
      <c r="G139" s="30"/>
      <c r="H139" s="25"/>
    </row>
    <row r="140" spans="1:9" x14ac:dyDescent="0.25">
      <c r="B140" s="3"/>
      <c r="C140" s="47"/>
      <c r="D140" s="15"/>
      <c r="E140" s="7"/>
      <c r="G140" s="30"/>
      <c r="H140" s="25"/>
    </row>
    <row r="141" spans="1:9" x14ac:dyDescent="0.25">
      <c r="A141"/>
      <c r="B141" s="3"/>
      <c r="C141" s="47"/>
      <c r="D141" s="15"/>
      <c r="E141" s="7"/>
      <c r="G141" s="30"/>
      <c r="H141" s="25"/>
    </row>
    <row r="142" spans="1:9" x14ac:dyDescent="0.25">
      <c r="A142"/>
      <c r="B142" s="3"/>
      <c r="C142" s="47"/>
      <c r="D142" s="15"/>
      <c r="E142" s="7"/>
      <c r="G142" s="30"/>
      <c r="H142" s="25"/>
    </row>
    <row r="143" spans="1:9" x14ac:dyDescent="0.25">
      <c r="A143"/>
      <c r="B143" s="3"/>
      <c r="C143" s="47"/>
      <c r="D143" s="15"/>
      <c r="E143" s="7"/>
      <c r="G143" s="30"/>
      <c r="H143" s="25"/>
    </row>
    <row r="144" spans="1:9" x14ac:dyDescent="0.25">
      <c r="A144"/>
      <c r="B144" s="3"/>
      <c r="C144" s="47"/>
      <c r="D144" s="15"/>
      <c r="E144" s="7"/>
      <c r="G144" s="30"/>
      <c r="H144" s="25"/>
      <c r="I144" s="32"/>
    </row>
    <row r="145" spans="1:9" x14ac:dyDescent="0.25">
      <c r="A145"/>
      <c r="B145" s="3"/>
      <c r="C145" s="47"/>
      <c r="D145" s="15"/>
      <c r="E145" s="7"/>
      <c r="G145" s="30"/>
      <c r="H145" s="25"/>
      <c r="I145" s="31"/>
    </row>
    <row r="146" spans="1:9" x14ac:dyDescent="0.25">
      <c r="A146"/>
      <c r="B146" s="3"/>
      <c r="C146" s="47"/>
      <c r="D146" s="15"/>
      <c r="E146" s="7"/>
      <c r="G146" s="30"/>
      <c r="H146" s="25"/>
      <c r="I146" s="32"/>
    </row>
    <row r="147" spans="1:9" ht="14.25" customHeight="1" x14ac:dyDescent="0.25">
      <c r="A147"/>
      <c r="B147" s="3"/>
      <c r="C147" s="47"/>
      <c r="D147" s="15"/>
      <c r="E147" s="7"/>
      <c r="G147" s="30"/>
      <c r="H147" s="25"/>
      <c r="I147" s="32"/>
    </row>
    <row r="148" spans="1:9" x14ac:dyDescent="0.25">
      <c r="A148"/>
      <c r="B148" s="3"/>
      <c r="C148" s="9"/>
      <c r="D148" s="15"/>
      <c r="E148" s="7"/>
      <c r="G148" s="30"/>
      <c r="H148" s="25"/>
    </row>
    <row r="149" spans="1:9" x14ac:dyDescent="0.25">
      <c r="A149"/>
      <c r="B149" s="3"/>
      <c r="C149" s="8"/>
      <c r="D149" s="15"/>
      <c r="E149" s="7"/>
      <c r="G149" s="30"/>
      <c r="H149" s="25"/>
    </row>
    <row r="150" spans="1:9" x14ac:dyDescent="0.25">
      <c r="A150"/>
      <c r="B150" s="3"/>
      <c r="C150" s="8"/>
      <c r="D150" s="15"/>
      <c r="E150" s="7"/>
      <c r="G150" s="30"/>
      <c r="H150" s="25"/>
      <c r="I150" s="31"/>
    </row>
    <row r="151" spans="1:9" x14ac:dyDescent="0.25">
      <c r="A151"/>
      <c r="B151" s="3"/>
      <c r="C151" s="9"/>
      <c r="D151" s="15"/>
      <c r="E151" s="7"/>
      <c r="G151" s="30"/>
      <c r="H151" s="25"/>
    </row>
    <row r="152" spans="1:9" x14ac:dyDescent="0.25">
      <c r="A152"/>
      <c r="B152" s="3"/>
      <c r="C152" s="9"/>
      <c r="D152" s="15"/>
      <c r="E152" s="7"/>
      <c r="G152" s="30"/>
      <c r="H152" s="25"/>
    </row>
    <row r="153" spans="1:9" x14ac:dyDescent="0.25">
      <c r="A153"/>
      <c r="B153" s="3"/>
      <c r="C153" s="9"/>
      <c r="D153" s="15"/>
      <c r="E153" s="7"/>
      <c r="G153" s="30"/>
      <c r="H153" s="25"/>
    </row>
    <row r="154" spans="1:9" x14ac:dyDescent="0.25">
      <c r="A154"/>
      <c r="B154" s="3"/>
      <c r="C154" s="9"/>
      <c r="D154" s="15"/>
      <c r="E154" s="7"/>
      <c r="G154" s="30"/>
      <c r="H154" s="25"/>
    </row>
    <row r="155" spans="1:9" x14ac:dyDescent="0.25">
      <c r="A155"/>
      <c r="B155" s="3"/>
      <c r="C155" s="9"/>
      <c r="D155" s="15"/>
      <c r="E155" s="7"/>
      <c r="G155" s="30"/>
      <c r="H155" s="25"/>
    </row>
    <row r="156" spans="1:9" x14ac:dyDescent="0.25">
      <c r="A156"/>
      <c r="B156" s="3"/>
      <c r="C156" s="9"/>
      <c r="D156" s="15"/>
      <c r="E156" s="7"/>
      <c r="G156" s="30"/>
      <c r="H156" s="25"/>
    </row>
    <row r="157" spans="1:9" x14ac:dyDescent="0.25">
      <c r="A157"/>
      <c r="B157" s="3"/>
      <c r="C157" s="9"/>
      <c r="D157" s="15"/>
      <c r="E157" s="7"/>
      <c r="G157" s="30"/>
      <c r="H157" s="25"/>
    </row>
    <row r="158" spans="1:9" x14ac:dyDescent="0.25">
      <c r="A158"/>
      <c r="B158" s="3"/>
      <c r="C158" s="8"/>
      <c r="D158" s="15"/>
      <c r="E158" s="7"/>
      <c r="G158" s="30"/>
      <c r="H158" s="25"/>
    </row>
    <row r="159" spans="1:9" x14ac:dyDescent="0.25">
      <c r="A159"/>
      <c r="B159" s="3"/>
      <c r="C159" s="9"/>
      <c r="D159" s="15"/>
      <c r="E159" s="7"/>
      <c r="G159" s="30"/>
      <c r="H159" s="25"/>
    </row>
    <row r="160" spans="1:9" x14ac:dyDescent="0.25">
      <c r="A160"/>
      <c r="B160" s="3"/>
      <c r="C160" s="9"/>
      <c r="D160" s="15"/>
      <c r="E160" s="7"/>
      <c r="G160" s="30"/>
      <c r="H160" s="25"/>
    </row>
    <row r="161" spans="1:8" x14ac:dyDescent="0.25">
      <c r="A161"/>
      <c r="B161" s="3"/>
      <c r="C161" s="9"/>
      <c r="D161" s="15"/>
      <c r="E161" s="7"/>
      <c r="G161" s="30"/>
      <c r="H161" s="25"/>
    </row>
    <row r="162" spans="1:8" x14ac:dyDescent="0.25">
      <c r="A162"/>
      <c r="B162" s="3"/>
      <c r="C162" s="9"/>
      <c r="D162" s="15"/>
      <c r="E162" s="7"/>
      <c r="G162" s="30"/>
      <c r="H162" s="25"/>
    </row>
    <row r="163" spans="1:8" x14ac:dyDescent="0.25">
      <c r="A163"/>
      <c r="B163" s="3"/>
      <c r="C163" s="9"/>
      <c r="D163" s="15"/>
      <c r="E163" s="7"/>
      <c r="G163" s="30"/>
      <c r="H163" s="25"/>
    </row>
    <row r="164" spans="1:8" x14ac:dyDescent="0.25">
      <c r="A164"/>
      <c r="B164" s="3"/>
      <c r="C164" s="9"/>
      <c r="D164" s="15"/>
      <c r="E164" s="7"/>
      <c r="G164" s="30"/>
      <c r="H164" s="25"/>
    </row>
    <row r="165" spans="1:8" x14ac:dyDescent="0.25">
      <c r="A165"/>
      <c r="B165" s="3"/>
      <c r="C165" s="9"/>
      <c r="D165" s="15"/>
      <c r="E165" s="7"/>
      <c r="G165" s="30"/>
      <c r="H165" s="25"/>
    </row>
    <row r="166" spans="1:8" x14ac:dyDescent="0.25">
      <c r="A166"/>
      <c r="B166" s="3"/>
      <c r="C166" s="9"/>
      <c r="D166" s="15"/>
      <c r="E166" s="7"/>
      <c r="G166" s="30"/>
      <c r="H166" s="25"/>
    </row>
    <row r="167" spans="1:8" x14ac:dyDescent="0.25">
      <c r="A167"/>
      <c r="B167" s="3"/>
      <c r="C167" s="9"/>
      <c r="D167" s="15"/>
      <c r="E167" s="7"/>
      <c r="G167" s="30"/>
      <c r="H167" s="25"/>
    </row>
    <row r="168" spans="1:8" x14ac:dyDescent="0.25">
      <c r="A168"/>
      <c r="B168" s="3"/>
      <c r="C168" s="9"/>
      <c r="D168" s="10"/>
      <c r="E168" s="7"/>
      <c r="G168" s="30"/>
      <c r="H168" s="25"/>
    </row>
    <row r="169" spans="1:8" x14ac:dyDescent="0.25">
      <c r="A169"/>
      <c r="B169" s="3"/>
      <c r="C169" s="9"/>
      <c r="D169" s="15"/>
      <c r="E169" s="7"/>
      <c r="G169" s="30"/>
      <c r="H169" s="25"/>
    </row>
    <row r="170" spans="1:8" x14ac:dyDescent="0.25">
      <c r="A170"/>
      <c r="B170" s="3"/>
      <c r="C170" s="9"/>
      <c r="D170" s="15"/>
      <c r="E170" s="7"/>
      <c r="G170" s="30"/>
      <c r="H170" s="25"/>
    </row>
    <row r="171" spans="1:8" x14ac:dyDescent="0.25">
      <c r="A171"/>
      <c r="B171" s="3"/>
      <c r="C171" s="9"/>
      <c r="D171" s="15"/>
      <c r="E171" s="7"/>
      <c r="G171" s="30"/>
      <c r="H171" s="25"/>
    </row>
    <row r="172" spans="1:8" x14ac:dyDescent="0.25">
      <c r="A172"/>
      <c r="B172" s="3"/>
      <c r="C172" s="9"/>
      <c r="D172" s="15"/>
      <c r="E172" s="7"/>
      <c r="G172" s="30"/>
      <c r="H172" s="25"/>
    </row>
    <row r="173" spans="1:8" x14ac:dyDescent="0.25">
      <c r="A173"/>
      <c r="B173" s="3"/>
      <c r="C173" s="9"/>
      <c r="D173" s="15"/>
      <c r="E173" s="7"/>
      <c r="G173" s="30"/>
      <c r="H173" s="25"/>
    </row>
    <row r="174" spans="1:8" x14ac:dyDescent="0.25">
      <c r="A174"/>
      <c r="B174" s="3"/>
      <c r="C174" s="9"/>
      <c r="D174" s="15"/>
      <c r="E174" s="7"/>
      <c r="G174" s="30"/>
      <c r="H174" s="25"/>
    </row>
    <row r="175" spans="1:8" x14ac:dyDescent="0.25">
      <c r="A175"/>
      <c r="B175" s="3"/>
      <c r="C175" s="9"/>
      <c r="D175" s="15"/>
      <c r="E175" s="7"/>
      <c r="G175" s="30"/>
      <c r="H175" s="25"/>
    </row>
    <row r="176" spans="1:8" x14ac:dyDescent="0.25">
      <c r="A176"/>
      <c r="B176" s="3"/>
      <c r="C176" s="9"/>
      <c r="D176" s="15"/>
      <c r="E176" s="7"/>
      <c r="G176" s="30"/>
      <c r="H176" s="25"/>
    </row>
    <row r="177" spans="1:8" x14ac:dyDescent="0.25">
      <c r="A177"/>
      <c r="B177" s="3"/>
      <c r="C177" s="9"/>
      <c r="D177" s="15"/>
      <c r="E177" s="7"/>
      <c r="G177" s="30"/>
      <c r="H177" s="25"/>
    </row>
    <row r="178" spans="1:8" x14ac:dyDescent="0.25">
      <c r="A178"/>
      <c r="B178" s="3"/>
      <c r="C178" s="9"/>
      <c r="D178" s="15"/>
      <c r="E178" s="7"/>
      <c r="G178" s="30"/>
      <c r="H178" s="25"/>
    </row>
    <row r="179" spans="1:8" x14ac:dyDescent="0.25">
      <c r="A179"/>
      <c r="B179" s="3"/>
      <c r="C179" s="9"/>
      <c r="D179" s="15"/>
      <c r="E179" s="7"/>
      <c r="G179" s="30"/>
      <c r="H179" s="25"/>
    </row>
    <row r="180" spans="1:8" x14ac:dyDescent="0.25">
      <c r="A180"/>
      <c r="B180" s="3"/>
      <c r="C180" s="9"/>
      <c r="D180" s="15"/>
      <c r="E180" s="7"/>
      <c r="G180" s="30"/>
      <c r="H180" s="25"/>
    </row>
    <row r="181" spans="1:8" x14ac:dyDescent="0.25">
      <c r="A181"/>
      <c r="B181" s="3"/>
      <c r="C181" s="9"/>
      <c r="D181" s="15"/>
      <c r="E181" s="7"/>
      <c r="G181" s="30"/>
      <c r="H181" s="25"/>
    </row>
    <row r="182" spans="1:8" x14ac:dyDescent="0.25">
      <c r="A182"/>
      <c r="B182" s="3"/>
      <c r="C182" s="9"/>
      <c r="D182" s="15"/>
      <c r="E182" s="7"/>
      <c r="G182" s="30"/>
      <c r="H182" s="25"/>
    </row>
    <row r="183" spans="1:8" x14ac:dyDescent="0.25">
      <c r="A183"/>
      <c r="B183" s="3"/>
      <c r="C183" s="9"/>
      <c r="D183" s="15"/>
      <c r="E183" s="7"/>
      <c r="G183" s="30"/>
      <c r="H183" s="25"/>
    </row>
    <row r="184" spans="1:8" x14ac:dyDescent="0.25">
      <c r="A184"/>
      <c r="B184" s="3"/>
      <c r="C184" s="9"/>
      <c r="D184" s="15"/>
      <c r="E184" s="7"/>
      <c r="G184" s="30"/>
      <c r="H184" s="25"/>
    </row>
    <row r="185" spans="1:8" x14ac:dyDescent="0.25">
      <c r="A185"/>
      <c r="B185" s="3"/>
      <c r="C185" s="9"/>
      <c r="D185" s="15"/>
      <c r="E185" s="7"/>
      <c r="G185" s="30"/>
      <c r="H185" s="25"/>
    </row>
    <row r="186" spans="1:8" x14ac:dyDescent="0.25">
      <c r="A186"/>
      <c r="B186" s="3"/>
      <c r="C186" s="9"/>
      <c r="D186" s="15"/>
      <c r="E186" s="7"/>
      <c r="G186" s="30"/>
      <c r="H186" s="25"/>
    </row>
    <row r="187" spans="1:8" x14ac:dyDescent="0.25">
      <c r="A187"/>
      <c r="B187" s="3"/>
      <c r="C187" s="9"/>
      <c r="D187" s="15"/>
      <c r="E187" s="7"/>
      <c r="G187" s="30"/>
      <c r="H187" s="25"/>
    </row>
    <row r="188" spans="1:8" x14ac:dyDescent="0.25">
      <c r="A188"/>
      <c r="B188" s="3"/>
      <c r="C188" s="8"/>
      <c r="D188" s="15"/>
      <c r="E188" s="7"/>
      <c r="G188" s="30"/>
      <c r="H188" s="25"/>
    </row>
    <row r="189" spans="1:8" x14ac:dyDescent="0.25">
      <c r="A189"/>
      <c r="B189" s="3"/>
      <c r="C189" s="9"/>
      <c r="D189" s="15"/>
      <c r="E189" s="7"/>
      <c r="G189" s="30"/>
      <c r="H189" s="25"/>
    </row>
    <row r="190" spans="1:8" x14ac:dyDescent="0.25">
      <c r="A190"/>
      <c r="B190" s="3"/>
      <c r="C190" s="8"/>
      <c r="D190" s="15"/>
      <c r="E190" s="7"/>
      <c r="G190" s="30"/>
      <c r="H190" s="25"/>
    </row>
    <row r="191" spans="1:8" x14ac:dyDescent="0.25">
      <c r="A191"/>
      <c r="B191" s="3"/>
      <c r="C191" s="9"/>
      <c r="D191" s="15"/>
      <c r="E191" s="7"/>
      <c r="G191" s="30"/>
      <c r="H191" s="25"/>
    </row>
    <row r="192" spans="1:8" x14ac:dyDescent="0.25">
      <c r="A192"/>
      <c r="B192" s="3"/>
      <c r="C192" s="9"/>
      <c r="D192" s="15"/>
      <c r="E192" s="7"/>
      <c r="G192" s="30"/>
      <c r="H192" s="25"/>
    </row>
    <row r="193" spans="1:8" x14ac:dyDescent="0.25">
      <c r="A193"/>
      <c r="B193" s="3"/>
      <c r="C193" s="9"/>
      <c r="D193" s="15"/>
      <c r="E193" s="7"/>
      <c r="G193" s="30"/>
      <c r="H193" s="25"/>
    </row>
    <row r="194" spans="1:8" x14ac:dyDescent="0.25">
      <c r="A194"/>
      <c r="B194" s="3"/>
      <c r="C194" s="9"/>
      <c r="D194" s="15"/>
      <c r="E194" s="7"/>
      <c r="G194" s="30"/>
      <c r="H194" s="25"/>
    </row>
    <row r="195" spans="1:8" x14ac:dyDescent="0.25">
      <c r="A195"/>
      <c r="B195" s="3"/>
      <c r="C195" s="9"/>
      <c r="D195" s="15"/>
      <c r="E195" s="7"/>
      <c r="G195" s="30"/>
      <c r="H195" s="25"/>
    </row>
    <row r="196" spans="1:8" x14ac:dyDescent="0.25">
      <c r="A196"/>
      <c r="B196" s="3"/>
      <c r="C196" s="9"/>
      <c r="D196" s="15"/>
      <c r="E196" s="7"/>
      <c r="G196" s="30"/>
      <c r="H196" s="25"/>
    </row>
    <row r="197" spans="1:8" x14ac:dyDescent="0.25">
      <c r="A197"/>
      <c r="B197" s="3"/>
      <c r="C197" s="9"/>
      <c r="D197" s="15"/>
      <c r="E197" s="7"/>
      <c r="G197" s="30"/>
      <c r="H197" s="25"/>
    </row>
    <row r="198" spans="1:8" x14ac:dyDescent="0.25">
      <c r="A198"/>
      <c r="B198" s="3"/>
      <c r="C198" s="8"/>
      <c r="D198" s="15"/>
      <c r="E198" s="7"/>
      <c r="G198" s="30"/>
      <c r="H198" s="25"/>
    </row>
    <row r="199" spans="1:8" x14ac:dyDescent="0.25">
      <c r="A199"/>
      <c r="B199" s="3"/>
      <c r="C199" s="9"/>
      <c r="D199" s="15"/>
      <c r="E199" s="7"/>
      <c r="G199" s="30"/>
      <c r="H199" s="25"/>
    </row>
    <row r="200" spans="1:8" x14ac:dyDescent="0.25">
      <c r="A200"/>
      <c r="B200" s="3"/>
      <c r="C200" s="9"/>
      <c r="D200" s="15"/>
      <c r="E200" s="7"/>
      <c r="G200" s="30"/>
      <c r="H200" s="25"/>
    </row>
    <row r="201" spans="1:8" x14ac:dyDescent="0.25">
      <c r="A201"/>
      <c r="B201" s="3"/>
      <c r="C201" s="9"/>
      <c r="D201" s="15"/>
      <c r="E201" s="7"/>
      <c r="G201" s="30"/>
      <c r="H201" s="25"/>
    </row>
    <row r="202" spans="1:8" x14ac:dyDescent="0.25">
      <c r="A202"/>
      <c r="B202" s="3"/>
      <c r="C202" s="9"/>
      <c r="D202" s="15"/>
      <c r="E202" s="7"/>
      <c r="G202" s="30"/>
      <c r="H202" s="25"/>
    </row>
    <row r="203" spans="1:8" x14ac:dyDescent="0.25">
      <c r="A203"/>
      <c r="B203" s="3"/>
      <c r="C203" s="9"/>
      <c r="D203" s="15"/>
      <c r="E203" s="7"/>
      <c r="G203" s="30"/>
      <c r="H203" s="25"/>
    </row>
    <row r="204" spans="1:8" x14ac:dyDescent="0.25">
      <c r="A204"/>
      <c r="B204" s="3"/>
      <c r="C204" s="9"/>
      <c r="D204" s="15"/>
      <c r="E204" s="7"/>
      <c r="G204" s="30"/>
      <c r="H204" s="25"/>
    </row>
    <row r="205" spans="1:8" x14ac:dyDescent="0.25">
      <c r="A205"/>
      <c r="B205" s="3"/>
      <c r="C205" s="9"/>
      <c r="D205" s="10"/>
      <c r="E205" s="7"/>
      <c r="G205" s="30"/>
      <c r="H205" s="25"/>
    </row>
    <row r="206" spans="1:8" x14ac:dyDescent="0.25">
      <c r="A206"/>
      <c r="B206" s="3"/>
      <c r="C206" s="9"/>
      <c r="D206" s="15"/>
      <c r="E206" s="7"/>
      <c r="G206" s="30"/>
      <c r="H206" s="25"/>
    </row>
    <row r="207" spans="1:8" x14ac:dyDescent="0.25">
      <c r="A207"/>
      <c r="B207" s="3"/>
      <c r="C207" s="9"/>
      <c r="D207" s="15"/>
      <c r="E207" s="7"/>
      <c r="G207" s="30"/>
      <c r="H207" s="25"/>
    </row>
    <row r="208" spans="1:8" x14ac:dyDescent="0.25">
      <c r="A208"/>
      <c r="B208" s="3"/>
      <c r="C208" s="9"/>
      <c r="D208" s="15"/>
      <c r="E208" s="7"/>
      <c r="G208" s="30"/>
      <c r="H208" s="25"/>
    </row>
    <row r="209" spans="1:8" x14ac:dyDescent="0.25">
      <c r="A209"/>
      <c r="B209" s="3"/>
      <c r="C209" s="9"/>
      <c r="D209" s="15"/>
      <c r="E209" s="7"/>
      <c r="G209" s="30"/>
      <c r="H209" s="25"/>
    </row>
    <row r="210" spans="1:8" x14ac:dyDescent="0.25">
      <c r="A210"/>
      <c r="B210" s="3"/>
      <c r="C210" s="9"/>
      <c r="D210" s="15"/>
      <c r="E210" s="7"/>
      <c r="G210" s="30"/>
      <c r="H210" s="25"/>
    </row>
    <row r="211" spans="1:8" x14ac:dyDescent="0.25">
      <c r="A211"/>
      <c r="B211" s="3"/>
      <c r="C211" s="9"/>
      <c r="D211" s="15"/>
      <c r="E211" s="7"/>
      <c r="G211" s="30"/>
      <c r="H211" s="25"/>
    </row>
    <row r="212" spans="1:8" x14ac:dyDescent="0.25">
      <c r="A212"/>
      <c r="B212" s="3"/>
      <c r="C212" s="9"/>
      <c r="D212" s="15"/>
      <c r="E212" s="7"/>
      <c r="G212" s="30"/>
      <c r="H212" s="25"/>
    </row>
    <row r="213" spans="1:8" x14ac:dyDescent="0.25">
      <c r="A213"/>
      <c r="B213" s="3"/>
      <c r="C213" s="9"/>
      <c r="D213" s="15"/>
      <c r="E213" s="7"/>
      <c r="G213" s="30"/>
      <c r="H213" s="25"/>
    </row>
    <row r="214" spans="1:8" x14ac:dyDescent="0.25">
      <c r="A214"/>
      <c r="B214" s="3"/>
      <c r="C214" s="9"/>
      <c r="D214" s="15"/>
      <c r="E214" s="7"/>
      <c r="G214" s="30"/>
      <c r="H214" s="25"/>
    </row>
    <row r="215" spans="1:8" x14ac:dyDescent="0.25">
      <c r="A215"/>
      <c r="B215" s="3"/>
      <c r="C215" s="9"/>
      <c r="D215" s="15"/>
      <c r="E215" s="7"/>
      <c r="G215" s="30"/>
      <c r="H215" s="25"/>
    </row>
    <row r="216" spans="1:8" x14ac:dyDescent="0.25">
      <c r="A216"/>
      <c r="B216" s="3"/>
      <c r="C216" s="9"/>
      <c r="D216" s="15"/>
      <c r="E216" s="7"/>
      <c r="G216" s="30"/>
      <c r="H216" s="25"/>
    </row>
    <row r="217" spans="1:8" x14ac:dyDescent="0.25">
      <c r="A217"/>
      <c r="B217" s="3"/>
      <c r="C217" s="9"/>
      <c r="D217" s="15"/>
      <c r="E217" s="7"/>
      <c r="G217" s="30"/>
      <c r="H217" s="25"/>
    </row>
    <row r="218" spans="1:8" x14ac:dyDescent="0.25">
      <c r="A218"/>
      <c r="B218" s="3"/>
      <c r="C218" s="9"/>
      <c r="D218" s="15"/>
      <c r="E218" s="7"/>
      <c r="G218" s="30"/>
      <c r="H218" s="25"/>
    </row>
    <row r="219" spans="1:8" x14ac:dyDescent="0.25">
      <c r="A219"/>
      <c r="B219" s="3"/>
      <c r="C219" s="9"/>
      <c r="D219" s="15"/>
      <c r="E219" s="7"/>
      <c r="G219" s="30"/>
      <c r="H219" s="25"/>
    </row>
    <row r="220" spans="1:8" x14ac:dyDescent="0.25">
      <c r="A220"/>
      <c r="B220" s="3"/>
      <c r="C220" s="9"/>
      <c r="D220" s="15"/>
      <c r="E220" s="7"/>
      <c r="G220" s="30"/>
      <c r="H220" s="25"/>
    </row>
    <row r="221" spans="1:8" x14ac:dyDescent="0.25">
      <c r="A221"/>
      <c r="B221" s="3"/>
      <c r="C221" s="9"/>
      <c r="D221" s="15"/>
      <c r="E221" s="7"/>
      <c r="G221" s="30"/>
      <c r="H221" s="25"/>
    </row>
    <row r="222" spans="1:8" x14ac:dyDescent="0.25">
      <c r="A222"/>
      <c r="B222" s="3"/>
      <c r="C222" s="9"/>
      <c r="D222" s="15"/>
      <c r="E222" s="7"/>
      <c r="G222" s="30"/>
      <c r="H222" s="25"/>
    </row>
    <row r="223" spans="1:8" x14ac:dyDescent="0.25">
      <c r="A223"/>
      <c r="B223" s="3"/>
      <c r="C223" s="9"/>
      <c r="D223" s="15"/>
      <c r="E223" s="7"/>
      <c r="G223" s="30"/>
      <c r="H223" s="25"/>
    </row>
    <row r="224" spans="1:8" x14ac:dyDescent="0.25">
      <c r="A224"/>
      <c r="B224" s="3"/>
      <c r="C224" s="9"/>
      <c r="D224" s="15"/>
      <c r="E224" s="7"/>
      <c r="G224" s="30"/>
      <c r="H224" s="25"/>
    </row>
    <row r="225" spans="1:8" x14ac:dyDescent="0.25">
      <c r="A225"/>
      <c r="B225" s="3"/>
      <c r="C225" s="9"/>
      <c r="D225" s="15"/>
      <c r="E225" s="7"/>
      <c r="G225" s="30"/>
      <c r="H225" s="25"/>
    </row>
    <row r="226" spans="1:8" x14ac:dyDescent="0.25">
      <c r="A226"/>
      <c r="B226" s="3"/>
      <c r="C226" s="9"/>
      <c r="D226" s="15"/>
      <c r="E226" s="7"/>
      <c r="G226" s="30"/>
      <c r="H226" s="25"/>
    </row>
    <row r="227" spans="1:8" x14ac:dyDescent="0.25">
      <c r="A227"/>
      <c r="B227" s="3"/>
      <c r="C227" s="9"/>
      <c r="D227" s="15"/>
      <c r="E227" s="7"/>
      <c r="G227" s="30"/>
      <c r="H227" s="25"/>
    </row>
    <row r="228" spans="1:8" x14ac:dyDescent="0.25">
      <c r="A228"/>
      <c r="B228" s="3"/>
      <c r="C228" s="9"/>
      <c r="D228" s="15"/>
      <c r="E228" s="7"/>
      <c r="G228" s="30"/>
      <c r="H228" s="25"/>
    </row>
    <row r="229" spans="1:8" x14ac:dyDescent="0.25">
      <c r="A229"/>
      <c r="B229" s="3"/>
      <c r="C229" s="9"/>
      <c r="D229" s="15"/>
      <c r="E229" s="7"/>
      <c r="G229" s="30"/>
      <c r="H229" s="25"/>
    </row>
    <row r="230" spans="1:8" x14ac:dyDescent="0.25">
      <c r="A230"/>
      <c r="B230" s="3"/>
      <c r="C230" s="9"/>
      <c r="D230" s="15"/>
      <c r="E230" s="7"/>
      <c r="G230" s="30"/>
      <c r="H230" s="25"/>
    </row>
    <row r="231" spans="1:8" x14ac:dyDescent="0.25">
      <c r="A231"/>
      <c r="B231" s="3"/>
      <c r="C231" s="9"/>
      <c r="D231" s="15"/>
      <c r="E231" s="7"/>
      <c r="G231" s="30"/>
      <c r="H231" s="25"/>
    </row>
    <row r="232" spans="1:8" x14ac:dyDescent="0.25">
      <c r="A232"/>
      <c r="B232" s="3"/>
      <c r="C232" s="9"/>
      <c r="D232" s="15"/>
      <c r="E232" s="7"/>
      <c r="G232" s="30"/>
      <c r="H232" s="25"/>
    </row>
    <row r="233" spans="1:8" x14ac:dyDescent="0.25">
      <c r="A233"/>
      <c r="B233" s="3"/>
      <c r="C233" s="8"/>
      <c r="D233" s="15"/>
      <c r="E233" s="7"/>
      <c r="G233" s="30"/>
      <c r="H233" s="25"/>
    </row>
    <row r="234" spans="1:8" x14ac:dyDescent="0.25">
      <c r="A234"/>
      <c r="B234" s="3"/>
      <c r="C234" s="9"/>
      <c r="D234" s="15"/>
      <c r="E234" s="7"/>
      <c r="G234" s="30"/>
      <c r="H234" s="25"/>
    </row>
    <row r="235" spans="1:8" x14ac:dyDescent="0.25">
      <c r="A235"/>
      <c r="B235" s="3"/>
      <c r="C235" s="8"/>
      <c r="D235" s="15"/>
      <c r="E235" s="7"/>
      <c r="G235" s="30"/>
      <c r="H235" s="25"/>
    </row>
    <row r="236" spans="1:8" x14ac:dyDescent="0.25">
      <c r="A236"/>
      <c r="B236" s="3"/>
      <c r="C236" s="9"/>
      <c r="D236" s="15"/>
      <c r="E236" s="7"/>
      <c r="G236" s="30"/>
      <c r="H236" s="25"/>
    </row>
    <row r="237" spans="1:8" x14ac:dyDescent="0.25">
      <c r="A237"/>
      <c r="B237" s="3"/>
      <c r="C237" s="9"/>
      <c r="D237" s="15"/>
      <c r="E237" s="7"/>
      <c r="G237" s="30"/>
      <c r="H237" s="25"/>
    </row>
    <row r="238" spans="1:8" x14ac:dyDescent="0.25">
      <c r="A238"/>
      <c r="B238" s="3"/>
      <c r="C238" s="9"/>
      <c r="D238" s="15"/>
      <c r="E238" s="7"/>
      <c r="G238" s="30"/>
      <c r="H238" s="25"/>
    </row>
    <row r="239" spans="1:8" x14ac:dyDescent="0.25">
      <c r="A239"/>
      <c r="B239" s="3"/>
      <c r="C239" s="9"/>
      <c r="D239" s="15"/>
      <c r="E239" s="7"/>
      <c r="G239" s="30"/>
      <c r="H239" s="25"/>
    </row>
    <row r="240" spans="1:8" x14ac:dyDescent="0.25">
      <c r="A240"/>
      <c r="B240" s="3"/>
      <c r="C240" s="9"/>
      <c r="D240" s="15"/>
      <c r="E240" s="7"/>
      <c r="G240" s="30"/>
      <c r="H240" s="25"/>
    </row>
    <row r="241" spans="1:8" x14ac:dyDescent="0.25">
      <c r="A241"/>
      <c r="B241" s="3"/>
      <c r="C241" s="8"/>
      <c r="D241" s="15"/>
      <c r="E241" s="7"/>
      <c r="G241" s="30"/>
      <c r="H241" s="25"/>
    </row>
    <row r="242" spans="1:8" x14ac:dyDescent="0.25">
      <c r="A242"/>
      <c r="B242" s="3"/>
      <c r="C242" s="9"/>
      <c r="D242" s="15"/>
      <c r="E242" s="7"/>
      <c r="G242" s="30"/>
      <c r="H242" s="25"/>
    </row>
    <row r="243" spans="1:8" x14ac:dyDescent="0.25">
      <c r="A243"/>
      <c r="B243" s="3"/>
      <c r="C243" s="8"/>
      <c r="D243" s="15"/>
      <c r="E243" s="7"/>
      <c r="G243" s="30"/>
      <c r="H243" s="25"/>
    </row>
    <row r="244" spans="1:8" x14ac:dyDescent="0.25">
      <c r="A244"/>
      <c r="B244" s="3"/>
      <c r="C244" s="9"/>
      <c r="D244" s="15"/>
      <c r="E244" s="7"/>
      <c r="G244" s="30"/>
      <c r="H244" s="25"/>
    </row>
    <row r="245" spans="1:8" x14ac:dyDescent="0.25">
      <c r="A245"/>
      <c r="B245" s="3"/>
      <c r="C245" s="9"/>
      <c r="D245" s="15"/>
      <c r="E245" s="7"/>
      <c r="G245" s="30"/>
      <c r="H245" s="25"/>
    </row>
    <row r="246" spans="1:8" x14ac:dyDescent="0.25">
      <c r="A246"/>
      <c r="B246" s="3"/>
      <c r="C246" s="9"/>
      <c r="D246" s="15"/>
      <c r="E246" s="7"/>
      <c r="G246" s="30"/>
      <c r="H246" s="25"/>
    </row>
    <row r="247" spans="1:8" x14ac:dyDescent="0.25">
      <c r="A247"/>
      <c r="B247" s="3"/>
      <c r="C247" s="8"/>
      <c r="D247" s="15"/>
      <c r="E247" s="7"/>
      <c r="G247" s="30"/>
      <c r="H247" s="25"/>
    </row>
    <row r="248" spans="1:8" x14ac:dyDescent="0.25">
      <c r="A248"/>
      <c r="B248" s="3"/>
      <c r="C248" s="9"/>
      <c r="D248" s="15"/>
      <c r="E248" s="7"/>
      <c r="G248" s="30"/>
      <c r="H248" s="25"/>
    </row>
    <row r="249" spans="1:8" x14ac:dyDescent="0.25">
      <c r="A249"/>
      <c r="B249" s="3"/>
      <c r="C249" s="9"/>
      <c r="D249" s="15"/>
      <c r="E249" s="7"/>
      <c r="G249" s="30"/>
      <c r="H249" s="25"/>
    </row>
    <row r="250" spans="1:8" x14ac:dyDescent="0.25">
      <c r="A250"/>
      <c r="B250" s="3"/>
      <c r="C250" s="9"/>
      <c r="D250" s="15"/>
      <c r="E250" s="7"/>
      <c r="G250" s="30"/>
      <c r="H250" s="25"/>
    </row>
    <row r="251" spans="1:8" x14ac:dyDescent="0.25">
      <c r="A251"/>
      <c r="B251" s="3"/>
      <c r="C251" s="9"/>
      <c r="D251" s="15"/>
      <c r="E251" s="7"/>
      <c r="G251" s="30"/>
      <c r="H251" s="25"/>
    </row>
    <row r="252" spans="1:8" x14ac:dyDescent="0.25">
      <c r="A252"/>
      <c r="B252" s="3"/>
      <c r="C252" s="8"/>
      <c r="D252" s="15"/>
      <c r="E252" s="7"/>
      <c r="G252" s="30"/>
      <c r="H252" s="25"/>
    </row>
    <row r="253" spans="1:8" x14ac:dyDescent="0.25">
      <c r="A253"/>
      <c r="B253" s="3"/>
      <c r="C253" s="9"/>
      <c r="D253" s="15"/>
      <c r="E253" s="7"/>
      <c r="G253" s="30"/>
      <c r="H253" s="25"/>
    </row>
    <row r="254" spans="1:8" x14ac:dyDescent="0.25">
      <c r="A254"/>
      <c r="B254" s="3"/>
      <c r="C254" s="9"/>
      <c r="D254" s="15"/>
      <c r="E254" s="7"/>
      <c r="G254" s="30"/>
      <c r="H254" s="25"/>
    </row>
    <row r="255" spans="1:8" x14ac:dyDescent="0.25">
      <c r="A255"/>
      <c r="B255" s="3"/>
      <c r="C255" s="8"/>
      <c r="D255" s="15"/>
      <c r="E255" s="7"/>
      <c r="G255" s="30"/>
      <c r="H255" s="25"/>
    </row>
    <row r="256" spans="1:8" x14ac:dyDescent="0.25">
      <c r="A256"/>
      <c r="B256" s="3"/>
      <c r="C256" s="8"/>
      <c r="D256" s="15"/>
      <c r="E256" s="7"/>
      <c r="G256" s="30"/>
      <c r="H256" s="25"/>
    </row>
    <row r="257" spans="1:8" x14ac:dyDescent="0.25">
      <c r="A257"/>
      <c r="B257" s="3"/>
      <c r="C257" s="9"/>
      <c r="D257" s="15"/>
      <c r="E257" s="7"/>
      <c r="G257" s="30"/>
      <c r="H257" s="25"/>
    </row>
    <row r="258" spans="1:8" x14ac:dyDescent="0.25">
      <c r="A258"/>
      <c r="B258" s="3"/>
      <c r="C258" s="8"/>
      <c r="D258" s="15"/>
      <c r="E258" s="7"/>
      <c r="G258" s="30"/>
      <c r="H258" s="25"/>
    </row>
    <row r="259" spans="1:8" x14ac:dyDescent="0.25">
      <c r="A259"/>
      <c r="B259" s="3"/>
      <c r="C259" s="9"/>
      <c r="D259" s="15"/>
      <c r="E259" s="7"/>
      <c r="G259" s="30"/>
      <c r="H259" s="25"/>
    </row>
    <row r="260" spans="1:8" x14ac:dyDescent="0.25">
      <c r="A260"/>
      <c r="B260" s="3"/>
      <c r="C260" s="9"/>
      <c r="D260" s="15"/>
      <c r="E260" s="7"/>
      <c r="G260" s="30"/>
      <c r="H260" s="25"/>
    </row>
    <row r="261" spans="1:8" x14ac:dyDescent="0.25">
      <c r="A261"/>
      <c r="B261" s="3"/>
      <c r="C261" s="9"/>
      <c r="D261" s="15"/>
      <c r="E261" s="7"/>
      <c r="G261" s="30"/>
      <c r="H261" s="25"/>
    </row>
    <row r="262" spans="1:8" x14ac:dyDescent="0.25">
      <c r="A262"/>
      <c r="B262" s="3"/>
      <c r="C262" s="9"/>
      <c r="D262" s="15"/>
      <c r="E262" s="7"/>
      <c r="G262" s="30"/>
      <c r="H262" s="25"/>
    </row>
    <row r="263" spans="1:8" x14ac:dyDescent="0.25">
      <c r="A263"/>
      <c r="B263" s="3"/>
      <c r="C263" s="9"/>
      <c r="D263" s="15"/>
      <c r="E263" s="7"/>
      <c r="G263" s="30"/>
      <c r="H263" s="25"/>
    </row>
    <row r="264" spans="1:8" x14ac:dyDescent="0.25">
      <c r="A264"/>
      <c r="B264" s="3"/>
      <c r="C264" s="8"/>
      <c r="D264" s="15"/>
      <c r="E264" s="7"/>
      <c r="G264" s="30"/>
      <c r="H264" s="25"/>
    </row>
    <row r="265" spans="1:8" x14ac:dyDescent="0.25">
      <c r="A265"/>
      <c r="B265" s="3"/>
      <c r="C265" s="9"/>
      <c r="D265" s="15"/>
      <c r="E265" s="7"/>
      <c r="G265" s="30"/>
      <c r="H265" s="25"/>
    </row>
    <row r="266" spans="1:8" x14ac:dyDescent="0.25">
      <c r="A266"/>
      <c r="B266" s="3"/>
      <c r="C266" s="9"/>
      <c r="D266" s="15"/>
      <c r="E266" s="7"/>
      <c r="G266" s="30"/>
      <c r="H266" s="25"/>
    </row>
    <row r="267" spans="1:8" x14ac:dyDescent="0.25">
      <c r="A267"/>
      <c r="B267" s="3"/>
      <c r="C267" s="9"/>
      <c r="D267" s="15"/>
      <c r="E267" s="7"/>
      <c r="G267" s="30"/>
      <c r="H267" s="25"/>
    </row>
    <row r="268" spans="1:8" x14ac:dyDescent="0.25">
      <c r="A268"/>
      <c r="B268" s="3"/>
      <c r="C268" s="8"/>
      <c r="D268" s="15"/>
      <c r="E268" s="7"/>
      <c r="G268" s="30"/>
      <c r="H268" s="25"/>
    </row>
    <row r="269" spans="1:8" x14ac:dyDescent="0.25">
      <c r="A269"/>
      <c r="B269" s="3"/>
      <c r="C269" s="9"/>
      <c r="D269" s="15"/>
      <c r="E269" s="7"/>
      <c r="G269" s="30"/>
      <c r="H269" s="25"/>
    </row>
    <row r="270" spans="1:8" x14ac:dyDescent="0.25">
      <c r="A270"/>
      <c r="B270" s="3"/>
      <c r="C270" s="9"/>
      <c r="D270" s="15"/>
      <c r="E270" s="7"/>
      <c r="G270" s="30"/>
      <c r="H270" s="25"/>
    </row>
    <row r="271" spans="1:8" x14ac:dyDescent="0.25">
      <c r="A271"/>
      <c r="B271" s="3"/>
      <c r="C271" s="9"/>
      <c r="D271" s="15"/>
      <c r="E271" s="7"/>
      <c r="G271" s="30"/>
      <c r="H271" s="25"/>
    </row>
    <row r="272" spans="1:8" x14ac:dyDescent="0.25">
      <c r="A272"/>
      <c r="B272" s="3"/>
      <c r="C272" s="9"/>
      <c r="D272" s="15"/>
      <c r="E272" s="7"/>
      <c r="G272" s="30"/>
      <c r="H272" s="25"/>
    </row>
    <row r="273" spans="1:8" x14ac:dyDescent="0.25">
      <c r="A273"/>
      <c r="B273" s="3"/>
      <c r="C273" s="9"/>
      <c r="D273" s="15"/>
      <c r="E273" s="7"/>
      <c r="G273" s="30"/>
      <c r="H273" s="25"/>
    </row>
    <row r="274" spans="1:8" x14ac:dyDescent="0.25">
      <c r="A274"/>
      <c r="B274" s="3"/>
      <c r="C274" s="9"/>
      <c r="D274" s="15"/>
      <c r="E274" s="7"/>
      <c r="G274" s="30"/>
      <c r="H274" s="25"/>
    </row>
    <row r="275" spans="1:8" x14ac:dyDescent="0.25">
      <c r="A275"/>
      <c r="B275" s="3"/>
      <c r="C275" s="9"/>
      <c r="D275" s="15"/>
      <c r="E275" s="7"/>
      <c r="G275" s="30"/>
      <c r="H275" s="25"/>
    </row>
    <row r="276" spans="1:8" x14ac:dyDescent="0.25">
      <c r="A276"/>
      <c r="B276" s="3"/>
      <c r="C276" s="8"/>
      <c r="D276" s="15"/>
      <c r="E276" s="7"/>
      <c r="G276" s="30"/>
      <c r="H276" s="25"/>
    </row>
    <row r="277" spans="1:8" x14ac:dyDescent="0.25">
      <c r="A277"/>
      <c r="B277" s="3"/>
      <c r="C277" s="9"/>
      <c r="D277" s="15"/>
      <c r="E277" s="7"/>
      <c r="G277" s="30"/>
      <c r="H277" s="25"/>
    </row>
    <row r="278" spans="1:8" x14ac:dyDescent="0.25">
      <c r="A278"/>
      <c r="B278" s="3"/>
      <c r="C278" s="9"/>
      <c r="D278" s="15"/>
      <c r="E278" s="7"/>
      <c r="G278" s="30"/>
      <c r="H278" s="25"/>
    </row>
    <row r="279" spans="1:8" x14ac:dyDescent="0.25">
      <c r="A279"/>
      <c r="B279" s="3"/>
      <c r="C279" s="9"/>
      <c r="D279" s="15"/>
      <c r="E279" s="7"/>
      <c r="G279" s="30"/>
      <c r="H279" s="25"/>
    </row>
    <row r="280" spans="1:8" x14ac:dyDescent="0.25">
      <c r="A280"/>
      <c r="B280" s="3"/>
      <c r="C280" s="9"/>
      <c r="D280" s="15"/>
      <c r="E280" s="7"/>
      <c r="G280" s="30"/>
      <c r="H280" s="25"/>
    </row>
    <row r="281" spans="1:8" x14ac:dyDescent="0.25">
      <c r="A281"/>
      <c r="B281" s="3"/>
      <c r="C281" s="8"/>
      <c r="D281" s="15"/>
      <c r="E281" s="7"/>
      <c r="G281" s="30"/>
      <c r="H281" s="25"/>
    </row>
    <row r="282" spans="1:8" x14ac:dyDescent="0.25">
      <c r="A282"/>
      <c r="B282" s="3"/>
      <c r="C282" s="9"/>
      <c r="D282" s="15"/>
      <c r="E282" s="7"/>
      <c r="G282" s="30"/>
      <c r="H282" s="25"/>
    </row>
    <row r="283" spans="1:8" x14ac:dyDescent="0.25">
      <c r="A283"/>
      <c r="B283" s="3"/>
      <c r="C283" s="9"/>
      <c r="D283" s="15"/>
      <c r="E283" s="7"/>
      <c r="G283" s="30"/>
      <c r="H283" s="25"/>
    </row>
    <row r="284" spans="1:8" x14ac:dyDescent="0.25">
      <c r="A284"/>
      <c r="B284" s="3"/>
      <c r="C284" s="9"/>
      <c r="D284" s="15"/>
      <c r="E284" s="7"/>
      <c r="G284" s="30"/>
      <c r="H284" s="25"/>
    </row>
    <row r="285" spans="1:8" x14ac:dyDescent="0.25">
      <c r="A285"/>
      <c r="B285" s="3"/>
      <c r="C285" s="9"/>
      <c r="D285" s="15"/>
      <c r="E285" s="7"/>
      <c r="G285" s="30"/>
      <c r="H285" s="25"/>
    </row>
    <row r="286" spans="1:8" x14ac:dyDescent="0.25">
      <c r="A286"/>
      <c r="B286" s="3"/>
      <c r="C286" s="9"/>
      <c r="D286" s="15"/>
      <c r="E286" s="7"/>
      <c r="G286" s="30"/>
      <c r="H286" s="25"/>
    </row>
    <row r="287" spans="1:8" x14ac:dyDescent="0.25">
      <c r="A287"/>
      <c r="B287" s="3"/>
      <c r="C287" s="9"/>
      <c r="D287" s="15"/>
      <c r="E287" s="7"/>
      <c r="G287" s="30"/>
      <c r="H287" s="25"/>
    </row>
    <row r="288" spans="1:8" x14ac:dyDescent="0.25">
      <c r="A288"/>
      <c r="B288" s="3"/>
      <c r="C288" s="8"/>
      <c r="D288" s="15"/>
      <c r="E288" s="7"/>
      <c r="G288" s="30"/>
      <c r="H288" s="25"/>
    </row>
    <row r="289" spans="1:8" x14ac:dyDescent="0.25">
      <c r="A289"/>
      <c r="B289" s="3"/>
      <c r="C289" s="9"/>
      <c r="D289" s="15"/>
      <c r="E289" s="7"/>
      <c r="G289" s="30"/>
      <c r="H289" s="25"/>
    </row>
    <row r="290" spans="1:8" x14ac:dyDescent="0.25">
      <c r="A290"/>
      <c r="B290" s="3"/>
      <c r="C290" s="9"/>
      <c r="D290" s="15"/>
      <c r="E290" s="7"/>
      <c r="G290" s="30"/>
      <c r="H290" s="25"/>
    </row>
    <row r="291" spans="1:8" x14ac:dyDescent="0.25">
      <c r="A291"/>
      <c r="B291" s="3"/>
      <c r="C291" s="9"/>
      <c r="D291" s="10"/>
      <c r="E291" s="7"/>
      <c r="G291" s="30"/>
      <c r="H291" s="25"/>
    </row>
    <row r="292" spans="1:8" x14ac:dyDescent="0.25">
      <c r="A292"/>
      <c r="B292" s="3"/>
      <c r="C292" s="9"/>
      <c r="D292" s="15"/>
      <c r="E292" s="7"/>
      <c r="G292" s="30"/>
      <c r="H292" s="25"/>
    </row>
    <row r="293" spans="1:8" x14ac:dyDescent="0.25">
      <c r="A293"/>
      <c r="B293" s="3"/>
      <c r="C293" s="9"/>
      <c r="D293" s="15"/>
      <c r="E293" s="7"/>
      <c r="G293" s="30"/>
      <c r="H293" s="25"/>
    </row>
    <row r="294" spans="1:8" x14ac:dyDescent="0.25">
      <c r="A294"/>
      <c r="B294" s="3"/>
      <c r="C294" s="9"/>
      <c r="D294" s="10"/>
      <c r="E294" s="7"/>
      <c r="G294" s="30"/>
      <c r="H294" s="25"/>
    </row>
    <row r="295" spans="1:8" ht="13.5" customHeight="1" x14ac:dyDescent="0.25">
      <c r="A295"/>
      <c r="B295" s="3"/>
      <c r="C295" s="9"/>
      <c r="D295" s="10"/>
      <c r="E295" s="7"/>
      <c r="G295" s="30"/>
      <c r="H295" s="25"/>
    </row>
    <row r="296" spans="1:8" ht="13.5" customHeight="1" x14ac:dyDescent="0.25">
      <c r="A296"/>
      <c r="B296" s="3"/>
      <c r="C296" s="9"/>
      <c r="D296" s="15"/>
      <c r="E296" s="7"/>
      <c r="G296" s="30"/>
      <c r="H296" s="25"/>
    </row>
    <row r="297" spans="1:8" ht="13.5" customHeight="1" x14ac:dyDescent="0.25">
      <c r="A297"/>
      <c r="B297" s="3"/>
      <c r="C297" s="8"/>
      <c r="G297" s="30"/>
      <c r="H297" s="25"/>
    </row>
    <row r="298" spans="1:8" ht="13.5" customHeight="1" x14ac:dyDescent="0.25">
      <c r="A298"/>
      <c r="B298" s="3"/>
      <c r="G298" s="30"/>
      <c r="H298" s="25"/>
    </row>
    <row r="299" spans="1:8" ht="13.5" customHeight="1" x14ac:dyDescent="0.25">
      <c r="A299"/>
      <c r="B299" s="3"/>
      <c r="G299" s="30"/>
      <c r="H299" s="25"/>
    </row>
    <row r="300" spans="1:8" ht="13.5" customHeight="1" x14ac:dyDescent="0.25">
      <c r="A300"/>
      <c r="B300" s="3"/>
      <c r="G300" s="30"/>
      <c r="H300" s="25"/>
    </row>
    <row r="301" spans="1:8" ht="13.5" customHeight="1" x14ac:dyDescent="0.25">
      <c r="A301"/>
      <c r="B301" s="3"/>
      <c r="D301" s="15"/>
      <c r="E301" s="7"/>
      <c r="G301" s="30"/>
      <c r="H301" s="25"/>
    </row>
    <row r="302" spans="1:8" ht="13.5" customHeight="1" x14ac:dyDescent="0.25">
      <c r="A302"/>
      <c r="B302" s="3"/>
      <c r="C302" s="9"/>
      <c r="D302" s="10"/>
      <c r="E302" s="7"/>
      <c r="G302" s="30"/>
      <c r="H302" s="25"/>
    </row>
    <row r="303" spans="1:8" ht="13.5" customHeight="1" x14ac:dyDescent="0.25">
      <c r="A303"/>
      <c r="B303" s="3"/>
      <c r="C303" s="9"/>
      <c r="D303" s="10"/>
      <c r="E303" s="7"/>
      <c r="G303" s="30"/>
      <c r="H303" s="25"/>
    </row>
    <row r="304" spans="1:8" ht="13.5" customHeight="1" x14ac:dyDescent="0.25">
      <c r="A304"/>
      <c r="B304" s="3"/>
      <c r="C304" s="9"/>
      <c r="D304" s="10"/>
      <c r="E304" s="7"/>
      <c r="G304" s="30"/>
      <c r="H304" s="25"/>
    </row>
    <row r="305" spans="1:8" ht="13.5" customHeight="1" x14ac:dyDescent="0.25">
      <c r="A305"/>
      <c r="B305" s="3"/>
      <c r="C305" s="8"/>
      <c r="D305" s="15"/>
      <c r="E305" s="7"/>
      <c r="H305" s="25"/>
    </row>
    <row r="306" spans="1:8" ht="13.5" customHeight="1" x14ac:dyDescent="0.25">
      <c r="A306"/>
      <c r="B306" s="3"/>
      <c r="C306" s="8"/>
      <c r="D306" s="10"/>
      <c r="E306" s="7"/>
      <c r="H306" s="25"/>
    </row>
    <row r="307" spans="1:8" ht="13.5" customHeight="1" x14ac:dyDescent="0.25">
      <c r="A307"/>
      <c r="B307" s="3"/>
      <c r="C307" s="8"/>
      <c r="D307" s="10"/>
      <c r="E307" s="7"/>
      <c r="H307" s="25"/>
    </row>
    <row r="308" spans="1:8" ht="13.5" customHeight="1" x14ac:dyDescent="0.25">
      <c r="A308"/>
      <c r="B308" s="3"/>
      <c r="C308" s="8"/>
      <c r="D308" s="10"/>
      <c r="E308" s="7"/>
      <c r="H308" s="25"/>
    </row>
    <row r="309" spans="1:8" ht="13.5" customHeight="1" x14ac:dyDescent="0.25">
      <c r="A309"/>
      <c r="B309" s="3"/>
      <c r="C309" s="9"/>
      <c r="D309" s="15"/>
      <c r="E309" s="7"/>
      <c r="H309" s="25"/>
    </row>
    <row r="310" spans="1:8" ht="13.5" customHeight="1" x14ac:dyDescent="0.25">
      <c r="A310"/>
      <c r="B310" s="3"/>
      <c r="C310" s="9"/>
      <c r="D310" s="15"/>
      <c r="E310" s="7"/>
      <c r="H310" s="25"/>
    </row>
    <row r="311" spans="1:8" ht="13.5" customHeight="1" x14ac:dyDescent="0.25">
      <c r="A311"/>
      <c r="B311" s="3"/>
      <c r="C311" s="8"/>
      <c r="D311" s="10"/>
      <c r="E311" s="7"/>
      <c r="H311" s="25"/>
    </row>
    <row r="312" spans="1:8" ht="13.5" customHeight="1" x14ac:dyDescent="0.25">
      <c r="A312"/>
      <c r="B312" s="3"/>
      <c r="C312" s="8"/>
      <c r="D312" s="10"/>
      <c r="E312" s="7"/>
      <c r="H312" s="25"/>
    </row>
    <row r="313" spans="1:8" ht="13.5" customHeight="1" x14ac:dyDescent="0.25">
      <c r="A313"/>
      <c r="B313" s="3"/>
      <c r="C313" s="9"/>
      <c r="D313" s="15"/>
      <c r="E313" s="7"/>
      <c r="H313" s="25"/>
    </row>
    <row r="314" spans="1:8" ht="13.5" customHeight="1" x14ac:dyDescent="0.25">
      <c r="A314"/>
      <c r="B314" s="3"/>
      <c r="C314" s="9"/>
      <c r="D314" s="10"/>
      <c r="E314" s="7"/>
      <c r="H314" s="25"/>
    </row>
    <row r="315" spans="1:8" ht="13.5" customHeight="1" x14ac:dyDescent="0.25">
      <c r="A315"/>
      <c r="C315" s="9"/>
      <c r="D315" s="15"/>
      <c r="E315" s="7"/>
      <c r="H315" s="25"/>
    </row>
    <row r="316" spans="1:8" ht="13.5" customHeight="1" x14ac:dyDescent="0.25">
      <c r="A316"/>
      <c r="C316" s="9"/>
      <c r="D316" s="10"/>
      <c r="E316" s="7"/>
      <c r="H316" s="25"/>
    </row>
    <row r="317" spans="1:8" ht="13.5" customHeight="1" x14ac:dyDescent="0.25">
      <c r="A317"/>
      <c r="C317" s="9"/>
      <c r="D317" s="15"/>
      <c r="E317" s="7"/>
      <c r="H317" s="25"/>
    </row>
    <row r="318" spans="1:8" x14ac:dyDescent="0.25">
      <c r="A318"/>
      <c r="C318" s="8"/>
      <c r="D318" s="15"/>
      <c r="E318" s="7"/>
      <c r="H318" s="25"/>
    </row>
    <row r="319" spans="1:8" x14ac:dyDescent="0.25">
      <c r="A319"/>
      <c r="B319" s="3"/>
      <c r="C319" s="9"/>
      <c r="D319" s="10"/>
      <c r="E319" s="7"/>
      <c r="H319" s="25"/>
    </row>
    <row r="320" spans="1:8" x14ac:dyDescent="0.25">
      <c r="A320"/>
      <c r="B320" s="3"/>
      <c r="C320" s="9"/>
      <c r="D320" s="15"/>
      <c r="E320" s="7"/>
      <c r="H320" s="25"/>
    </row>
    <row r="321" spans="1:8" x14ac:dyDescent="0.25">
      <c r="A321"/>
      <c r="B321" s="3"/>
      <c r="C321" s="9"/>
      <c r="D321" s="15"/>
      <c r="E321" s="7"/>
      <c r="H321" s="25"/>
    </row>
    <row r="322" spans="1:8" x14ac:dyDescent="0.25">
      <c r="A322"/>
      <c r="B322" s="3"/>
      <c r="C322" s="9"/>
      <c r="D322" s="10"/>
      <c r="E322" s="7"/>
      <c r="H322" s="25"/>
    </row>
    <row r="323" spans="1:8" x14ac:dyDescent="0.25">
      <c r="A323"/>
      <c r="B323" s="3"/>
      <c r="C323" s="9"/>
      <c r="D323" s="15"/>
      <c r="E323" s="7"/>
      <c r="H323" s="25"/>
    </row>
    <row r="324" spans="1:8" x14ac:dyDescent="0.25">
      <c r="A324"/>
      <c r="B324" s="3"/>
      <c r="C324" s="9"/>
      <c r="D324" s="10"/>
      <c r="E324" s="7"/>
      <c r="H324" s="25"/>
    </row>
    <row r="325" spans="1:8" x14ac:dyDescent="0.25">
      <c r="A325"/>
      <c r="B325" s="3"/>
      <c r="C325" s="9"/>
      <c r="D325" s="10"/>
      <c r="E325" s="7"/>
      <c r="H325" s="25"/>
    </row>
    <row r="326" spans="1:8" x14ac:dyDescent="0.25">
      <c r="A326"/>
      <c r="B326" s="3"/>
      <c r="C326" s="9"/>
      <c r="D326" s="15"/>
      <c r="E326" s="7"/>
      <c r="H326" s="25"/>
    </row>
    <row r="327" spans="1:8" x14ac:dyDescent="0.25">
      <c r="A327"/>
      <c r="B327" s="3"/>
      <c r="C327" s="9"/>
      <c r="D327" s="10"/>
      <c r="E327" s="7"/>
      <c r="H327" s="25"/>
    </row>
    <row r="328" spans="1:8" x14ac:dyDescent="0.25">
      <c r="A328"/>
      <c r="B328" s="3"/>
      <c r="C328" s="9"/>
      <c r="D328" s="10"/>
      <c r="E328" s="7"/>
      <c r="H328" s="25"/>
    </row>
    <row r="329" spans="1:8" x14ac:dyDescent="0.25">
      <c r="A329"/>
      <c r="B329" s="3"/>
      <c r="C329" s="8"/>
      <c r="D329" s="10"/>
      <c r="E329" s="7"/>
      <c r="H329" s="25"/>
    </row>
    <row r="330" spans="1:8" x14ac:dyDescent="0.25">
      <c r="A330"/>
      <c r="B330" s="3"/>
      <c r="C330" s="8"/>
      <c r="D330" s="10"/>
      <c r="E330" s="7"/>
      <c r="H330" s="25"/>
    </row>
    <row r="331" spans="1:8" x14ac:dyDescent="0.25">
      <c r="A331"/>
      <c r="B331" s="3"/>
      <c r="C331" s="8"/>
      <c r="D331" s="10"/>
      <c r="E331" s="7"/>
      <c r="H331" s="25"/>
    </row>
    <row r="332" spans="1:8" x14ac:dyDescent="0.25">
      <c r="A332"/>
      <c r="B332" s="3"/>
      <c r="C332" s="9"/>
      <c r="D332" s="15"/>
      <c r="E332" s="7"/>
      <c r="H332" s="25"/>
    </row>
    <row r="333" spans="1:8" x14ac:dyDescent="0.25">
      <c r="A333"/>
      <c r="B333" s="3"/>
      <c r="C333" s="9"/>
      <c r="D333" s="15"/>
      <c r="E333" s="7"/>
      <c r="H333" s="25"/>
    </row>
    <row r="334" spans="1:8" x14ac:dyDescent="0.25">
      <c r="A334"/>
      <c r="B334" s="3"/>
      <c r="C334" s="8"/>
      <c r="D334" s="10"/>
      <c r="E334" s="7"/>
      <c r="H334" s="25"/>
    </row>
    <row r="335" spans="1:8" x14ac:dyDescent="0.25">
      <c r="A335"/>
      <c r="B335" s="3"/>
      <c r="C335" s="9"/>
      <c r="D335" s="10"/>
      <c r="E335" s="7"/>
      <c r="H335" s="25"/>
    </row>
    <row r="336" spans="1:8" x14ac:dyDescent="0.25">
      <c r="A336"/>
      <c r="B336" s="3"/>
      <c r="C336" s="9"/>
      <c r="D336" s="10"/>
      <c r="E336" s="7"/>
      <c r="H336" s="25"/>
    </row>
    <row r="337" spans="1:8" x14ac:dyDescent="0.25">
      <c r="A337"/>
      <c r="B337" s="3"/>
      <c r="C337" s="9"/>
      <c r="D337" s="15"/>
      <c r="E337" s="7"/>
      <c r="H337" s="25"/>
    </row>
    <row r="338" spans="1:8" x14ac:dyDescent="0.25">
      <c r="A338"/>
      <c r="B338" s="3"/>
      <c r="C338" s="9"/>
      <c r="D338" s="15"/>
      <c r="E338" s="7"/>
      <c r="H338" s="25"/>
    </row>
    <row r="339" spans="1:8" x14ac:dyDescent="0.25">
      <c r="A339"/>
      <c r="B339" s="3"/>
      <c r="C339" s="9"/>
      <c r="D339" s="15"/>
      <c r="E339" s="7"/>
      <c r="H339" s="25"/>
    </row>
    <row r="340" spans="1:8" x14ac:dyDescent="0.25">
      <c r="A340"/>
      <c r="B340" s="3"/>
      <c r="C340" s="8"/>
      <c r="D340" s="10"/>
      <c r="E340" s="7"/>
      <c r="H340" s="25"/>
    </row>
    <row r="341" spans="1:8" x14ac:dyDescent="0.25">
      <c r="A341"/>
      <c r="B341" s="3"/>
      <c r="C341" s="9"/>
      <c r="D341" s="10"/>
      <c r="E341" s="7"/>
      <c r="H341" s="25"/>
    </row>
    <row r="342" spans="1:8" x14ac:dyDescent="0.25">
      <c r="A342"/>
      <c r="B342" s="3"/>
      <c r="C342" s="9"/>
      <c r="D342" s="10"/>
      <c r="E342" s="7"/>
      <c r="H342" s="25"/>
    </row>
    <row r="343" spans="1:8" x14ac:dyDescent="0.25">
      <c r="A343"/>
      <c r="B343" s="3"/>
      <c r="C343" s="9"/>
      <c r="D343" s="10"/>
      <c r="E343" s="7"/>
      <c r="H343" s="25"/>
    </row>
    <row r="344" spans="1:8" x14ac:dyDescent="0.25">
      <c r="A344"/>
      <c r="B344" s="3"/>
      <c r="C344" s="9"/>
      <c r="D344" s="10"/>
      <c r="E344" s="7"/>
      <c r="H344" s="25"/>
    </row>
    <row r="345" spans="1:8" x14ac:dyDescent="0.25">
      <c r="A345"/>
      <c r="B345" s="3"/>
      <c r="C345" s="9"/>
      <c r="D345" s="10"/>
      <c r="E345" s="7"/>
      <c r="H345" s="25"/>
    </row>
    <row r="346" spans="1:8" x14ac:dyDescent="0.25">
      <c r="A346"/>
      <c r="B346" s="3"/>
      <c r="C346" s="9"/>
      <c r="D346" s="15"/>
      <c r="E346" s="7"/>
      <c r="H346" s="25"/>
    </row>
    <row r="347" spans="1:8" x14ac:dyDescent="0.25">
      <c r="A347"/>
      <c r="B347" s="3"/>
      <c r="C347" s="9"/>
      <c r="D347" s="10"/>
      <c r="E347" s="7"/>
      <c r="H347" s="25"/>
    </row>
    <row r="348" spans="1:8" x14ac:dyDescent="0.25">
      <c r="A348"/>
      <c r="B348" s="3"/>
      <c r="C348" s="9"/>
      <c r="D348" s="10"/>
      <c r="E348" s="7"/>
      <c r="H348" s="25"/>
    </row>
    <row r="349" spans="1:8" x14ac:dyDescent="0.25">
      <c r="A349"/>
      <c r="B349" s="3"/>
      <c r="C349" s="9"/>
      <c r="D349" s="15"/>
      <c r="E349" s="7"/>
      <c r="H349" s="25"/>
    </row>
    <row r="350" spans="1:8" x14ac:dyDescent="0.25">
      <c r="A350"/>
      <c r="B350" s="3"/>
      <c r="C350" s="8"/>
      <c r="D350" s="10"/>
      <c r="E350" s="7"/>
      <c r="H350" s="25"/>
    </row>
    <row r="351" spans="1:8" x14ac:dyDescent="0.25">
      <c r="A351"/>
      <c r="B351" s="3"/>
      <c r="C351" s="9"/>
      <c r="D351" s="10"/>
      <c r="E351" s="7"/>
      <c r="H351" s="25"/>
    </row>
    <row r="352" spans="1:8" x14ac:dyDescent="0.25">
      <c r="A352"/>
      <c r="B352" s="3"/>
      <c r="C352" s="9"/>
      <c r="D352" s="10"/>
      <c r="E352" s="7"/>
      <c r="H352" s="25"/>
    </row>
    <row r="353" spans="1:8" x14ac:dyDescent="0.25">
      <c r="A353"/>
      <c r="B353" s="3"/>
      <c r="C353" s="8"/>
      <c r="D353" s="10"/>
      <c r="E353" s="7"/>
      <c r="H353" s="25"/>
    </row>
    <row r="354" spans="1:8" x14ac:dyDescent="0.25">
      <c r="A354"/>
      <c r="B354" s="3"/>
      <c r="C354" s="8"/>
      <c r="D354" s="10"/>
      <c r="E354" s="7"/>
      <c r="H354" s="25"/>
    </row>
    <row r="355" spans="1:8" x14ac:dyDescent="0.25">
      <c r="A355"/>
      <c r="B355" s="3"/>
      <c r="C355" s="9"/>
      <c r="D355" s="10"/>
      <c r="E355" s="7"/>
      <c r="H355" s="25"/>
    </row>
    <row r="356" spans="1:8" x14ac:dyDescent="0.25">
      <c r="A356"/>
      <c r="B356" s="3"/>
      <c r="C356" s="9"/>
      <c r="D356" s="10"/>
      <c r="E356" s="7"/>
      <c r="H356" s="25"/>
    </row>
    <row r="357" spans="1:8" x14ac:dyDescent="0.25">
      <c r="A357"/>
      <c r="B357" s="3"/>
      <c r="C357" s="9"/>
      <c r="D357" s="10"/>
      <c r="E357" s="7"/>
      <c r="H357" s="25"/>
    </row>
    <row r="358" spans="1:8" x14ac:dyDescent="0.25">
      <c r="A358"/>
      <c r="B358" s="3"/>
      <c r="C358" s="9"/>
      <c r="D358" s="10"/>
      <c r="E358" s="7"/>
      <c r="H358" s="25"/>
    </row>
    <row r="359" spans="1:8" x14ac:dyDescent="0.25">
      <c r="A359"/>
      <c r="B359" s="3"/>
      <c r="C359" s="8"/>
      <c r="D359" s="10"/>
      <c r="E359" s="7"/>
      <c r="H359" s="25"/>
    </row>
    <row r="360" spans="1:8" x14ac:dyDescent="0.25">
      <c r="A360"/>
      <c r="B360" s="3"/>
      <c r="C360" s="9"/>
      <c r="D360" s="15"/>
      <c r="E360" s="7"/>
      <c r="H360" s="25"/>
    </row>
    <row r="361" spans="1:8" x14ac:dyDescent="0.25">
      <c r="A361"/>
      <c r="B361" s="3"/>
      <c r="C361" s="9"/>
      <c r="D361" s="15"/>
      <c r="E361" s="7"/>
      <c r="H361" s="25"/>
    </row>
    <row r="362" spans="1:8" x14ac:dyDescent="0.25">
      <c r="A362"/>
      <c r="B362" s="3"/>
      <c r="C362" s="8"/>
      <c r="D362" s="10"/>
      <c r="E362" s="7"/>
      <c r="H362" s="25"/>
    </row>
    <row r="363" spans="1:8" x14ac:dyDescent="0.25">
      <c r="A363"/>
      <c r="B363" s="3"/>
      <c r="C363" s="9"/>
      <c r="D363" s="10"/>
      <c r="E363" s="7"/>
      <c r="H363" s="25"/>
    </row>
    <row r="364" spans="1:8" x14ac:dyDescent="0.25">
      <c r="A364"/>
      <c r="B364" s="3"/>
      <c r="C364" s="9"/>
      <c r="D364" s="10"/>
      <c r="E364" s="7"/>
      <c r="H364" s="25"/>
    </row>
    <row r="365" spans="1:8" x14ac:dyDescent="0.25">
      <c r="A365"/>
      <c r="B365" s="3"/>
      <c r="C365" s="8"/>
      <c r="D365" s="10"/>
      <c r="E365" s="7"/>
      <c r="H365" s="25"/>
    </row>
    <row r="366" spans="1:8" x14ac:dyDescent="0.25">
      <c r="A366"/>
      <c r="B366" s="3"/>
      <c r="C366" s="9"/>
      <c r="D366" s="10"/>
      <c r="E366" s="7"/>
      <c r="H366" s="25"/>
    </row>
    <row r="367" spans="1:8" x14ac:dyDescent="0.25">
      <c r="A367"/>
      <c r="B367" s="3"/>
      <c r="C367" s="9"/>
      <c r="D367" s="15"/>
      <c r="E367" s="7"/>
      <c r="H367" s="25"/>
    </row>
    <row r="368" spans="1:8" x14ac:dyDescent="0.25">
      <c r="A368"/>
      <c r="B368" s="3"/>
      <c r="C368" s="8"/>
      <c r="D368" s="15"/>
      <c r="E368" s="7"/>
      <c r="H368" s="25"/>
    </row>
    <row r="369" spans="1:8" x14ac:dyDescent="0.25">
      <c r="A369"/>
      <c r="B369" s="3"/>
      <c r="C369" s="9"/>
      <c r="D369" s="10"/>
      <c r="E369" s="7"/>
      <c r="H369" s="25"/>
    </row>
    <row r="370" spans="1:8" x14ac:dyDescent="0.25">
      <c r="A370"/>
      <c r="B370" s="3"/>
      <c r="C370" s="9"/>
      <c r="D370" s="15"/>
      <c r="E370" s="7"/>
      <c r="H370" s="25"/>
    </row>
    <row r="371" spans="1:8" x14ac:dyDescent="0.25">
      <c r="A371"/>
      <c r="B371" s="3"/>
      <c r="C371" s="9"/>
      <c r="D371" s="10"/>
      <c r="E371" s="7"/>
      <c r="H371" s="25"/>
    </row>
    <row r="372" spans="1:8" x14ac:dyDescent="0.25">
      <c r="A372"/>
      <c r="B372" s="3"/>
      <c r="C372" s="8"/>
      <c r="D372" s="15"/>
      <c r="E372" s="7"/>
      <c r="H372" s="25"/>
    </row>
    <row r="373" spans="1:8" x14ac:dyDescent="0.25">
      <c r="A373"/>
      <c r="B373" s="3"/>
      <c r="C373" s="9"/>
      <c r="D373" s="10"/>
      <c r="E373" s="7"/>
      <c r="H373" s="25"/>
    </row>
    <row r="374" spans="1:8" x14ac:dyDescent="0.25">
      <c r="A374"/>
      <c r="B374" s="3"/>
      <c r="C374" s="9"/>
      <c r="D374" s="15"/>
      <c r="E374" s="7"/>
      <c r="H374" s="25"/>
    </row>
    <row r="375" spans="1:8" x14ac:dyDescent="0.25">
      <c r="A375"/>
      <c r="B375" s="3"/>
      <c r="C375" s="9"/>
      <c r="D375" s="10"/>
      <c r="E375" s="7"/>
      <c r="H375" s="25"/>
    </row>
    <row r="376" spans="1:8" x14ac:dyDescent="0.25">
      <c r="A376"/>
      <c r="B376" s="3"/>
      <c r="C376" s="9"/>
      <c r="D376" s="10"/>
      <c r="E376" s="7"/>
      <c r="H376" s="25"/>
    </row>
    <row r="377" spans="1:8" x14ac:dyDescent="0.25">
      <c r="A377"/>
      <c r="B377" s="3"/>
      <c r="C377" s="9"/>
      <c r="D377" s="15"/>
      <c r="E377" s="7"/>
      <c r="H377" s="25"/>
    </row>
    <row r="378" spans="1:8" x14ac:dyDescent="0.25">
      <c r="A378"/>
      <c r="B378" s="3"/>
      <c r="C378" s="9"/>
      <c r="D378" s="15"/>
      <c r="E378" s="7"/>
      <c r="H378" s="25"/>
    </row>
    <row r="379" spans="1:8" x14ac:dyDescent="0.25">
      <c r="A379"/>
      <c r="B379" s="3"/>
      <c r="C379" s="9"/>
      <c r="D379" s="15"/>
      <c r="E379" s="7"/>
      <c r="H379" s="25"/>
    </row>
    <row r="380" spans="1:8" x14ac:dyDescent="0.25">
      <c r="A380"/>
      <c r="B380" s="3"/>
      <c r="C380" s="9"/>
      <c r="D380" s="15"/>
      <c r="E380" s="7"/>
      <c r="H380" s="25"/>
    </row>
    <row r="381" spans="1:8" x14ac:dyDescent="0.25">
      <c r="A381"/>
      <c r="B381" s="3"/>
      <c r="C381" s="9"/>
      <c r="D381" s="10"/>
      <c r="E381" s="7"/>
      <c r="H381" s="25"/>
    </row>
    <row r="382" spans="1:8" x14ac:dyDescent="0.25">
      <c r="A382"/>
      <c r="B382" s="3"/>
      <c r="C382" s="8"/>
      <c r="D382" s="15"/>
      <c r="E382" s="7"/>
      <c r="H382" s="25"/>
    </row>
    <row r="383" spans="1:8" x14ac:dyDescent="0.25">
      <c r="A383"/>
      <c r="B383" s="3"/>
      <c r="C383" s="9"/>
      <c r="D383" s="15"/>
      <c r="E383" s="7"/>
      <c r="H383" s="25"/>
    </row>
    <row r="384" spans="1:8" x14ac:dyDescent="0.25">
      <c r="A384"/>
      <c r="B384" s="3"/>
      <c r="C384" s="9"/>
      <c r="D384" s="10"/>
      <c r="E384" s="7"/>
      <c r="H384" s="25"/>
    </row>
    <row r="385" spans="1:8" x14ac:dyDescent="0.25">
      <c r="A385"/>
      <c r="B385" s="3"/>
      <c r="C385" s="9"/>
      <c r="D385" s="15"/>
      <c r="E385" s="7"/>
      <c r="H385" s="25"/>
    </row>
    <row r="386" spans="1:8" x14ac:dyDescent="0.25">
      <c r="A386"/>
      <c r="B386" s="3"/>
      <c r="C386" s="9"/>
      <c r="D386" s="15"/>
      <c r="E386" s="7"/>
      <c r="H386" s="25"/>
    </row>
    <row r="387" spans="1:8" x14ac:dyDescent="0.25">
      <c r="A387"/>
      <c r="B387" s="3"/>
      <c r="C387" s="8"/>
      <c r="D387" s="10"/>
      <c r="E387" s="7"/>
      <c r="H387" s="25"/>
    </row>
    <row r="388" spans="1:8" x14ac:dyDescent="0.25">
      <c r="A388"/>
      <c r="B388" s="3"/>
      <c r="C388" s="9"/>
      <c r="D388" s="10"/>
      <c r="E388" s="7"/>
      <c r="H388" s="25"/>
    </row>
    <row r="389" spans="1:8" x14ac:dyDescent="0.25">
      <c r="A389"/>
      <c r="B389" s="3"/>
      <c r="C389" s="9"/>
      <c r="D389" s="10"/>
      <c r="E389" s="7"/>
      <c r="H389" s="25"/>
    </row>
    <row r="390" spans="1:8" x14ac:dyDescent="0.25">
      <c r="A390"/>
      <c r="B390" s="3"/>
      <c r="C390" s="9"/>
      <c r="D390" s="15"/>
      <c r="E390" s="7"/>
      <c r="H390" s="25"/>
    </row>
    <row r="391" spans="1:8" x14ac:dyDescent="0.25">
      <c r="A391"/>
      <c r="B391" s="3"/>
      <c r="C391" s="8"/>
      <c r="D391" s="10"/>
      <c r="E391" s="7"/>
      <c r="H391" s="25"/>
    </row>
    <row r="392" spans="1:8" x14ac:dyDescent="0.25">
      <c r="A392"/>
      <c r="B392" s="3"/>
      <c r="C392" s="9"/>
      <c r="D392" s="15"/>
      <c r="E392" s="7"/>
      <c r="H392" s="25"/>
    </row>
    <row r="393" spans="1:8" x14ac:dyDescent="0.25">
      <c r="A393"/>
      <c r="B393" s="3"/>
      <c r="C393" s="9"/>
      <c r="D393" s="10"/>
      <c r="E393" s="7"/>
      <c r="H393" s="25"/>
    </row>
    <row r="394" spans="1:8" x14ac:dyDescent="0.25">
      <c r="A394"/>
      <c r="B394" s="3"/>
      <c r="C394" s="9"/>
      <c r="D394" s="10"/>
      <c r="E394" s="7"/>
      <c r="H394" s="25"/>
    </row>
    <row r="395" spans="1:8" x14ac:dyDescent="0.25">
      <c r="A395"/>
      <c r="B395" s="3"/>
      <c r="C395" s="9"/>
      <c r="D395" s="10"/>
      <c r="E395" s="7"/>
      <c r="H395" s="25"/>
    </row>
    <row r="396" spans="1:8" x14ac:dyDescent="0.25">
      <c r="A396"/>
      <c r="B396" s="3"/>
      <c r="C396" s="9"/>
      <c r="D396" s="15"/>
      <c r="E396" s="7"/>
      <c r="H396" s="25"/>
    </row>
    <row r="397" spans="1:8" x14ac:dyDescent="0.25">
      <c r="A397"/>
      <c r="B397" s="3"/>
      <c r="C397" s="9"/>
      <c r="D397" s="10"/>
      <c r="E397" s="7"/>
      <c r="H397" s="25"/>
    </row>
    <row r="398" spans="1:8" x14ac:dyDescent="0.25">
      <c r="A398"/>
      <c r="B398" s="3"/>
      <c r="C398" s="9"/>
      <c r="D398" s="10"/>
      <c r="E398" s="7"/>
      <c r="H398" s="25"/>
    </row>
    <row r="399" spans="1:8" x14ac:dyDescent="0.25">
      <c r="A399"/>
      <c r="B399" s="3"/>
      <c r="C399" s="9"/>
      <c r="D399" s="10"/>
      <c r="E399" s="7"/>
      <c r="H399" s="25"/>
    </row>
    <row r="400" spans="1:8" x14ac:dyDescent="0.25">
      <c r="A400"/>
      <c r="B400" s="3"/>
      <c r="C400" s="9"/>
      <c r="D400" s="10"/>
      <c r="E400" s="7"/>
      <c r="H400" s="25"/>
    </row>
    <row r="401" spans="1:8" x14ac:dyDescent="0.25">
      <c r="A401"/>
      <c r="B401" s="3"/>
      <c r="C401" s="8"/>
      <c r="D401" s="15"/>
      <c r="E401" s="7"/>
      <c r="H401" s="25"/>
    </row>
    <row r="402" spans="1:8" x14ac:dyDescent="0.25">
      <c r="A402"/>
      <c r="B402" s="3"/>
      <c r="C402" s="9"/>
      <c r="D402" s="10"/>
      <c r="E402" s="7"/>
      <c r="H402" s="25"/>
    </row>
    <row r="403" spans="1:8" x14ac:dyDescent="0.25">
      <c r="A403"/>
      <c r="B403" s="3"/>
      <c r="C403" s="9"/>
      <c r="H403" s="25"/>
    </row>
    <row r="404" spans="1:8" x14ac:dyDescent="0.25">
      <c r="A404"/>
      <c r="B404" s="3"/>
      <c r="H404" s="25"/>
    </row>
    <row r="405" spans="1:8" x14ac:dyDescent="0.25">
      <c r="A405"/>
      <c r="B405" s="3"/>
      <c r="H405" s="25"/>
    </row>
    <row r="406" spans="1:8" x14ac:dyDescent="0.25">
      <c r="A406"/>
      <c r="B406" s="3"/>
      <c r="H406" s="25"/>
    </row>
    <row r="407" spans="1:8" x14ac:dyDescent="0.25">
      <c r="A407"/>
      <c r="B407" s="3"/>
      <c r="H407" s="25"/>
    </row>
    <row r="408" spans="1:8" x14ac:dyDescent="0.25">
      <c r="A408"/>
      <c r="B408" s="3"/>
      <c r="H408" s="25"/>
    </row>
    <row r="409" spans="1:8" x14ac:dyDescent="0.25">
      <c r="A409"/>
      <c r="B409" s="3"/>
      <c r="H409" s="29"/>
    </row>
    <row r="410" spans="1:8" x14ac:dyDescent="0.25">
      <c r="A410"/>
      <c r="B410" s="3"/>
    </row>
    <row r="411" spans="1:8" x14ac:dyDescent="0.25">
      <c r="A411"/>
      <c r="B411" s="3"/>
    </row>
    <row r="412" spans="1:8" x14ac:dyDescent="0.25">
      <c r="A412"/>
      <c r="B412" s="3"/>
    </row>
    <row r="413" spans="1:8" x14ac:dyDescent="0.25">
      <c r="A413"/>
      <c r="B413" s="3"/>
    </row>
    <row r="414" spans="1:8" x14ac:dyDescent="0.25">
      <c r="A414"/>
      <c r="B414" s="3"/>
    </row>
    <row r="415" spans="1:8" x14ac:dyDescent="0.25">
      <c r="A415"/>
      <c r="B415" s="3"/>
    </row>
    <row r="416" spans="1:8" x14ac:dyDescent="0.25">
      <c r="A416"/>
      <c r="B416" s="3"/>
    </row>
    <row r="417" spans="1:2" x14ac:dyDescent="0.25">
      <c r="A417"/>
      <c r="B417" s="3"/>
    </row>
    <row r="418" spans="1:2" x14ac:dyDescent="0.25">
      <c r="A418"/>
      <c r="B418" s="3"/>
    </row>
    <row r="419" spans="1:2" x14ac:dyDescent="0.25">
      <c r="A419"/>
      <c r="B419" s="3"/>
    </row>
    <row r="420" spans="1:2" x14ac:dyDescent="0.25">
      <c r="A420"/>
      <c r="B420" s="3"/>
    </row>
    <row r="421" spans="1:2" x14ac:dyDescent="0.25">
      <c r="A421"/>
    </row>
    <row r="422" spans="1:2" x14ac:dyDescent="0.25">
      <c r="A422"/>
    </row>
    <row r="423" spans="1:2" x14ac:dyDescent="0.25">
      <c r="A423"/>
    </row>
    <row r="424" spans="1:2" x14ac:dyDescent="0.25">
      <c r="A424"/>
    </row>
    <row r="425" spans="1:2" x14ac:dyDescent="0.25">
      <c r="A425"/>
    </row>
    <row r="426" spans="1:2" x14ac:dyDescent="0.25">
      <c r="A426"/>
    </row>
    <row r="427" spans="1:2" x14ac:dyDescent="0.25">
      <c r="A427"/>
    </row>
  </sheetData>
  <autoFilter ref="A1:H137"/>
  <sortState ref="B3:H107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AE297"/>
  <sheetViews>
    <sheetView zoomScale="98" zoomScaleNormal="98" workbookViewId="0">
      <pane ySplit="1" topLeftCell="A58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42578125" style="23" customWidth="1"/>
    <col min="2" max="2" width="45.7109375" style="20" customWidth="1"/>
    <col min="3" max="3" width="4.140625" style="21" bestFit="1" customWidth="1"/>
    <col min="4" max="4" width="3.5703125" style="375" customWidth="1"/>
    <col min="5" max="5" width="3.42578125" style="492" customWidth="1"/>
    <col min="6" max="6" width="3.42578125" style="377" customWidth="1"/>
    <col min="7" max="7" width="3.42578125" style="485" customWidth="1"/>
    <col min="8" max="8" width="3.140625" style="377" customWidth="1"/>
    <col min="9" max="9" width="3.5703125" style="485" customWidth="1"/>
    <col min="10" max="10" width="4.140625" style="377" customWidth="1"/>
    <col min="11" max="11" width="3.28515625" style="485" customWidth="1"/>
    <col min="12" max="12" width="3.28515625" style="377" customWidth="1"/>
    <col min="13" max="13" width="3.42578125" style="485" customWidth="1"/>
    <col min="14" max="14" width="3.5703125" style="575" customWidth="1"/>
    <col min="15" max="15" width="4.28515625" style="52" customWidth="1"/>
    <col min="16" max="16" width="4.7109375" style="119" customWidth="1"/>
    <col min="17" max="17" width="8" style="18" customWidth="1"/>
    <col min="18" max="18" width="10.85546875" style="209" customWidth="1"/>
    <col min="19" max="19" width="9.5703125" style="28" customWidth="1"/>
    <col min="20" max="20" width="4" style="28" customWidth="1"/>
    <col min="21" max="21" width="3.28515625" style="28" customWidth="1"/>
    <col min="22" max="22" width="8.7109375" style="14" customWidth="1"/>
    <col min="23" max="24" width="3.42578125" style="14" customWidth="1"/>
    <col min="25" max="25" width="3.28515625" style="28" customWidth="1"/>
    <col min="26" max="26" width="4.140625" style="28" bestFit="1" customWidth="1"/>
    <col min="27" max="27" width="4.140625" style="135" customWidth="1"/>
    <col min="28" max="28" width="3.5703125" style="135" customWidth="1"/>
    <col min="29" max="29" width="3.85546875" style="132" customWidth="1"/>
    <col min="30" max="30" width="4.140625" style="135" customWidth="1"/>
  </cols>
  <sheetData>
    <row r="1" spans="1:31" ht="74.25" customHeight="1" x14ac:dyDescent="0.25">
      <c r="A1" s="116" t="s">
        <v>0</v>
      </c>
      <c r="B1" s="116" t="s">
        <v>1</v>
      </c>
      <c r="C1" s="226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55" t="s">
        <v>4</v>
      </c>
      <c r="P1" s="226" t="s">
        <v>110</v>
      </c>
      <c r="Q1" s="267" t="s">
        <v>5</v>
      </c>
      <c r="R1" s="268" t="s">
        <v>111</v>
      </c>
      <c r="S1" s="553" t="s">
        <v>107</v>
      </c>
      <c r="T1" s="277" t="s">
        <v>539</v>
      </c>
      <c r="U1" s="278" t="s">
        <v>540</v>
      </c>
      <c r="V1" s="554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1" ht="14.25" customHeight="1" x14ac:dyDescent="0.25">
      <c r="A2" s="3">
        <v>1</v>
      </c>
      <c r="B2" s="314" t="s">
        <v>1048</v>
      </c>
      <c r="C2" s="415">
        <v>4</v>
      </c>
      <c r="D2" s="367"/>
      <c r="E2" s="479">
        <v>1</v>
      </c>
      <c r="F2" s="364"/>
      <c r="G2" s="486"/>
      <c r="H2" s="364"/>
      <c r="I2" s="486"/>
      <c r="J2" s="381"/>
      <c r="K2" s="487"/>
      <c r="L2" s="364"/>
      <c r="M2" s="486"/>
      <c r="N2" s="568"/>
      <c r="O2" s="343">
        <f t="shared" ref="O2:O33" si="0">SUM(C2-D2-E2-F2-G2-H2-I2-J2-K2-L2-M2-N2)</f>
        <v>3</v>
      </c>
      <c r="P2" s="690">
        <f t="shared" ref="P2:P33" si="1">AD2-O2</f>
        <v>21</v>
      </c>
      <c r="Q2" s="7">
        <v>3</v>
      </c>
      <c r="R2" s="109" t="s">
        <v>1370</v>
      </c>
      <c r="S2" s="112">
        <v>46143</v>
      </c>
      <c r="T2" s="316">
        <v>20</v>
      </c>
      <c r="U2" s="322"/>
      <c r="V2" s="197">
        <v>45566</v>
      </c>
      <c r="W2" s="189">
        <v>4</v>
      </c>
      <c r="X2" s="189">
        <v>2</v>
      </c>
      <c r="Y2" s="189">
        <v>5</v>
      </c>
      <c r="Z2" s="189">
        <v>1</v>
      </c>
      <c r="AA2" s="205">
        <f t="shared" ref="AA2:AA33" si="2">W2+X2+Y2+Z2</f>
        <v>12</v>
      </c>
      <c r="AB2" s="206">
        <f t="shared" ref="AB2:AB33" si="3">AA2/4</f>
        <v>3</v>
      </c>
      <c r="AC2" s="206">
        <f t="shared" ref="AC2:AC33" si="4">AB2*4</f>
        <v>12</v>
      </c>
      <c r="AD2" s="206">
        <f t="shared" ref="AD2:AD33" si="5">AC2*2</f>
        <v>24</v>
      </c>
      <c r="AE2" s="97"/>
    </row>
    <row r="3" spans="1:31" ht="15" customHeight="1" x14ac:dyDescent="0.25">
      <c r="A3" s="314">
        <f t="shared" ref="A3:A65" si="6">A2+1</f>
        <v>2</v>
      </c>
      <c r="B3" s="314" t="s">
        <v>149</v>
      </c>
      <c r="C3" s="415">
        <v>3</v>
      </c>
      <c r="D3" s="359"/>
      <c r="E3" s="478"/>
      <c r="F3" s="359"/>
      <c r="G3" s="478"/>
      <c r="H3" s="359"/>
      <c r="I3" s="478"/>
      <c r="J3" s="359"/>
      <c r="K3" s="478"/>
      <c r="L3" s="359"/>
      <c r="M3" s="478"/>
      <c r="N3" s="561"/>
      <c r="O3" s="343">
        <f t="shared" si="0"/>
        <v>3</v>
      </c>
      <c r="P3" s="690">
        <f t="shared" si="1"/>
        <v>11</v>
      </c>
      <c r="Q3" s="7">
        <v>8</v>
      </c>
      <c r="R3" s="63" t="s">
        <v>226</v>
      </c>
      <c r="S3" s="94">
        <v>47331</v>
      </c>
      <c r="T3" s="338">
        <v>14</v>
      </c>
      <c r="U3" s="338"/>
      <c r="V3" s="344">
        <v>45658</v>
      </c>
      <c r="W3" s="309">
        <v>2</v>
      </c>
      <c r="X3" s="309">
        <v>1</v>
      </c>
      <c r="Y3" s="309">
        <v>2</v>
      </c>
      <c r="Z3" s="429">
        <v>2</v>
      </c>
      <c r="AA3" s="205">
        <f t="shared" si="2"/>
        <v>7</v>
      </c>
      <c r="AB3" s="206">
        <f t="shared" si="3"/>
        <v>1.75</v>
      </c>
      <c r="AC3" s="206">
        <f t="shared" si="4"/>
        <v>7</v>
      </c>
      <c r="AD3" s="206">
        <f t="shared" si="5"/>
        <v>14</v>
      </c>
      <c r="AE3" s="97"/>
    </row>
    <row r="4" spans="1:31" ht="15" customHeight="1" x14ac:dyDescent="0.25">
      <c r="A4" s="314">
        <f t="shared" si="6"/>
        <v>3</v>
      </c>
      <c r="B4" s="314" t="s">
        <v>209</v>
      </c>
      <c r="C4" s="415">
        <v>4</v>
      </c>
      <c r="D4" s="359"/>
      <c r="E4" s="478">
        <v>1</v>
      </c>
      <c r="F4" s="359"/>
      <c r="G4" s="478"/>
      <c r="H4" s="359"/>
      <c r="I4" s="478"/>
      <c r="J4" s="359"/>
      <c r="K4" s="478"/>
      <c r="L4" s="359"/>
      <c r="M4" s="478"/>
      <c r="N4" s="561"/>
      <c r="O4" s="343">
        <f t="shared" si="0"/>
        <v>3</v>
      </c>
      <c r="P4" s="690">
        <f t="shared" si="1"/>
        <v>7</v>
      </c>
      <c r="Q4" s="7">
        <v>12</v>
      </c>
      <c r="R4" s="8" t="s">
        <v>226</v>
      </c>
      <c r="S4" s="118">
        <v>46997</v>
      </c>
      <c r="T4" s="316">
        <v>10</v>
      </c>
      <c r="U4" s="316"/>
      <c r="V4" s="199">
        <v>45627</v>
      </c>
      <c r="W4" s="309">
        <v>2</v>
      </c>
      <c r="X4" s="107">
        <v>1</v>
      </c>
      <c r="Y4" s="309">
        <v>1</v>
      </c>
      <c r="Z4" s="429">
        <v>1</v>
      </c>
      <c r="AA4" s="185">
        <f t="shared" si="2"/>
        <v>5</v>
      </c>
      <c r="AB4" s="185">
        <f t="shared" si="3"/>
        <v>1.25</v>
      </c>
      <c r="AC4" s="185">
        <f t="shared" si="4"/>
        <v>5</v>
      </c>
      <c r="AD4" s="185">
        <f t="shared" si="5"/>
        <v>10</v>
      </c>
      <c r="AE4" s="97"/>
    </row>
    <row r="5" spans="1:31" ht="15.75" customHeight="1" x14ac:dyDescent="0.25">
      <c r="A5" s="314">
        <f t="shared" si="6"/>
        <v>4</v>
      </c>
      <c r="B5" s="314" t="s">
        <v>649</v>
      </c>
      <c r="C5" s="415">
        <v>1</v>
      </c>
      <c r="D5" s="359"/>
      <c r="E5" s="478"/>
      <c r="F5" s="360"/>
      <c r="G5" s="480"/>
      <c r="H5" s="360"/>
      <c r="I5" s="480"/>
      <c r="J5" s="360"/>
      <c r="K5" s="480"/>
      <c r="L5" s="360">
        <v>1</v>
      </c>
      <c r="M5" s="480"/>
      <c r="N5" s="562"/>
      <c r="O5" s="343">
        <f t="shared" si="0"/>
        <v>0</v>
      </c>
      <c r="P5" s="690">
        <f t="shared" si="1"/>
        <v>6</v>
      </c>
      <c r="Q5" s="7">
        <v>85</v>
      </c>
      <c r="R5" s="8" t="s">
        <v>399</v>
      </c>
      <c r="S5" s="118">
        <v>46204</v>
      </c>
      <c r="T5" s="316"/>
      <c r="U5" s="316"/>
      <c r="V5" s="344">
        <v>45474</v>
      </c>
      <c r="W5" s="309">
        <v>1</v>
      </c>
      <c r="X5" s="309">
        <v>1</v>
      </c>
      <c r="Y5" s="309">
        <v>1</v>
      </c>
      <c r="Z5" s="309"/>
      <c r="AA5" s="205">
        <f t="shared" si="2"/>
        <v>3</v>
      </c>
      <c r="AB5" s="206">
        <f t="shared" si="3"/>
        <v>0.75</v>
      </c>
      <c r="AC5" s="206">
        <f t="shared" si="4"/>
        <v>3</v>
      </c>
      <c r="AD5" s="206">
        <f t="shared" si="5"/>
        <v>6</v>
      </c>
      <c r="AE5" s="97"/>
    </row>
    <row r="6" spans="1:31" ht="14.25" customHeight="1" x14ac:dyDescent="0.25">
      <c r="A6" s="314">
        <f t="shared" si="6"/>
        <v>5</v>
      </c>
      <c r="B6" s="314" t="s">
        <v>1456</v>
      </c>
      <c r="C6" s="340">
        <v>1</v>
      </c>
      <c r="D6" s="359"/>
      <c r="E6" s="478"/>
      <c r="F6" s="360"/>
      <c r="G6" s="480"/>
      <c r="H6" s="360"/>
      <c r="I6" s="480"/>
      <c r="J6" s="360"/>
      <c r="K6" s="480"/>
      <c r="L6" s="360"/>
      <c r="M6" s="480"/>
      <c r="N6" s="562"/>
      <c r="O6" s="343">
        <f t="shared" si="0"/>
        <v>1</v>
      </c>
      <c r="P6" s="343">
        <f t="shared" si="1"/>
        <v>-1</v>
      </c>
      <c r="Q6" s="10">
        <v>65</v>
      </c>
      <c r="R6" s="8" t="s">
        <v>1439</v>
      </c>
      <c r="S6" s="118">
        <v>46143</v>
      </c>
      <c r="T6" s="28">
        <v>3</v>
      </c>
      <c r="U6" s="28">
        <v>4</v>
      </c>
      <c r="V6" s="81">
        <v>45717</v>
      </c>
      <c r="AA6" s="205">
        <f t="shared" si="2"/>
        <v>0</v>
      </c>
      <c r="AB6" s="206">
        <f t="shared" si="3"/>
        <v>0</v>
      </c>
      <c r="AC6" s="206">
        <f t="shared" si="4"/>
        <v>0</v>
      </c>
      <c r="AD6" s="206">
        <f t="shared" si="5"/>
        <v>0</v>
      </c>
      <c r="AE6" s="97"/>
    </row>
    <row r="7" spans="1:31" ht="15" customHeight="1" x14ac:dyDescent="0.25">
      <c r="A7" s="314">
        <f t="shared" si="6"/>
        <v>6</v>
      </c>
      <c r="B7" s="314" t="s">
        <v>1203</v>
      </c>
      <c r="C7" s="341">
        <v>3</v>
      </c>
      <c r="D7" s="359"/>
      <c r="E7" s="478"/>
      <c r="F7" s="359"/>
      <c r="G7" s="480"/>
      <c r="H7" s="360"/>
      <c r="I7" s="480"/>
      <c r="J7" s="360"/>
      <c r="K7" s="480">
        <v>1</v>
      </c>
      <c r="L7" s="360"/>
      <c r="M7" s="480"/>
      <c r="N7" s="562"/>
      <c r="O7" s="343">
        <f t="shared" si="0"/>
        <v>2</v>
      </c>
      <c r="P7" s="696">
        <f t="shared" si="1"/>
        <v>8</v>
      </c>
      <c r="Q7" s="7">
        <v>55</v>
      </c>
      <c r="R7" s="63" t="s">
        <v>81</v>
      </c>
      <c r="S7" s="83">
        <v>46327</v>
      </c>
      <c r="T7" s="132">
        <v>0</v>
      </c>
      <c r="U7" s="132"/>
      <c r="V7" s="118">
        <v>45689</v>
      </c>
      <c r="W7" s="14">
        <v>1</v>
      </c>
      <c r="X7" s="28"/>
      <c r="Y7" s="28">
        <v>1</v>
      </c>
      <c r="Z7" s="28">
        <v>3</v>
      </c>
      <c r="AA7" s="205">
        <f t="shared" si="2"/>
        <v>5</v>
      </c>
      <c r="AB7" s="206">
        <f t="shared" si="3"/>
        <v>1.25</v>
      </c>
      <c r="AC7" s="206">
        <f t="shared" si="4"/>
        <v>5</v>
      </c>
      <c r="AD7" s="206">
        <f t="shared" si="5"/>
        <v>10</v>
      </c>
      <c r="AE7" s="97"/>
    </row>
    <row r="8" spans="1:31" ht="15" customHeight="1" x14ac:dyDescent="0.25">
      <c r="A8" s="314">
        <f t="shared" si="6"/>
        <v>7</v>
      </c>
      <c r="B8" s="314" t="s">
        <v>795</v>
      </c>
      <c r="C8" s="415">
        <v>5</v>
      </c>
      <c r="D8" s="359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43">
        <f t="shared" si="0"/>
        <v>5</v>
      </c>
      <c r="P8" s="690">
        <f t="shared" si="1"/>
        <v>25</v>
      </c>
      <c r="Q8" s="7">
        <v>38</v>
      </c>
      <c r="R8" s="125" t="s">
        <v>327</v>
      </c>
      <c r="S8" s="118">
        <v>46266</v>
      </c>
      <c r="T8" s="316">
        <v>1</v>
      </c>
      <c r="U8" s="316"/>
      <c r="V8" s="118">
        <v>45689</v>
      </c>
      <c r="W8" s="309">
        <v>6</v>
      </c>
      <c r="X8" s="309">
        <v>1</v>
      </c>
      <c r="Y8" s="309">
        <v>7</v>
      </c>
      <c r="Z8" s="309">
        <v>1</v>
      </c>
      <c r="AA8" s="205">
        <f t="shared" si="2"/>
        <v>15</v>
      </c>
      <c r="AB8" s="206">
        <f t="shared" si="3"/>
        <v>3.75</v>
      </c>
      <c r="AC8" s="206">
        <f t="shared" si="4"/>
        <v>15</v>
      </c>
      <c r="AD8" s="206">
        <f t="shared" si="5"/>
        <v>30</v>
      </c>
    </row>
    <row r="9" spans="1:31" ht="15" customHeight="1" x14ac:dyDescent="0.25">
      <c r="A9" s="314">
        <f t="shared" si="6"/>
        <v>8</v>
      </c>
      <c r="B9" s="314" t="s">
        <v>599</v>
      </c>
      <c r="C9" s="413">
        <v>2</v>
      </c>
      <c r="D9" s="363"/>
      <c r="E9" s="480"/>
      <c r="F9" s="360"/>
      <c r="G9" s="480"/>
      <c r="H9" s="360"/>
      <c r="I9" s="480"/>
      <c r="J9" s="360"/>
      <c r="K9" s="480"/>
      <c r="L9" s="360"/>
      <c r="M9" s="480"/>
      <c r="N9" s="562"/>
      <c r="O9" s="343">
        <f t="shared" si="0"/>
        <v>2</v>
      </c>
      <c r="P9" s="690">
        <f t="shared" si="1"/>
        <v>4</v>
      </c>
      <c r="Q9" s="44">
        <v>30</v>
      </c>
      <c r="R9" s="64" t="s">
        <v>798</v>
      </c>
      <c r="S9" s="285">
        <v>46722</v>
      </c>
      <c r="T9" s="316">
        <v>4</v>
      </c>
      <c r="U9" s="318"/>
      <c r="V9" s="118">
        <v>45474</v>
      </c>
      <c r="W9" s="127"/>
      <c r="X9" s="318">
        <v>1</v>
      </c>
      <c r="Y9" s="318">
        <v>1</v>
      </c>
      <c r="Z9" s="318">
        <v>1</v>
      </c>
      <c r="AA9" s="205">
        <f t="shared" si="2"/>
        <v>3</v>
      </c>
      <c r="AB9" s="206">
        <f t="shared" si="3"/>
        <v>0.75</v>
      </c>
      <c r="AC9" s="206">
        <f t="shared" si="4"/>
        <v>3</v>
      </c>
      <c r="AD9" s="206">
        <f t="shared" si="5"/>
        <v>6</v>
      </c>
      <c r="AE9" s="97"/>
    </row>
    <row r="10" spans="1:31" ht="15" customHeight="1" x14ac:dyDescent="0.25">
      <c r="A10" s="314">
        <f t="shared" si="6"/>
        <v>9</v>
      </c>
      <c r="B10" s="651" t="s">
        <v>698</v>
      </c>
      <c r="C10" s="653">
        <v>1</v>
      </c>
      <c r="D10" s="359"/>
      <c r="E10" s="478"/>
      <c r="F10" s="359"/>
      <c r="G10" s="480"/>
      <c r="H10" s="360"/>
      <c r="I10" s="480"/>
      <c r="J10" s="360"/>
      <c r="K10" s="480"/>
      <c r="L10" s="360"/>
      <c r="M10" s="480"/>
      <c r="N10" s="562"/>
      <c r="O10" s="343">
        <f t="shared" si="0"/>
        <v>1</v>
      </c>
      <c r="P10" s="690">
        <f t="shared" si="1"/>
        <v>7</v>
      </c>
      <c r="Q10" s="7">
        <v>20</v>
      </c>
      <c r="R10" s="126" t="s">
        <v>81</v>
      </c>
      <c r="S10" s="654">
        <v>45809</v>
      </c>
      <c r="T10" s="313"/>
      <c r="U10" s="313"/>
      <c r="V10" s="81">
        <v>45200</v>
      </c>
      <c r="W10" s="28">
        <v>1</v>
      </c>
      <c r="X10" s="28">
        <v>1</v>
      </c>
      <c r="Y10" s="28">
        <v>1</v>
      </c>
      <c r="Z10" s="429">
        <v>1</v>
      </c>
      <c r="AA10" s="205">
        <f t="shared" si="2"/>
        <v>4</v>
      </c>
      <c r="AB10" s="206">
        <f t="shared" si="3"/>
        <v>1</v>
      </c>
      <c r="AC10" s="206">
        <f t="shared" si="4"/>
        <v>4</v>
      </c>
      <c r="AD10" s="206">
        <f t="shared" si="5"/>
        <v>8</v>
      </c>
      <c r="AE10" s="97"/>
    </row>
    <row r="11" spans="1:31" ht="15.75" customHeight="1" x14ac:dyDescent="0.25">
      <c r="A11" s="314">
        <f t="shared" si="6"/>
        <v>10</v>
      </c>
      <c r="B11" s="314" t="s">
        <v>133</v>
      </c>
      <c r="C11" s="340">
        <v>49</v>
      </c>
      <c r="D11" s="359"/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343">
        <f t="shared" si="0"/>
        <v>49</v>
      </c>
      <c r="P11" s="343">
        <f t="shared" si="1"/>
        <v>-19</v>
      </c>
      <c r="Q11" s="7">
        <v>7</v>
      </c>
      <c r="R11" s="309" t="s">
        <v>1303</v>
      </c>
      <c r="S11" s="344">
        <v>46204</v>
      </c>
      <c r="T11" s="318"/>
      <c r="U11" s="318"/>
      <c r="V11" s="330">
        <v>44409</v>
      </c>
      <c r="W11" s="309">
        <v>3</v>
      </c>
      <c r="X11" s="309">
        <v>10</v>
      </c>
      <c r="Y11" s="309">
        <v>1</v>
      </c>
      <c r="Z11" s="309">
        <v>1</v>
      </c>
      <c r="AA11" s="205">
        <f t="shared" si="2"/>
        <v>15</v>
      </c>
      <c r="AB11" s="206">
        <f t="shared" si="3"/>
        <v>3.75</v>
      </c>
      <c r="AC11" s="206">
        <f t="shared" si="4"/>
        <v>15</v>
      </c>
      <c r="AD11" s="206">
        <f t="shared" si="5"/>
        <v>30</v>
      </c>
      <c r="AE11" s="97"/>
    </row>
    <row r="12" spans="1:31" ht="15" customHeight="1" x14ac:dyDescent="0.25">
      <c r="A12" s="314">
        <f t="shared" si="6"/>
        <v>11</v>
      </c>
      <c r="B12" s="314" t="s">
        <v>1311</v>
      </c>
      <c r="C12" s="340">
        <v>1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5"/>
      <c r="O12" s="343">
        <f t="shared" si="0"/>
        <v>1</v>
      </c>
      <c r="P12" s="690">
        <f t="shared" si="1"/>
        <v>5</v>
      </c>
      <c r="Q12" s="10">
        <v>110</v>
      </c>
      <c r="R12" s="8" t="s">
        <v>1439</v>
      </c>
      <c r="S12" s="344">
        <v>46569</v>
      </c>
      <c r="T12" s="318">
        <v>11</v>
      </c>
      <c r="U12" s="318"/>
      <c r="V12" s="344">
        <v>45627</v>
      </c>
      <c r="W12" s="309">
        <v>1</v>
      </c>
      <c r="X12" s="309">
        <v>1</v>
      </c>
      <c r="Y12" s="309"/>
      <c r="Z12" s="429">
        <v>1</v>
      </c>
      <c r="AA12" s="205">
        <f t="shared" si="2"/>
        <v>3</v>
      </c>
      <c r="AB12" s="206">
        <f t="shared" si="3"/>
        <v>0.75</v>
      </c>
      <c r="AC12" s="206">
        <f t="shared" si="4"/>
        <v>3</v>
      </c>
      <c r="AD12" s="206">
        <f t="shared" si="5"/>
        <v>6</v>
      </c>
      <c r="AE12" s="97"/>
    </row>
    <row r="13" spans="1:31" ht="15" customHeight="1" x14ac:dyDescent="0.25">
      <c r="A13" s="314">
        <f t="shared" si="6"/>
        <v>12</v>
      </c>
      <c r="B13" s="314" t="s">
        <v>139</v>
      </c>
      <c r="C13" s="340">
        <v>89</v>
      </c>
      <c r="D13" s="359">
        <v>13</v>
      </c>
      <c r="E13" s="478"/>
      <c r="F13" s="359"/>
      <c r="G13" s="478"/>
      <c r="H13" s="359"/>
      <c r="I13" s="495">
        <v>10</v>
      </c>
      <c r="J13" s="359"/>
      <c r="K13" s="478"/>
      <c r="L13" s="359"/>
      <c r="M13" s="478">
        <v>8</v>
      </c>
      <c r="N13" s="561"/>
      <c r="O13" s="343">
        <f t="shared" si="0"/>
        <v>58</v>
      </c>
      <c r="P13" s="696">
        <f t="shared" si="1"/>
        <v>240</v>
      </c>
      <c r="Q13" s="7">
        <v>4.5</v>
      </c>
      <c r="R13" s="309" t="s">
        <v>1303</v>
      </c>
      <c r="S13" s="344">
        <v>46874</v>
      </c>
      <c r="T13" s="318">
        <v>13</v>
      </c>
      <c r="U13" s="318"/>
      <c r="V13" s="197">
        <v>45658</v>
      </c>
      <c r="W13" s="189">
        <v>21</v>
      </c>
      <c r="X13" s="189">
        <v>47</v>
      </c>
      <c r="Y13" s="189">
        <v>21</v>
      </c>
      <c r="Z13" s="189">
        <v>60</v>
      </c>
      <c r="AA13" s="205">
        <f t="shared" si="2"/>
        <v>149</v>
      </c>
      <c r="AB13" s="206">
        <f t="shared" si="3"/>
        <v>37.25</v>
      </c>
      <c r="AC13" s="206">
        <f t="shared" si="4"/>
        <v>149</v>
      </c>
      <c r="AD13" s="206">
        <f t="shared" si="5"/>
        <v>298</v>
      </c>
      <c r="AE13" s="97"/>
    </row>
    <row r="14" spans="1:31" s="113" customFormat="1" ht="15" customHeight="1" x14ac:dyDescent="0.25">
      <c r="A14" s="314">
        <f t="shared" si="6"/>
        <v>13</v>
      </c>
      <c r="B14" s="314" t="s">
        <v>131</v>
      </c>
      <c r="C14" s="340">
        <v>11</v>
      </c>
      <c r="D14" s="367"/>
      <c r="E14" s="479"/>
      <c r="F14" s="367"/>
      <c r="G14" s="479"/>
      <c r="H14" s="367"/>
      <c r="I14" s="479"/>
      <c r="J14" s="367"/>
      <c r="K14" s="479"/>
      <c r="L14" s="367"/>
      <c r="M14" s="479"/>
      <c r="N14" s="570"/>
      <c r="O14" s="343">
        <f t="shared" si="0"/>
        <v>11</v>
      </c>
      <c r="P14" s="690">
        <f t="shared" si="1"/>
        <v>7</v>
      </c>
      <c r="Q14" s="7">
        <v>17</v>
      </c>
      <c r="R14" s="207" t="s">
        <v>1303</v>
      </c>
      <c r="S14" s="197">
        <v>46844</v>
      </c>
      <c r="T14" s="310">
        <v>0</v>
      </c>
      <c r="U14" s="310"/>
      <c r="V14" s="197">
        <v>45658</v>
      </c>
      <c r="W14" s="309">
        <v>4</v>
      </c>
      <c r="X14" s="189">
        <v>1</v>
      </c>
      <c r="Y14" s="189">
        <v>3</v>
      </c>
      <c r="Z14" s="189">
        <v>1</v>
      </c>
      <c r="AA14" s="205">
        <f t="shared" si="2"/>
        <v>9</v>
      </c>
      <c r="AB14" s="206">
        <f t="shared" si="3"/>
        <v>2.25</v>
      </c>
      <c r="AC14" s="206">
        <f t="shared" si="4"/>
        <v>9</v>
      </c>
      <c r="AD14" s="206">
        <f t="shared" si="5"/>
        <v>18</v>
      </c>
      <c r="AE14"/>
    </row>
    <row r="15" spans="1:31" ht="15" customHeight="1" x14ac:dyDescent="0.25">
      <c r="A15" s="314">
        <f t="shared" si="6"/>
        <v>14</v>
      </c>
      <c r="B15" s="314" t="s">
        <v>289</v>
      </c>
      <c r="C15" s="415">
        <v>1</v>
      </c>
      <c r="D15" s="367"/>
      <c r="E15" s="479"/>
      <c r="F15" s="364"/>
      <c r="G15" s="486"/>
      <c r="H15" s="364"/>
      <c r="I15" s="486"/>
      <c r="J15" s="381"/>
      <c r="K15" s="487"/>
      <c r="L15" s="364"/>
      <c r="M15" s="486"/>
      <c r="N15" s="568"/>
      <c r="O15" s="343">
        <f t="shared" si="0"/>
        <v>1</v>
      </c>
      <c r="P15" s="690">
        <f t="shared" si="1"/>
        <v>9</v>
      </c>
      <c r="Q15" s="7">
        <v>25</v>
      </c>
      <c r="R15" s="91" t="s">
        <v>1097</v>
      </c>
      <c r="S15" s="112">
        <v>46023</v>
      </c>
      <c r="T15" s="316">
        <v>0</v>
      </c>
      <c r="U15" s="322"/>
      <c r="V15" s="197">
        <v>45597</v>
      </c>
      <c r="W15" s="189">
        <v>2</v>
      </c>
      <c r="X15" s="189">
        <v>1</v>
      </c>
      <c r="Y15" s="189">
        <v>1</v>
      </c>
      <c r="Z15" s="189">
        <v>1</v>
      </c>
      <c r="AA15" s="205">
        <f t="shared" si="2"/>
        <v>5</v>
      </c>
      <c r="AB15" s="206">
        <f t="shared" si="3"/>
        <v>1.25</v>
      </c>
      <c r="AC15" s="206">
        <f t="shared" si="4"/>
        <v>5</v>
      </c>
      <c r="AD15" s="206">
        <f t="shared" si="5"/>
        <v>10</v>
      </c>
    </row>
    <row r="16" spans="1:31" x14ac:dyDescent="0.25">
      <c r="A16" s="314">
        <f t="shared" si="6"/>
        <v>15</v>
      </c>
      <c r="B16" s="314" t="s">
        <v>809</v>
      </c>
      <c r="C16" s="415">
        <v>1</v>
      </c>
      <c r="D16" s="359"/>
      <c r="E16" s="478"/>
      <c r="F16" s="360"/>
      <c r="G16" s="480"/>
      <c r="H16" s="360"/>
      <c r="I16" s="480"/>
      <c r="J16" s="360"/>
      <c r="K16" s="480"/>
      <c r="L16" s="360"/>
      <c r="M16" s="480"/>
      <c r="N16" s="562"/>
      <c r="O16" s="343">
        <f t="shared" si="0"/>
        <v>1</v>
      </c>
      <c r="P16" s="690">
        <f t="shared" si="1"/>
        <v>5</v>
      </c>
      <c r="Q16" s="7">
        <v>50</v>
      </c>
      <c r="R16" s="63" t="s">
        <v>798</v>
      </c>
      <c r="S16" s="129">
        <v>46569</v>
      </c>
      <c r="T16" s="28">
        <v>5</v>
      </c>
      <c r="U16" s="28">
        <v>6</v>
      </c>
      <c r="V16" s="81">
        <v>45717</v>
      </c>
      <c r="W16" s="14">
        <v>1</v>
      </c>
      <c r="Y16" s="28">
        <v>1</v>
      </c>
      <c r="Z16" s="28">
        <v>1</v>
      </c>
      <c r="AA16" s="205">
        <f t="shared" si="2"/>
        <v>3</v>
      </c>
      <c r="AB16" s="206">
        <f t="shared" si="3"/>
        <v>0.75</v>
      </c>
      <c r="AC16" s="206">
        <f t="shared" si="4"/>
        <v>3</v>
      </c>
      <c r="AD16" s="206">
        <f t="shared" si="5"/>
        <v>6</v>
      </c>
      <c r="AE16" s="97"/>
    </row>
    <row r="17" spans="1:31" ht="15" customHeight="1" x14ac:dyDescent="0.25">
      <c r="A17" s="314">
        <f t="shared" si="6"/>
        <v>16</v>
      </c>
      <c r="B17" s="314" t="s">
        <v>533</v>
      </c>
      <c r="C17" s="415">
        <v>0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3">
        <f t="shared" si="0"/>
        <v>0</v>
      </c>
      <c r="P17" s="690">
        <f t="shared" si="1"/>
        <v>10</v>
      </c>
      <c r="Q17" s="7">
        <v>47</v>
      </c>
      <c r="R17" s="125" t="s">
        <v>1304</v>
      </c>
      <c r="S17" s="118">
        <v>45931</v>
      </c>
      <c r="T17" s="316">
        <v>0</v>
      </c>
      <c r="V17" s="199">
        <v>45566</v>
      </c>
      <c r="W17" s="309">
        <v>1</v>
      </c>
      <c r="X17" s="107">
        <v>2</v>
      </c>
      <c r="Y17" s="309">
        <v>1</v>
      </c>
      <c r="Z17" s="309">
        <v>1</v>
      </c>
      <c r="AA17" s="205">
        <f t="shared" si="2"/>
        <v>5</v>
      </c>
      <c r="AB17" s="206">
        <f t="shared" si="3"/>
        <v>1.25</v>
      </c>
      <c r="AC17" s="206">
        <f t="shared" si="4"/>
        <v>5</v>
      </c>
      <c r="AD17" s="206">
        <f t="shared" si="5"/>
        <v>10</v>
      </c>
      <c r="AE17" s="97"/>
    </row>
    <row r="18" spans="1:31" ht="15" customHeight="1" x14ac:dyDescent="0.25">
      <c r="A18" s="314">
        <f t="shared" si="6"/>
        <v>17</v>
      </c>
      <c r="B18" s="314" t="s">
        <v>636</v>
      </c>
      <c r="C18" s="413">
        <v>1</v>
      </c>
      <c r="D18" s="363"/>
      <c r="E18" s="480"/>
      <c r="F18" s="360"/>
      <c r="G18" s="480"/>
      <c r="H18" s="360"/>
      <c r="I18" s="480"/>
      <c r="J18" s="360"/>
      <c r="K18" s="480"/>
      <c r="L18" s="360"/>
      <c r="M18" s="480"/>
      <c r="N18" s="562"/>
      <c r="O18" s="343">
        <f t="shared" si="0"/>
        <v>1</v>
      </c>
      <c r="P18" s="690">
        <f t="shared" si="1"/>
        <v>5</v>
      </c>
      <c r="Q18" s="448">
        <v>45</v>
      </c>
      <c r="R18" s="64" t="s">
        <v>1304</v>
      </c>
      <c r="S18" s="285"/>
      <c r="T18" s="92">
        <v>1</v>
      </c>
      <c r="U18" s="316"/>
      <c r="V18" s="83">
        <v>45566</v>
      </c>
      <c r="W18" s="321">
        <v>1</v>
      </c>
      <c r="X18" s="316"/>
      <c r="Y18" s="316">
        <v>1</v>
      </c>
      <c r="Z18" s="316">
        <v>1</v>
      </c>
      <c r="AA18" s="205">
        <f t="shared" si="2"/>
        <v>3</v>
      </c>
      <c r="AB18" s="206">
        <f t="shared" si="3"/>
        <v>0.75</v>
      </c>
      <c r="AC18" s="206">
        <f t="shared" si="4"/>
        <v>3</v>
      </c>
      <c r="AD18" s="206">
        <f t="shared" si="5"/>
        <v>6</v>
      </c>
      <c r="AE18" s="97"/>
    </row>
    <row r="19" spans="1:31" ht="15" customHeight="1" x14ac:dyDescent="0.25">
      <c r="A19" s="314">
        <f t="shared" si="6"/>
        <v>18</v>
      </c>
      <c r="B19" s="314" t="s">
        <v>403</v>
      </c>
      <c r="C19" s="415">
        <v>95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3">
        <f t="shared" si="0"/>
        <v>95</v>
      </c>
      <c r="P19" s="343">
        <f t="shared" si="1"/>
        <v>-71</v>
      </c>
      <c r="Q19" s="7">
        <v>3</v>
      </c>
      <c r="R19" s="8" t="s">
        <v>699</v>
      </c>
      <c r="S19" s="118">
        <v>46143</v>
      </c>
      <c r="T19" s="316">
        <v>0</v>
      </c>
      <c r="U19" s="316"/>
      <c r="V19" s="199">
        <v>45566</v>
      </c>
      <c r="W19" s="309">
        <v>2</v>
      </c>
      <c r="X19" s="107">
        <v>5</v>
      </c>
      <c r="Y19" s="309">
        <v>2</v>
      </c>
      <c r="Z19" s="309">
        <v>3</v>
      </c>
      <c r="AA19" s="205">
        <f t="shared" si="2"/>
        <v>12</v>
      </c>
      <c r="AB19" s="206">
        <f t="shared" si="3"/>
        <v>3</v>
      </c>
      <c r="AC19" s="206">
        <f t="shared" si="4"/>
        <v>12</v>
      </c>
      <c r="AD19" s="206">
        <f t="shared" si="5"/>
        <v>24</v>
      </c>
      <c r="AE19" s="97"/>
    </row>
    <row r="20" spans="1:31" s="97" customFormat="1" ht="15" customHeight="1" x14ac:dyDescent="0.25">
      <c r="A20" s="314">
        <f t="shared" si="6"/>
        <v>19</v>
      </c>
      <c r="B20" s="314" t="s">
        <v>1312</v>
      </c>
      <c r="C20" s="415">
        <v>7</v>
      </c>
      <c r="D20" s="367">
        <v>1</v>
      </c>
      <c r="E20" s="479"/>
      <c r="F20" s="364"/>
      <c r="G20" s="486"/>
      <c r="H20" s="364"/>
      <c r="I20" s="486"/>
      <c r="J20" s="367"/>
      <c r="K20" s="479"/>
      <c r="L20" s="364"/>
      <c r="M20" s="486"/>
      <c r="N20" s="568"/>
      <c r="O20" s="343">
        <f t="shared" si="0"/>
        <v>6</v>
      </c>
      <c r="P20" s="690">
        <f t="shared" si="1"/>
        <v>2</v>
      </c>
      <c r="Q20" s="7">
        <v>45</v>
      </c>
      <c r="R20" s="207" t="s">
        <v>294</v>
      </c>
      <c r="S20" s="118">
        <v>46266</v>
      </c>
      <c r="T20" s="318">
        <v>0</v>
      </c>
      <c r="U20" s="316"/>
      <c r="V20" s="344">
        <v>45627</v>
      </c>
      <c r="W20" s="309">
        <v>1</v>
      </c>
      <c r="X20" s="309">
        <v>1</v>
      </c>
      <c r="Y20" s="309">
        <v>1</v>
      </c>
      <c r="Z20" s="309">
        <v>1</v>
      </c>
      <c r="AA20" s="205">
        <f t="shared" si="2"/>
        <v>4</v>
      </c>
      <c r="AB20" s="206">
        <f t="shared" si="3"/>
        <v>1</v>
      </c>
      <c r="AC20" s="206">
        <f t="shared" si="4"/>
        <v>4</v>
      </c>
      <c r="AD20" s="206">
        <f t="shared" si="5"/>
        <v>8</v>
      </c>
    </row>
    <row r="21" spans="1:31" x14ac:dyDescent="0.25">
      <c r="A21" s="314">
        <f t="shared" si="6"/>
        <v>20</v>
      </c>
      <c r="B21" s="651" t="s">
        <v>660</v>
      </c>
      <c r="C21" s="658">
        <v>3</v>
      </c>
      <c r="D21" s="359"/>
      <c r="E21" s="478"/>
      <c r="F21" s="360"/>
      <c r="G21" s="480"/>
      <c r="H21" s="360"/>
      <c r="I21" s="480"/>
      <c r="J21" s="360"/>
      <c r="K21" s="480"/>
      <c r="L21" s="360"/>
      <c r="M21" s="480"/>
      <c r="N21" s="562"/>
      <c r="O21" s="343">
        <f t="shared" si="0"/>
        <v>3</v>
      </c>
      <c r="P21" s="690">
        <f t="shared" si="1"/>
        <v>15</v>
      </c>
      <c r="Q21" s="7">
        <v>10</v>
      </c>
      <c r="R21" s="63" t="s">
        <v>577</v>
      </c>
      <c r="S21" s="659">
        <v>45870</v>
      </c>
      <c r="T21" s="318">
        <v>0</v>
      </c>
      <c r="U21" s="316"/>
      <c r="V21" s="199">
        <v>45413</v>
      </c>
      <c r="W21" s="107">
        <v>4</v>
      </c>
      <c r="X21" s="107">
        <v>2</v>
      </c>
      <c r="Y21" s="309">
        <v>2</v>
      </c>
      <c r="Z21" s="309">
        <v>1</v>
      </c>
      <c r="AA21" s="205">
        <f t="shared" si="2"/>
        <v>9</v>
      </c>
      <c r="AB21" s="206">
        <f t="shared" si="3"/>
        <v>2.25</v>
      </c>
      <c r="AC21" s="206">
        <f t="shared" si="4"/>
        <v>9</v>
      </c>
      <c r="AD21" s="206">
        <f t="shared" si="5"/>
        <v>18</v>
      </c>
      <c r="AE21" s="97"/>
    </row>
    <row r="22" spans="1:31" s="97" customFormat="1" ht="15" customHeight="1" x14ac:dyDescent="0.25">
      <c r="A22" s="314">
        <f t="shared" si="6"/>
        <v>21</v>
      </c>
      <c r="B22" s="314" t="s">
        <v>33</v>
      </c>
      <c r="C22" s="415">
        <v>119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3">
        <f t="shared" si="0"/>
        <v>119</v>
      </c>
      <c r="P22" s="343">
        <f t="shared" si="1"/>
        <v>-55</v>
      </c>
      <c r="Q22" s="7">
        <v>4.3</v>
      </c>
      <c r="R22" s="64" t="s">
        <v>699</v>
      </c>
      <c r="S22" s="118">
        <v>46539</v>
      </c>
      <c r="T22" s="316">
        <v>0</v>
      </c>
      <c r="U22" s="316"/>
      <c r="V22" s="344">
        <v>45658</v>
      </c>
      <c r="W22" s="309">
        <v>4</v>
      </c>
      <c r="X22" s="309">
        <v>12</v>
      </c>
      <c r="Y22" s="309">
        <v>8</v>
      </c>
      <c r="Z22" s="309">
        <v>8</v>
      </c>
      <c r="AA22" s="205">
        <f t="shared" si="2"/>
        <v>32</v>
      </c>
      <c r="AB22" s="206">
        <f t="shared" si="3"/>
        <v>8</v>
      </c>
      <c r="AC22" s="206">
        <f t="shared" si="4"/>
        <v>32</v>
      </c>
      <c r="AD22" s="206">
        <f t="shared" si="5"/>
        <v>64</v>
      </c>
    </row>
    <row r="23" spans="1:31" x14ac:dyDescent="0.25">
      <c r="A23" s="314">
        <f t="shared" si="6"/>
        <v>22</v>
      </c>
      <c r="B23" s="314" t="s">
        <v>987</v>
      </c>
      <c r="C23" s="340">
        <v>44</v>
      </c>
      <c r="D23" s="359">
        <v>2</v>
      </c>
      <c r="E23" s="478"/>
      <c r="F23" s="359"/>
      <c r="G23" s="480"/>
      <c r="H23" s="360"/>
      <c r="I23" s="480"/>
      <c r="J23" s="360"/>
      <c r="K23" s="480"/>
      <c r="L23" s="360"/>
      <c r="M23" s="480"/>
      <c r="N23" s="561"/>
      <c r="O23" s="343">
        <f t="shared" si="0"/>
        <v>42</v>
      </c>
      <c r="P23" s="343">
        <f t="shared" si="1"/>
        <v>-16</v>
      </c>
      <c r="Q23" s="7">
        <v>7</v>
      </c>
      <c r="R23" s="63" t="s">
        <v>1304</v>
      </c>
      <c r="S23" s="83">
        <v>46692</v>
      </c>
      <c r="T23" s="313">
        <v>10</v>
      </c>
      <c r="U23" s="313"/>
      <c r="V23" s="81">
        <v>45658</v>
      </c>
      <c r="W23" s="28">
        <v>3</v>
      </c>
      <c r="X23" s="28">
        <v>2</v>
      </c>
      <c r="Y23" s="28">
        <v>6</v>
      </c>
      <c r="Z23" s="429">
        <v>2</v>
      </c>
      <c r="AA23" s="205">
        <f t="shared" si="2"/>
        <v>13</v>
      </c>
      <c r="AB23" s="206">
        <f t="shared" si="3"/>
        <v>3.25</v>
      </c>
      <c r="AC23" s="206">
        <f t="shared" si="4"/>
        <v>13</v>
      </c>
      <c r="AD23" s="206">
        <f t="shared" si="5"/>
        <v>26</v>
      </c>
      <c r="AE23" s="97"/>
    </row>
    <row r="24" spans="1:31" ht="15" customHeight="1" x14ac:dyDescent="0.25">
      <c r="A24" s="314">
        <f t="shared" si="6"/>
        <v>23</v>
      </c>
      <c r="B24" s="314" t="s">
        <v>183</v>
      </c>
      <c r="C24" s="415">
        <v>100</v>
      </c>
      <c r="D24" s="367"/>
      <c r="E24" s="479"/>
      <c r="F24" s="364"/>
      <c r="G24" s="486"/>
      <c r="H24" s="364"/>
      <c r="I24" s="486"/>
      <c r="J24" s="364"/>
      <c r="K24" s="486"/>
      <c r="L24" s="364"/>
      <c r="M24" s="486"/>
      <c r="N24" s="568"/>
      <c r="O24" s="340">
        <f t="shared" si="0"/>
        <v>100</v>
      </c>
      <c r="P24" s="438">
        <f t="shared" si="1"/>
        <v>-54</v>
      </c>
      <c r="Q24" s="7">
        <v>1.5</v>
      </c>
      <c r="R24" s="109"/>
      <c r="S24" s="112">
        <v>46600</v>
      </c>
      <c r="T24" s="322"/>
      <c r="U24" s="322">
        <v>1</v>
      </c>
      <c r="V24" s="201">
        <v>45717</v>
      </c>
      <c r="W24" s="203">
        <v>5</v>
      </c>
      <c r="X24" s="202">
        <v>10</v>
      </c>
      <c r="Y24" s="189">
        <v>4</v>
      </c>
      <c r="Z24" s="203">
        <v>4</v>
      </c>
      <c r="AA24" s="185">
        <f t="shared" si="2"/>
        <v>23</v>
      </c>
      <c r="AB24" s="185">
        <f t="shared" si="3"/>
        <v>5.75</v>
      </c>
      <c r="AC24" s="185">
        <f t="shared" si="4"/>
        <v>23</v>
      </c>
      <c r="AD24" s="185">
        <f t="shared" si="5"/>
        <v>46</v>
      </c>
      <c r="AE24" s="97"/>
    </row>
    <row r="25" spans="1:31" ht="15" customHeight="1" x14ac:dyDescent="0.25">
      <c r="A25" s="314">
        <f t="shared" si="6"/>
        <v>24</v>
      </c>
      <c r="B25" s="314" t="s">
        <v>1155</v>
      </c>
      <c r="C25" s="415">
        <v>29</v>
      </c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343">
        <f t="shared" si="0"/>
        <v>29</v>
      </c>
      <c r="P25" s="690">
        <f t="shared" si="1"/>
        <v>75</v>
      </c>
      <c r="Q25" s="7">
        <v>5.2</v>
      </c>
      <c r="R25" s="63" t="s">
        <v>699</v>
      </c>
      <c r="S25" s="118">
        <v>46174</v>
      </c>
      <c r="T25" s="316">
        <v>1</v>
      </c>
      <c r="U25" s="316">
        <v>1</v>
      </c>
      <c r="V25" s="199">
        <v>45717</v>
      </c>
      <c r="W25" s="309">
        <v>12</v>
      </c>
      <c r="X25" s="107">
        <v>10</v>
      </c>
      <c r="Y25" s="309">
        <v>16</v>
      </c>
      <c r="Z25" s="309">
        <v>14</v>
      </c>
      <c r="AA25" s="205">
        <f t="shared" si="2"/>
        <v>52</v>
      </c>
      <c r="AB25" s="206">
        <f t="shared" si="3"/>
        <v>13</v>
      </c>
      <c r="AC25" s="206">
        <f t="shared" si="4"/>
        <v>52</v>
      </c>
      <c r="AD25" s="206">
        <f t="shared" si="5"/>
        <v>104</v>
      </c>
    </row>
    <row r="26" spans="1:31" ht="15" customHeight="1" x14ac:dyDescent="0.25">
      <c r="A26" s="314">
        <f t="shared" si="6"/>
        <v>25</v>
      </c>
      <c r="B26" s="314" t="s">
        <v>47</v>
      </c>
      <c r="C26" s="414">
        <v>11</v>
      </c>
      <c r="D26" s="359"/>
      <c r="E26" s="478"/>
      <c r="F26" s="359"/>
      <c r="G26" s="478"/>
      <c r="H26" s="359"/>
      <c r="I26" s="483"/>
      <c r="J26" s="359"/>
      <c r="K26" s="478"/>
      <c r="L26" s="359"/>
      <c r="M26" s="478"/>
      <c r="N26" s="561"/>
      <c r="O26" s="343">
        <f t="shared" si="0"/>
        <v>11</v>
      </c>
      <c r="P26" s="690">
        <f t="shared" si="1"/>
        <v>19</v>
      </c>
      <c r="Q26" s="7">
        <v>12</v>
      </c>
      <c r="R26" s="63" t="s">
        <v>294</v>
      </c>
      <c r="S26" s="118">
        <v>46296</v>
      </c>
      <c r="T26" s="316">
        <v>3</v>
      </c>
      <c r="U26" s="316"/>
      <c r="V26" s="344">
        <v>45566</v>
      </c>
      <c r="W26" s="309">
        <v>1</v>
      </c>
      <c r="X26" s="309">
        <v>9</v>
      </c>
      <c r="Y26" s="309">
        <v>4</v>
      </c>
      <c r="Z26" s="309">
        <v>1</v>
      </c>
      <c r="AA26" s="205">
        <f t="shared" si="2"/>
        <v>15</v>
      </c>
      <c r="AB26" s="206">
        <f t="shared" si="3"/>
        <v>3.75</v>
      </c>
      <c r="AC26" s="206">
        <f t="shared" si="4"/>
        <v>15</v>
      </c>
      <c r="AD26" s="206">
        <f t="shared" si="5"/>
        <v>30</v>
      </c>
      <c r="AE26" s="97"/>
    </row>
    <row r="27" spans="1:31" ht="15" customHeight="1" x14ac:dyDescent="0.25">
      <c r="A27" s="314">
        <f t="shared" si="6"/>
        <v>26</v>
      </c>
      <c r="B27" s="314" t="s">
        <v>1049</v>
      </c>
      <c r="C27" s="415">
        <v>5</v>
      </c>
      <c r="D27" s="367"/>
      <c r="E27" s="479"/>
      <c r="F27" s="364"/>
      <c r="G27" s="486"/>
      <c r="H27" s="364"/>
      <c r="I27" s="486"/>
      <c r="J27" s="381"/>
      <c r="K27" s="487"/>
      <c r="L27" s="364"/>
      <c r="M27" s="486"/>
      <c r="N27" s="568"/>
      <c r="O27" s="343">
        <f t="shared" si="0"/>
        <v>5</v>
      </c>
      <c r="P27" s="690">
        <f t="shared" si="1"/>
        <v>5</v>
      </c>
      <c r="Q27" s="7">
        <v>8</v>
      </c>
      <c r="R27" s="155"/>
      <c r="S27" s="631">
        <v>46722</v>
      </c>
      <c r="T27" s="323"/>
      <c r="U27" s="347"/>
      <c r="V27" s="251">
        <v>44986</v>
      </c>
      <c r="W27" s="108"/>
      <c r="X27" s="108"/>
      <c r="Y27" s="92">
        <v>5</v>
      </c>
      <c r="Z27" s="92"/>
      <c r="AA27" s="205">
        <f t="shared" si="2"/>
        <v>5</v>
      </c>
      <c r="AB27" s="206">
        <f t="shared" si="3"/>
        <v>1.25</v>
      </c>
      <c r="AC27" s="206">
        <f t="shared" si="4"/>
        <v>5</v>
      </c>
      <c r="AD27" s="206">
        <f t="shared" si="5"/>
        <v>10</v>
      </c>
      <c r="AE27" s="97"/>
    </row>
    <row r="28" spans="1:31" ht="15" customHeight="1" x14ac:dyDescent="0.25">
      <c r="A28" s="314">
        <f t="shared" si="6"/>
        <v>27</v>
      </c>
      <c r="B28" s="314" t="s">
        <v>1438</v>
      </c>
      <c r="C28" s="415">
        <v>13</v>
      </c>
      <c r="D28" s="367"/>
      <c r="E28" s="479"/>
      <c r="F28" s="364"/>
      <c r="G28" s="486"/>
      <c r="H28" s="364">
        <v>1</v>
      </c>
      <c r="I28" s="486">
        <v>2</v>
      </c>
      <c r="J28" s="364">
        <v>1</v>
      </c>
      <c r="K28" s="486"/>
      <c r="L28" s="364"/>
      <c r="M28" s="486">
        <v>3</v>
      </c>
      <c r="N28" s="568"/>
      <c r="O28" s="343">
        <f t="shared" si="0"/>
        <v>6</v>
      </c>
      <c r="P28" s="690">
        <f t="shared" si="1"/>
        <v>32</v>
      </c>
      <c r="Q28" s="10">
        <v>30</v>
      </c>
      <c r="R28" s="109" t="s">
        <v>1439</v>
      </c>
      <c r="S28" s="112">
        <v>45992</v>
      </c>
      <c r="T28" s="318">
        <v>10</v>
      </c>
      <c r="U28" s="28">
        <v>40</v>
      </c>
      <c r="V28" s="197">
        <v>45992</v>
      </c>
      <c r="W28" s="189">
        <v>2</v>
      </c>
      <c r="X28" s="189">
        <v>6</v>
      </c>
      <c r="Y28" s="189">
        <v>9</v>
      </c>
      <c r="Z28" s="189">
        <v>2</v>
      </c>
      <c r="AA28" s="205">
        <f t="shared" si="2"/>
        <v>19</v>
      </c>
      <c r="AB28" s="206">
        <f t="shared" si="3"/>
        <v>4.75</v>
      </c>
      <c r="AC28" s="206">
        <f t="shared" si="4"/>
        <v>19</v>
      </c>
      <c r="AD28" s="206">
        <f t="shared" si="5"/>
        <v>38</v>
      </c>
      <c r="AE28" s="97"/>
    </row>
    <row r="29" spans="1:31" ht="15" customHeight="1" x14ac:dyDescent="0.25">
      <c r="A29" s="314">
        <f t="shared" si="6"/>
        <v>28</v>
      </c>
      <c r="B29" s="314" t="s">
        <v>457</v>
      </c>
      <c r="C29" s="415">
        <v>4</v>
      </c>
      <c r="D29" s="359"/>
      <c r="E29" s="478"/>
      <c r="F29" s="359"/>
      <c r="G29" s="478"/>
      <c r="H29" s="359">
        <v>3</v>
      </c>
      <c r="I29" s="478"/>
      <c r="J29" s="359"/>
      <c r="K29" s="478"/>
      <c r="L29" s="364"/>
      <c r="M29" s="478"/>
      <c r="N29" s="561"/>
      <c r="O29" s="343">
        <f t="shared" si="0"/>
        <v>1</v>
      </c>
      <c r="P29" s="696">
        <f t="shared" si="1"/>
        <v>13</v>
      </c>
      <c r="Q29" s="7">
        <v>7</v>
      </c>
      <c r="R29" s="63" t="s">
        <v>285</v>
      </c>
      <c r="S29" s="129">
        <v>47088</v>
      </c>
      <c r="T29" s="323">
        <v>12</v>
      </c>
      <c r="U29" s="323"/>
      <c r="V29" s="199">
        <v>45566</v>
      </c>
      <c r="W29" s="107">
        <v>3</v>
      </c>
      <c r="X29" s="107">
        <v>1</v>
      </c>
      <c r="Y29" s="309">
        <v>2</v>
      </c>
      <c r="Z29" s="309">
        <v>1</v>
      </c>
      <c r="AA29" s="205">
        <f t="shared" si="2"/>
        <v>7</v>
      </c>
      <c r="AB29" s="206">
        <f t="shared" si="3"/>
        <v>1.75</v>
      </c>
      <c r="AC29" s="206">
        <f t="shared" si="4"/>
        <v>7</v>
      </c>
      <c r="AD29" s="206">
        <f t="shared" si="5"/>
        <v>14</v>
      </c>
    </row>
    <row r="30" spans="1:31" ht="15.75" customHeight="1" x14ac:dyDescent="0.25">
      <c r="A30" s="314">
        <f t="shared" si="6"/>
        <v>29</v>
      </c>
      <c r="B30" s="314" t="s">
        <v>1193</v>
      </c>
      <c r="C30" s="415">
        <v>2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43">
        <f t="shared" si="0"/>
        <v>2</v>
      </c>
      <c r="P30" s="343">
        <f t="shared" si="1"/>
        <v>-2</v>
      </c>
      <c r="Q30" s="7">
        <v>132</v>
      </c>
      <c r="R30" s="63" t="s">
        <v>294</v>
      </c>
      <c r="S30" s="118">
        <v>46143</v>
      </c>
      <c r="T30" s="316"/>
      <c r="U30" s="316"/>
      <c r="V30" s="199">
        <v>45566</v>
      </c>
      <c r="W30" s="309"/>
      <c r="X30" s="107"/>
      <c r="Y30" s="309"/>
      <c r="Z30" s="309"/>
      <c r="AA30" s="205">
        <f t="shared" si="2"/>
        <v>0</v>
      </c>
      <c r="AB30" s="206">
        <f t="shared" si="3"/>
        <v>0</v>
      </c>
      <c r="AC30" s="206">
        <f t="shared" si="4"/>
        <v>0</v>
      </c>
      <c r="AD30" s="206">
        <f t="shared" si="5"/>
        <v>0</v>
      </c>
    </row>
    <row r="31" spans="1:31" ht="15" customHeight="1" x14ac:dyDescent="0.25">
      <c r="A31" s="314">
        <f t="shared" si="6"/>
        <v>30</v>
      </c>
      <c r="B31" s="651" t="s">
        <v>720</v>
      </c>
      <c r="C31" s="658">
        <v>2</v>
      </c>
      <c r="D31" s="359"/>
      <c r="E31" s="478"/>
      <c r="F31" s="360"/>
      <c r="G31" s="480"/>
      <c r="H31" s="360"/>
      <c r="I31" s="480"/>
      <c r="J31" s="360"/>
      <c r="K31" s="480"/>
      <c r="L31" s="360"/>
      <c r="M31" s="480"/>
      <c r="N31" s="562"/>
      <c r="O31" s="343">
        <f t="shared" si="0"/>
        <v>2</v>
      </c>
      <c r="P31" s="690">
        <f t="shared" si="1"/>
        <v>6</v>
      </c>
      <c r="Q31" s="10">
        <v>30</v>
      </c>
      <c r="R31" s="8" t="s">
        <v>412</v>
      </c>
      <c r="S31" s="705">
        <v>45809</v>
      </c>
      <c r="T31" s="28">
        <v>10</v>
      </c>
      <c r="V31" s="81">
        <v>45231</v>
      </c>
      <c r="W31" s="14">
        <v>1</v>
      </c>
      <c r="X31" s="14">
        <v>1</v>
      </c>
      <c r="Y31" s="28">
        <v>2</v>
      </c>
      <c r="AA31" s="205">
        <f t="shared" si="2"/>
        <v>4</v>
      </c>
      <c r="AB31" s="206">
        <f t="shared" si="3"/>
        <v>1</v>
      </c>
      <c r="AC31" s="206">
        <f t="shared" si="4"/>
        <v>4</v>
      </c>
      <c r="AD31" s="206">
        <f t="shared" si="5"/>
        <v>8</v>
      </c>
      <c r="AE31" s="97"/>
    </row>
    <row r="32" spans="1:31" s="113" customFormat="1" ht="15" customHeight="1" x14ac:dyDescent="0.25">
      <c r="A32" s="314">
        <f t="shared" si="6"/>
        <v>31</v>
      </c>
      <c r="B32" s="588" t="s">
        <v>501</v>
      </c>
      <c r="C32" s="594">
        <v>1</v>
      </c>
      <c r="D32" s="359"/>
      <c r="E32" s="478"/>
      <c r="F32" s="360"/>
      <c r="G32" s="480"/>
      <c r="H32" s="360"/>
      <c r="I32" s="480"/>
      <c r="J32" s="360"/>
      <c r="K32" s="480"/>
      <c r="L32" s="360"/>
      <c r="M32" s="480"/>
      <c r="N32" s="562"/>
      <c r="O32" s="343">
        <f t="shared" si="0"/>
        <v>1</v>
      </c>
      <c r="P32" s="690">
        <f t="shared" si="1"/>
        <v>15</v>
      </c>
      <c r="Q32" s="7">
        <v>3</v>
      </c>
      <c r="R32" s="63" t="s">
        <v>476</v>
      </c>
      <c r="S32" s="598">
        <v>45748</v>
      </c>
      <c r="T32" s="316"/>
      <c r="U32" s="316"/>
      <c r="V32" s="344">
        <v>45413</v>
      </c>
      <c r="W32" s="309">
        <v>4</v>
      </c>
      <c r="X32" s="309">
        <v>1</v>
      </c>
      <c r="Y32" s="309">
        <v>2</v>
      </c>
      <c r="Z32" s="309">
        <v>1</v>
      </c>
      <c r="AA32" s="205">
        <f t="shared" si="2"/>
        <v>8</v>
      </c>
      <c r="AB32" s="206">
        <f t="shared" si="3"/>
        <v>2</v>
      </c>
      <c r="AC32" s="206">
        <f t="shared" si="4"/>
        <v>8</v>
      </c>
      <c r="AD32" s="206">
        <f t="shared" si="5"/>
        <v>16</v>
      </c>
      <c r="AE32" s="97"/>
    </row>
    <row r="33" spans="1:31" ht="15" customHeight="1" x14ac:dyDescent="0.25">
      <c r="A33" s="314">
        <f t="shared" si="6"/>
        <v>32</v>
      </c>
      <c r="B33" s="314" t="s">
        <v>1206</v>
      </c>
      <c r="C33" s="415">
        <v>3</v>
      </c>
      <c r="D33" s="367"/>
      <c r="E33" s="479"/>
      <c r="F33" s="367"/>
      <c r="G33" s="486"/>
      <c r="H33" s="364"/>
      <c r="I33" s="486"/>
      <c r="J33" s="364"/>
      <c r="K33" s="486"/>
      <c r="L33" s="364"/>
      <c r="M33" s="486"/>
      <c r="N33" s="568"/>
      <c r="O33" s="343">
        <f t="shared" si="0"/>
        <v>3</v>
      </c>
      <c r="P33" s="690">
        <f t="shared" si="1"/>
        <v>7</v>
      </c>
      <c r="Q33" s="7">
        <v>35</v>
      </c>
      <c r="R33" s="704" t="s">
        <v>1207</v>
      </c>
      <c r="S33" s="112">
        <v>46204</v>
      </c>
      <c r="T33" s="316">
        <v>3</v>
      </c>
      <c r="U33" s="616"/>
      <c r="V33" s="111">
        <v>45566</v>
      </c>
      <c r="W33" s="108">
        <v>1</v>
      </c>
      <c r="X33" s="108">
        <v>1</v>
      </c>
      <c r="Y33" s="92">
        <v>1</v>
      </c>
      <c r="Z33" s="92">
        <v>2</v>
      </c>
      <c r="AA33" s="205">
        <f t="shared" si="2"/>
        <v>5</v>
      </c>
      <c r="AB33" s="206">
        <f t="shared" si="3"/>
        <v>1.25</v>
      </c>
      <c r="AC33" s="206">
        <f t="shared" si="4"/>
        <v>5</v>
      </c>
      <c r="AD33" s="206">
        <f t="shared" si="5"/>
        <v>10</v>
      </c>
      <c r="AE33" s="97"/>
    </row>
    <row r="34" spans="1:31" ht="15" customHeight="1" x14ac:dyDescent="0.25">
      <c r="A34" s="314">
        <f t="shared" si="6"/>
        <v>33</v>
      </c>
      <c r="B34" s="314" t="s">
        <v>701</v>
      </c>
      <c r="C34" s="415">
        <v>35</v>
      </c>
      <c r="D34" s="359">
        <v>1</v>
      </c>
      <c r="E34" s="478">
        <v>2</v>
      </c>
      <c r="F34" s="359">
        <v>2</v>
      </c>
      <c r="G34" s="478"/>
      <c r="H34" s="359"/>
      <c r="I34" s="478">
        <v>3</v>
      </c>
      <c r="J34" s="359"/>
      <c r="K34" s="478"/>
      <c r="L34" s="359"/>
      <c r="M34" s="478"/>
      <c r="N34" s="561"/>
      <c r="O34" s="343">
        <f t="shared" ref="O34:O65" si="7">SUM(C34-D34-E34-F34-G34-H34-I34-J34-K34-L34-M34-N34)</f>
        <v>27</v>
      </c>
      <c r="P34" s="696">
        <f t="shared" ref="P34:P65" si="8">AD34-O34</f>
        <v>7</v>
      </c>
      <c r="Q34" s="7">
        <v>5</v>
      </c>
      <c r="R34" s="125" t="s">
        <v>699</v>
      </c>
      <c r="S34" s="118">
        <v>46082</v>
      </c>
      <c r="T34" s="316">
        <v>5</v>
      </c>
      <c r="U34" s="316"/>
      <c r="V34" s="118">
        <v>45597</v>
      </c>
      <c r="W34" s="309">
        <v>7</v>
      </c>
      <c r="X34" s="309">
        <v>2</v>
      </c>
      <c r="Y34" s="309">
        <v>4</v>
      </c>
      <c r="Z34" s="309">
        <v>4</v>
      </c>
      <c r="AA34" s="205">
        <f t="shared" ref="AA34:AA65" si="9">W34+X34+Y34+Z34</f>
        <v>17</v>
      </c>
      <c r="AB34" s="206">
        <f t="shared" ref="AB34:AB65" si="10">AA34/4</f>
        <v>4.25</v>
      </c>
      <c r="AC34" s="206">
        <f t="shared" ref="AC34:AC65" si="11">AB34*4</f>
        <v>17</v>
      </c>
      <c r="AD34" s="206">
        <f t="shared" ref="AD34:AD65" si="12">AC34*2</f>
        <v>34</v>
      </c>
      <c r="AE34" s="97"/>
    </row>
    <row r="35" spans="1:31" ht="15" customHeight="1" x14ac:dyDescent="0.25">
      <c r="A35" s="314">
        <f t="shared" si="6"/>
        <v>34</v>
      </c>
      <c r="B35" s="314" t="s">
        <v>702</v>
      </c>
      <c r="C35" s="415">
        <v>40</v>
      </c>
      <c r="D35" s="359"/>
      <c r="E35" s="478">
        <v>2</v>
      </c>
      <c r="F35" s="359">
        <v>1</v>
      </c>
      <c r="G35" s="478"/>
      <c r="H35" s="359"/>
      <c r="I35" s="478">
        <v>2</v>
      </c>
      <c r="J35" s="359"/>
      <c r="K35" s="478"/>
      <c r="L35" s="359"/>
      <c r="M35" s="478"/>
      <c r="N35" s="561"/>
      <c r="O35" s="343">
        <f t="shared" si="7"/>
        <v>35</v>
      </c>
      <c r="P35" s="542">
        <f t="shared" si="8"/>
        <v>5</v>
      </c>
      <c r="Q35" s="44">
        <v>5</v>
      </c>
      <c r="R35" s="63" t="s">
        <v>699</v>
      </c>
      <c r="S35" s="118">
        <v>46023</v>
      </c>
      <c r="T35" s="316">
        <v>5</v>
      </c>
      <c r="U35" s="316">
        <v>5</v>
      </c>
      <c r="V35" s="199">
        <v>45717</v>
      </c>
      <c r="W35" s="309">
        <v>7</v>
      </c>
      <c r="X35" s="107">
        <v>2</v>
      </c>
      <c r="Y35" s="309">
        <v>6</v>
      </c>
      <c r="Z35" s="309">
        <v>5</v>
      </c>
      <c r="AA35" s="205">
        <f t="shared" si="9"/>
        <v>20</v>
      </c>
      <c r="AB35" s="206">
        <f t="shared" si="10"/>
        <v>5</v>
      </c>
      <c r="AC35" s="206">
        <f t="shared" si="11"/>
        <v>20</v>
      </c>
      <c r="AD35" s="206">
        <f t="shared" si="12"/>
        <v>40</v>
      </c>
    </row>
    <row r="36" spans="1:31" ht="14.25" customHeight="1" x14ac:dyDescent="0.25">
      <c r="A36" s="314">
        <f t="shared" si="6"/>
        <v>35</v>
      </c>
      <c r="B36" s="314" t="s">
        <v>1352</v>
      </c>
      <c r="C36" s="280">
        <v>3</v>
      </c>
      <c r="D36" s="359"/>
      <c r="E36" s="478"/>
      <c r="F36" s="359"/>
      <c r="G36" s="478"/>
      <c r="H36" s="359">
        <v>1</v>
      </c>
      <c r="I36" s="478"/>
      <c r="J36" s="359"/>
      <c r="K36" s="478"/>
      <c r="L36" s="359"/>
      <c r="M36" s="478"/>
      <c r="N36" s="561"/>
      <c r="O36" s="343">
        <f t="shared" si="7"/>
        <v>2</v>
      </c>
      <c r="P36" s="690">
        <f t="shared" si="8"/>
        <v>12</v>
      </c>
      <c r="Q36" s="7">
        <v>59</v>
      </c>
      <c r="R36" s="109" t="s">
        <v>1350</v>
      </c>
      <c r="S36" s="112">
        <v>46174</v>
      </c>
      <c r="T36" s="316">
        <v>0</v>
      </c>
      <c r="U36" s="322"/>
      <c r="V36" s="197">
        <v>45658</v>
      </c>
      <c r="W36" s="189">
        <v>4</v>
      </c>
      <c r="X36" s="189">
        <v>1</v>
      </c>
      <c r="Y36" s="189"/>
      <c r="Z36" s="189">
        <v>2</v>
      </c>
      <c r="AA36" s="205">
        <f t="shared" si="9"/>
        <v>7</v>
      </c>
      <c r="AB36" s="206">
        <f t="shared" si="10"/>
        <v>1.75</v>
      </c>
      <c r="AC36" s="206">
        <f t="shared" si="11"/>
        <v>7</v>
      </c>
      <c r="AD36" s="206">
        <f t="shared" si="12"/>
        <v>14</v>
      </c>
      <c r="AE36" s="97"/>
    </row>
    <row r="37" spans="1:31" ht="15" customHeight="1" x14ac:dyDescent="0.25">
      <c r="A37" s="314">
        <f t="shared" si="6"/>
        <v>36</v>
      </c>
      <c r="B37" s="314" t="s">
        <v>1185</v>
      </c>
      <c r="C37" s="415">
        <v>1</v>
      </c>
      <c r="D37" s="367"/>
      <c r="E37" s="703"/>
      <c r="F37" s="364"/>
      <c r="G37" s="486"/>
      <c r="H37" s="364"/>
      <c r="I37" s="486"/>
      <c r="J37" s="381"/>
      <c r="K37" s="487"/>
      <c r="L37" s="364"/>
      <c r="M37" s="486"/>
      <c r="N37" s="568"/>
      <c r="O37" s="343">
        <f t="shared" si="7"/>
        <v>1</v>
      </c>
      <c r="P37" s="690">
        <f t="shared" si="8"/>
        <v>5</v>
      </c>
      <c r="Q37" s="10">
        <v>95</v>
      </c>
      <c r="R37" s="63" t="s">
        <v>399</v>
      </c>
      <c r="S37" s="118">
        <v>46082</v>
      </c>
      <c r="U37" s="322"/>
      <c r="V37" s="344">
        <v>45658</v>
      </c>
      <c r="W37" s="309">
        <v>1</v>
      </c>
      <c r="X37" s="309"/>
      <c r="Y37" s="309">
        <v>1</v>
      </c>
      <c r="Z37" s="309">
        <v>1</v>
      </c>
      <c r="AA37" s="205">
        <f t="shared" si="9"/>
        <v>3</v>
      </c>
      <c r="AB37" s="206">
        <f t="shared" si="10"/>
        <v>0.75</v>
      </c>
      <c r="AC37" s="206">
        <f t="shared" si="11"/>
        <v>3</v>
      </c>
      <c r="AD37" s="206">
        <f t="shared" si="12"/>
        <v>6</v>
      </c>
    </row>
    <row r="38" spans="1:31" ht="15" customHeight="1" x14ac:dyDescent="0.25">
      <c r="A38" s="314">
        <f t="shared" si="6"/>
        <v>37</v>
      </c>
      <c r="B38" s="314" t="s">
        <v>1190</v>
      </c>
      <c r="C38" s="280">
        <v>56</v>
      </c>
      <c r="D38" s="359"/>
      <c r="E38" s="478"/>
      <c r="F38" s="359"/>
      <c r="G38" s="480"/>
      <c r="H38" s="360">
        <v>2</v>
      </c>
      <c r="I38" s="480">
        <v>5</v>
      </c>
      <c r="J38" s="360"/>
      <c r="K38" s="480"/>
      <c r="L38" s="360"/>
      <c r="M38" s="480"/>
      <c r="N38" s="562"/>
      <c r="O38" s="343">
        <f t="shared" si="7"/>
        <v>49</v>
      </c>
      <c r="P38" s="343">
        <f t="shared" si="8"/>
        <v>-9</v>
      </c>
      <c r="Q38" s="7">
        <v>1</v>
      </c>
      <c r="R38" s="63" t="s">
        <v>399</v>
      </c>
      <c r="S38" s="83">
        <v>46235</v>
      </c>
      <c r="T38" s="316">
        <v>4</v>
      </c>
      <c r="U38" s="313"/>
      <c r="V38" s="81">
        <v>45658</v>
      </c>
      <c r="W38" s="14">
        <v>3</v>
      </c>
      <c r="X38" s="28">
        <v>2</v>
      </c>
      <c r="Y38" s="28">
        <v>10</v>
      </c>
      <c r="Z38" s="28">
        <v>5</v>
      </c>
      <c r="AA38" s="205">
        <f t="shared" si="9"/>
        <v>20</v>
      </c>
      <c r="AB38" s="206">
        <f t="shared" si="10"/>
        <v>5</v>
      </c>
      <c r="AC38" s="206">
        <f t="shared" si="11"/>
        <v>20</v>
      </c>
      <c r="AD38" s="206">
        <f t="shared" si="12"/>
        <v>40</v>
      </c>
      <c r="AE38" s="97"/>
    </row>
    <row r="39" spans="1:31" ht="15" customHeight="1" x14ac:dyDescent="0.25">
      <c r="A39" s="314">
        <f t="shared" si="6"/>
        <v>38</v>
      </c>
      <c r="B39" s="314" t="s">
        <v>1050</v>
      </c>
      <c r="C39" s="415">
        <v>64</v>
      </c>
      <c r="D39" s="359"/>
      <c r="E39" s="478">
        <v>15</v>
      </c>
      <c r="F39" s="359"/>
      <c r="G39" s="478">
        <v>1</v>
      </c>
      <c r="H39" s="359"/>
      <c r="I39" s="478"/>
      <c r="J39" s="359"/>
      <c r="K39" s="478"/>
      <c r="L39" s="359"/>
      <c r="M39" s="478"/>
      <c r="N39" s="561"/>
      <c r="O39" s="343">
        <f t="shared" si="7"/>
        <v>48</v>
      </c>
      <c r="P39" s="343">
        <f t="shared" si="8"/>
        <v>-4</v>
      </c>
      <c r="Q39" s="7">
        <v>3.5</v>
      </c>
      <c r="R39" s="8" t="s">
        <v>294</v>
      </c>
      <c r="S39" s="344">
        <v>46235</v>
      </c>
      <c r="T39" s="318">
        <v>0</v>
      </c>
      <c r="U39" s="318"/>
      <c r="V39" s="344">
        <v>45627</v>
      </c>
      <c r="W39" s="318">
        <v>8</v>
      </c>
      <c r="X39" s="309">
        <v>4</v>
      </c>
      <c r="Y39" s="309">
        <v>3</v>
      </c>
      <c r="Z39" s="309">
        <v>7</v>
      </c>
      <c r="AA39" s="205">
        <f t="shared" si="9"/>
        <v>22</v>
      </c>
      <c r="AB39" s="206">
        <f t="shared" si="10"/>
        <v>5.5</v>
      </c>
      <c r="AC39" s="206">
        <f t="shared" si="11"/>
        <v>22</v>
      </c>
      <c r="AD39" s="206">
        <f t="shared" si="12"/>
        <v>44</v>
      </c>
      <c r="AE39" s="97"/>
    </row>
    <row r="40" spans="1:31" ht="15" customHeight="1" x14ac:dyDescent="0.25">
      <c r="A40" s="314">
        <f t="shared" si="6"/>
        <v>39</v>
      </c>
      <c r="B40" s="314" t="s">
        <v>1115</v>
      </c>
      <c r="C40" s="341">
        <v>2</v>
      </c>
      <c r="D40" s="359"/>
      <c r="E40" s="478"/>
      <c r="F40" s="359"/>
      <c r="G40" s="480">
        <v>1</v>
      </c>
      <c r="H40" s="360"/>
      <c r="I40" s="480"/>
      <c r="J40" s="360"/>
      <c r="K40" s="480"/>
      <c r="L40" s="360"/>
      <c r="M40" s="480"/>
      <c r="N40" s="562"/>
      <c r="O40" s="343">
        <f t="shared" si="7"/>
        <v>1</v>
      </c>
      <c r="P40" s="690">
        <f t="shared" si="8"/>
        <v>7</v>
      </c>
      <c r="Q40" s="7">
        <v>28</v>
      </c>
      <c r="R40" s="63" t="s">
        <v>81</v>
      </c>
      <c r="S40" s="83">
        <v>46143</v>
      </c>
      <c r="T40" s="132">
        <v>6</v>
      </c>
      <c r="U40" s="132"/>
      <c r="V40" s="118">
        <v>45689</v>
      </c>
      <c r="W40" s="14">
        <v>1</v>
      </c>
      <c r="X40" s="28">
        <v>1</v>
      </c>
      <c r="Y40" s="28">
        <v>1</v>
      </c>
      <c r="Z40" s="28">
        <v>1</v>
      </c>
      <c r="AA40" s="205">
        <f t="shared" si="9"/>
        <v>4</v>
      </c>
      <c r="AB40" s="206">
        <f t="shared" si="10"/>
        <v>1</v>
      </c>
      <c r="AC40" s="206">
        <f t="shared" si="11"/>
        <v>4</v>
      </c>
      <c r="AD40" s="206">
        <f t="shared" si="12"/>
        <v>8</v>
      </c>
      <c r="AE40" s="97"/>
    </row>
    <row r="41" spans="1:31" ht="15" customHeight="1" x14ac:dyDescent="0.25">
      <c r="A41" s="314">
        <f t="shared" si="6"/>
        <v>40</v>
      </c>
      <c r="B41" s="4" t="s">
        <v>1051</v>
      </c>
      <c r="C41" s="415">
        <v>2</v>
      </c>
      <c r="D41" s="359"/>
      <c r="E41" s="478"/>
      <c r="F41" s="360"/>
      <c r="G41" s="480"/>
      <c r="H41" s="360"/>
      <c r="I41" s="480"/>
      <c r="J41" s="360"/>
      <c r="K41" s="480"/>
      <c r="L41" s="360"/>
      <c r="M41" s="480"/>
      <c r="N41" s="562"/>
      <c r="O41" s="343">
        <f t="shared" si="7"/>
        <v>2</v>
      </c>
      <c r="P41" s="690">
        <f t="shared" si="8"/>
        <v>8</v>
      </c>
      <c r="Q41" s="7">
        <v>90</v>
      </c>
      <c r="R41" s="63" t="s">
        <v>854</v>
      </c>
      <c r="S41" s="118">
        <v>45962</v>
      </c>
      <c r="T41" s="316">
        <v>0</v>
      </c>
      <c r="U41" s="316"/>
      <c r="V41" s="344">
        <v>45505</v>
      </c>
      <c r="W41" s="309">
        <v>2</v>
      </c>
      <c r="X41" s="309">
        <v>1</v>
      </c>
      <c r="Y41" s="309">
        <v>1</v>
      </c>
      <c r="Z41" s="309">
        <v>1</v>
      </c>
      <c r="AA41" s="205">
        <f t="shared" si="9"/>
        <v>5</v>
      </c>
      <c r="AB41" s="206">
        <f t="shared" si="10"/>
        <v>1.25</v>
      </c>
      <c r="AC41" s="206">
        <f t="shared" si="11"/>
        <v>5</v>
      </c>
      <c r="AD41" s="206">
        <f t="shared" si="12"/>
        <v>10</v>
      </c>
      <c r="AE41" s="97"/>
    </row>
    <row r="42" spans="1:31" ht="13.5" customHeight="1" x14ac:dyDescent="0.25">
      <c r="A42" s="314">
        <f t="shared" si="6"/>
        <v>41</v>
      </c>
      <c r="B42" s="314" t="s">
        <v>1440</v>
      </c>
      <c r="C42" s="340">
        <v>1</v>
      </c>
      <c r="D42" s="368"/>
      <c r="E42" s="496"/>
      <c r="F42" s="368"/>
      <c r="G42" s="497"/>
      <c r="H42" s="372"/>
      <c r="I42" s="497">
        <v>1</v>
      </c>
      <c r="J42" s="372"/>
      <c r="K42" s="497"/>
      <c r="L42" s="372"/>
      <c r="M42" s="497"/>
      <c r="N42" s="584"/>
      <c r="O42" s="343">
        <f t="shared" si="7"/>
        <v>0</v>
      </c>
      <c r="P42" s="343">
        <f t="shared" si="8"/>
        <v>0</v>
      </c>
      <c r="Q42" s="7">
        <v>60</v>
      </c>
      <c r="R42" s="63" t="s">
        <v>1439</v>
      </c>
      <c r="S42" s="83">
        <v>46266</v>
      </c>
      <c r="T42" s="313">
        <v>5</v>
      </c>
      <c r="U42" s="28">
        <v>6</v>
      </c>
      <c r="V42" s="81">
        <v>45717</v>
      </c>
      <c r="W42" s="28"/>
      <c r="X42" s="28"/>
      <c r="Z42" s="429"/>
      <c r="AA42" s="205">
        <f t="shared" si="9"/>
        <v>0</v>
      </c>
      <c r="AB42" s="206">
        <f t="shared" si="10"/>
        <v>0</v>
      </c>
      <c r="AC42" s="206">
        <f t="shared" si="11"/>
        <v>0</v>
      </c>
      <c r="AD42" s="206">
        <f t="shared" si="12"/>
        <v>0</v>
      </c>
    </row>
    <row r="43" spans="1:31" ht="15" customHeight="1" x14ac:dyDescent="0.25">
      <c r="A43" s="314">
        <f t="shared" si="6"/>
        <v>42</v>
      </c>
      <c r="B43" s="314" t="s">
        <v>801</v>
      </c>
      <c r="C43" s="415">
        <v>1</v>
      </c>
      <c r="D43" s="359"/>
      <c r="E43" s="478"/>
      <c r="F43" s="360"/>
      <c r="G43" s="480"/>
      <c r="H43" s="360"/>
      <c r="I43" s="480"/>
      <c r="J43" s="360"/>
      <c r="K43" s="480"/>
      <c r="L43" s="360"/>
      <c r="M43" s="480"/>
      <c r="N43" s="562"/>
      <c r="O43" s="343">
        <f t="shared" si="7"/>
        <v>1</v>
      </c>
      <c r="P43" s="690">
        <f t="shared" si="8"/>
        <v>5</v>
      </c>
      <c r="Q43" s="10">
        <v>37</v>
      </c>
      <c r="R43" s="8" t="s">
        <v>226</v>
      </c>
      <c r="S43" s="129">
        <v>46082</v>
      </c>
      <c r="T43" s="28">
        <v>3</v>
      </c>
      <c r="V43" s="81">
        <v>45566</v>
      </c>
      <c r="W43" s="14">
        <v>1</v>
      </c>
      <c r="X43" s="14">
        <v>1</v>
      </c>
      <c r="Y43" s="28">
        <v>1</v>
      </c>
      <c r="AA43" s="205">
        <f t="shared" si="9"/>
        <v>3</v>
      </c>
      <c r="AB43" s="206">
        <f t="shared" si="10"/>
        <v>0.75</v>
      </c>
      <c r="AC43" s="206">
        <f t="shared" si="11"/>
        <v>3</v>
      </c>
      <c r="AD43" s="206">
        <f t="shared" si="12"/>
        <v>6</v>
      </c>
    </row>
    <row r="44" spans="1:31" ht="15" customHeight="1" x14ac:dyDescent="0.25">
      <c r="A44" s="314">
        <f t="shared" si="6"/>
        <v>43</v>
      </c>
      <c r="B44" s="314" t="s">
        <v>1333</v>
      </c>
      <c r="C44" s="280">
        <v>2</v>
      </c>
      <c r="D44" s="359"/>
      <c r="E44" s="478"/>
      <c r="F44" s="359"/>
      <c r="G44" s="478"/>
      <c r="H44" s="359"/>
      <c r="I44" s="478"/>
      <c r="J44" s="359"/>
      <c r="K44" s="478"/>
      <c r="L44" s="427"/>
      <c r="M44" s="478"/>
      <c r="N44" s="561"/>
      <c r="O44" s="343">
        <f t="shared" si="7"/>
        <v>2</v>
      </c>
      <c r="P44" s="343">
        <f t="shared" si="8"/>
        <v>-2</v>
      </c>
      <c r="Q44" s="7">
        <v>57</v>
      </c>
      <c r="R44" s="63" t="s">
        <v>881</v>
      </c>
      <c r="S44" s="83">
        <v>46204</v>
      </c>
      <c r="T44" s="45">
        <v>2</v>
      </c>
      <c r="U44" s="303"/>
      <c r="V44" s="77">
        <v>45658</v>
      </c>
      <c r="W44" s="16"/>
      <c r="X44" s="16"/>
      <c r="Y44" s="315"/>
      <c r="Z44" s="315"/>
      <c r="AA44" s="205">
        <f t="shared" si="9"/>
        <v>0</v>
      </c>
      <c r="AB44" s="206">
        <f t="shared" si="10"/>
        <v>0</v>
      </c>
      <c r="AC44" s="206">
        <f t="shared" si="11"/>
        <v>0</v>
      </c>
      <c r="AD44" s="206">
        <f t="shared" si="12"/>
        <v>0</v>
      </c>
    </row>
    <row r="45" spans="1:31" ht="15" customHeight="1" x14ac:dyDescent="0.25">
      <c r="A45" s="314">
        <f t="shared" si="6"/>
        <v>44</v>
      </c>
      <c r="B45" s="314" t="s">
        <v>1324</v>
      </c>
      <c r="C45" s="415">
        <v>1</v>
      </c>
      <c r="D45" s="359"/>
      <c r="E45" s="478"/>
      <c r="F45" s="360"/>
      <c r="G45" s="480"/>
      <c r="H45" s="360"/>
      <c r="I45" s="480"/>
      <c r="J45" s="360"/>
      <c r="K45" s="480"/>
      <c r="L45" s="360"/>
      <c r="M45" s="480"/>
      <c r="N45" s="562"/>
      <c r="O45" s="343">
        <f t="shared" si="7"/>
        <v>1</v>
      </c>
      <c r="P45" s="690">
        <f t="shared" si="8"/>
        <v>1</v>
      </c>
      <c r="Q45" s="10">
        <v>168</v>
      </c>
      <c r="R45" s="63" t="s">
        <v>1325</v>
      </c>
      <c r="S45" s="118">
        <v>46113</v>
      </c>
      <c r="T45" s="28">
        <v>6</v>
      </c>
      <c r="V45" s="81">
        <v>45627</v>
      </c>
      <c r="X45" s="14">
        <v>1</v>
      </c>
      <c r="AA45" s="205">
        <f t="shared" si="9"/>
        <v>1</v>
      </c>
      <c r="AB45" s="206">
        <f t="shared" si="10"/>
        <v>0.25</v>
      </c>
      <c r="AC45" s="206">
        <f t="shared" si="11"/>
        <v>1</v>
      </c>
      <c r="AD45" s="206">
        <f t="shared" si="12"/>
        <v>2</v>
      </c>
      <c r="AE45" s="97"/>
    </row>
    <row r="46" spans="1:31" ht="15" customHeight="1" x14ac:dyDescent="0.25">
      <c r="A46" s="314">
        <f t="shared" si="6"/>
        <v>45</v>
      </c>
      <c r="B46" s="314" t="s">
        <v>1458</v>
      </c>
      <c r="C46" s="340">
        <v>1</v>
      </c>
      <c r="D46" s="359"/>
      <c r="E46" s="478"/>
      <c r="F46" s="360"/>
      <c r="G46" s="480"/>
      <c r="H46" s="360"/>
      <c r="I46" s="480"/>
      <c r="J46" s="360"/>
      <c r="K46" s="480"/>
      <c r="L46" s="360"/>
      <c r="M46" s="480"/>
      <c r="N46" s="562"/>
      <c r="O46" s="343">
        <f t="shared" si="7"/>
        <v>1</v>
      </c>
      <c r="P46" s="343">
        <f t="shared" si="8"/>
        <v>-1</v>
      </c>
      <c r="Q46" s="10">
        <v>60</v>
      </c>
      <c r="R46" s="63" t="s">
        <v>1439</v>
      </c>
      <c r="S46" s="129">
        <v>46266</v>
      </c>
      <c r="T46" s="125">
        <v>5</v>
      </c>
      <c r="U46" s="125">
        <v>6</v>
      </c>
      <c r="V46" s="81">
        <v>45717</v>
      </c>
      <c r="AA46" s="205">
        <f t="shared" si="9"/>
        <v>0</v>
      </c>
      <c r="AB46" s="206">
        <f t="shared" si="10"/>
        <v>0</v>
      </c>
      <c r="AC46" s="206">
        <f t="shared" si="11"/>
        <v>0</v>
      </c>
      <c r="AD46" s="206">
        <f t="shared" si="12"/>
        <v>0</v>
      </c>
      <c r="AE46" s="97"/>
    </row>
    <row r="47" spans="1:31" ht="15" customHeight="1" x14ac:dyDescent="0.25">
      <c r="A47" s="314">
        <f t="shared" si="6"/>
        <v>46</v>
      </c>
      <c r="B47" s="353" t="s">
        <v>1301</v>
      </c>
      <c r="C47" s="415">
        <v>2</v>
      </c>
      <c r="D47" s="457"/>
      <c r="E47" s="531"/>
      <c r="F47" s="457"/>
      <c r="G47" s="531"/>
      <c r="H47" s="457"/>
      <c r="I47" s="531"/>
      <c r="J47" s="457"/>
      <c r="K47" s="531"/>
      <c r="L47" s="457"/>
      <c r="M47" s="531"/>
      <c r="N47" s="585"/>
      <c r="O47" s="343">
        <f t="shared" si="7"/>
        <v>2</v>
      </c>
      <c r="P47" s="690">
        <f t="shared" si="8"/>
        <v>6</v>
      </c>
      <c r="Q47" s="404">
        <v>26</v>
      </c>
      <c r="R47" s="532" t="s">
        <v>476</v>
      </c>
      <c r="S47" s="326"/>
      <c r="T47" s="326">
        <v>7</v>
      </c>
      <c r="U47" s="326"/>
      <c r="V47" s="337">
        <v>45658</v>
      </c>
      <c r="W47" s="533">
        <v>1</v>
      </c>
      <c r="X47" s="533">
        <v>1</v>
      </c>
      <c r="Y47" s="428">
        <v>1</v>
      </c>
      <c r="Z47" s="326">
        <v>1</v>
      </c>
      <c r="AA47" s="205">
        <f t="shared" si="9"/>
        <v>4</v>
      </c>
      <c r="AB47" s="206">
        <f t="shared" si="10"/>
        <v>1</v>
      </c>
      <c r="AC47" s="206">
        <f t="shared" si="11"/>
        <v>4</v>
      </c>
      <c r="AD47" s="206">
        <f t="shared" si="12"/>
        <v>8</v>
      </c>
      <c r="AE47" s="97"/>
    </row>
    <row r="48" spans="1:31" ht="15" customHeight="1" x14ac:dyDescent="0.25">
      <c r="A48" s="314">
        <f t="shared" si="6"/>
        <v>47</v>
      </c>
      <c r="B48" s="353" t="s">
        <v>1302</v>
      </c>
      <c r="C48" s="415">
        <v>3</v>
      </c>
      <c r="D48" s="534"/>
      <c r="E48" s="531"/>
      <c r="F48" s="457"/>
      <c r="G48" s="531"/>
      <c r="H48" s="534"/>
      <c r="I48" s="531"/>
      <c r="J48" s="534"/>
      <c r="K48" s="531"/>
      <c r="L48" s="534"/>
      <c r="M48" s="531"/>
      <c r="N48" s="585"/>
      <c r="O48" s="343">
        <f t="shared" si="7"/>
        <v>3</v>
      </c>
      <c r="P48" s="690">
        <f t="shared" si="8"/>
        <v>7</v>
      </c>
      <c r="Q48" s="448">
        <v>17</v>
      </c>
      <c r="R48" s="532" t="s">
        <v>476</v>
      </c>
      <c r="S48" s="678"/>
      <c r="T48" s="349">
        <v>26</v>
      </c>
      <c r="U48" s="349"/>
      <c r="V48" s="336">
        <v>45658</v>
      </c>
      <c r="W48" s="326">
        <v>2</v>
      </c>
      <c r="X48" s="326">
        <v>1</v>
      </c>
      <c r="Y48" s="429">
        <v>1</v>
      </c>
      <c r="Z48" s="326">
        <v>1</v>
      </c>
      <c r="AA48" s="205">
        <f t="shared" si="9"/>
        <v>5</v>
      </c>
      <c r="AB48" s="206">
        <f t="shared" si="10"/>
        <v>1.25</v>
      </c>
      <c r="AC48" s="206">
        <f t="shared" si="11"/>
        <v>5</v>
      </c>
      <c r="AD48" s="206">
        <f t="shared" si="12"/>
        <v>10</v>
      </c>
      <c r="AE48" s="97"/>
    </row>
    <row r="49" spans="1:31" ht="15" customHeight="1" x14ac:dyDescent="0.25">
      <c r="A49" s="314">
        <f t="shared" si="6"/>
        <v>48</v>
      </c>
      <c r="B49" s="314" t="s">
        <v>227</v>
      </c>
      <c r="C49" s="415">
        <v>4</v>
      </c>
      <c r="D49" s="367"/>
      <c r="E49" s="478"/>
      <c r="F49" s="359"/>
      <c r="G49" s="478"/>
      <c r="H49" s="364"/>
      <c r="I49" s="478"/>
      <c r="J49" s="381"/>
      <c r="K49" s="478"/>
      <c r="L49" s="364"/>
      <c r="M49" s="478"/>
      <c r="N49" s="561"/>
      <c r="O49" s="343">
        <f t="shared" si="7"/>
        <v>4</v>
      </c>
      <c r="P49" s="690">
        <f t="shared" si="8"/>
        <v>4</v>
      </c>
      <c r="Q49" s="7">
        <v>15</v>
      </c>
      <c r="R49" s="63" t="s">
        <v>476</v>
      </c>
      <c r="S49" s="118"/>
      <c r="T49" s="316">
        <v>25</v>
      </c>
      <c r="U49" s="316"/>
      <c r="V49" s="344">
        <v>45658</v>
      </c>
      <c r="W49" s="309">
        <v>1</v>
      </c>
      <c r="X49" s="309">
        <v>1</v>
      </c>
      <c r="Y49" s="309">
        <v>1</v>
      </c>
      <c r="Z49" s="309">
        <v>1</v>
      </c>
      <c r="AA49" s="205">
        <f t="shared" si="9"/>
        <v>4</v>
      </c>
      <c r="AB49" s="206">
        <f t="shared" si="10"/>
        <v>1</v>
      </c>
      <c r="AC49" s="206">
        <f t="shared" si="11"/>
        <v>4</v>
      </c>
      <c r="AD49" s="206">
        <f t="shared" si="12"/>
        <v>8</v>
      </c>
      <c r="AE49" s="97"/>
    </row>
    <row r="50" spans="1:31" ht="15" customHeight="1" x14ac:dyDescent="0.25">
      <c r="A50" s="314">
        <f t="shared" si="6"/>
        <v>49</v>
      </c>
      <c r="B50" s="314" t="s">
        <v>263</v>
      </c>
      <c r="C50" s="415">
        <v>2</v>
      </c>
      <c r="D50" s="367"/>
      <c r="E50" s="478"/>
      <c r="F50" s="359"/>
      <c r="G50" s="478"/>
      <c r="H50" s="364">
        <v>1</v>
      </c>
      <c r="I50" s="478"/>
      <c r="J50" s="381"/>
      <c r="K50" s="478"/>
      <c r="L50" s="364"/>
      <c r="M50" s="478"/>
      <c r="N50" s="561"/>
      <c r="O50" s="343">
        <f t="shared" si="7"/>
        <v>1</v>
      </c>
      <c r="P50" s="690">
        <f t="shared" si="8"/>
        <v>7</v>
      </c>
      <c r="Q50" s="7">
        <v>17</v>
      </c>
      <c r="R50" s="8" t="s">
        <v>476</v>
      </c>
      <c r="S50" s="118"/>
      <c r="T50" s="316">
        <v>26</v>
      </c>
      <c r="U50" s="316"/>
      <c r="V50" s="199">
        <v>45658</v>
      </c>
      <c r="W50" s="309">
        <v>1</v>
      </c>
      <c r="X50" s="107">
        <v>1</v>
      </c>
      <c r="Y50" s="309">
        <v>1</v>
      </c>
      <c r="Z50" s="309">
        <v>1</v>
      </c>
      <c r="AA50" s="205">
        <f t="shared" si="9"/>
        <v>4</v>
      </c>
      <c r="AB50" s="206">
        <f t="shared" si="10"/>
        <v>1</v>
      </c>
      <c r="AC50" s="206">
        <f t="shared" si="11"/>
        <v>4</v>
      </c>
      <c r="AD50" s="206">
        <f t="shared" si="12"/>
        <v>8</v>
      </c>
      <c r="AE50" s="97"/>
    </row>
    <row r="51" spans="1:31" ht="15" customHeight="1" x14ac:dyDescent="0.25">
      <c r="A51" s="314">
        <f t="shared" si="6"/>
        <v>50</v>
      </c>
      <c r="B51" s="314" t="s">
        <v>264</v>
      </c>
      <c r="C51" s="415">
        <v>1</v>
      </c>
      <c r="D51" s="367"/>
      <c r="E51" s="478"/>
      <c r="F51" s="359"/>
      <c r="G51" s="478"/>
      <c r="H51" s="364"/>
      <c r="I51" s="478"/>
      <c r="J51" s="381"/>
      <c r="K51" s="478"/>
      <c r="L51" s="364"/>
      <c r="M51" s="478"/>
      <c r="N51" s="561"/>
      <c r="O51" s="343">
        <f t="shared" si="7"/>
        <v>1</v>
      </c>
      <c r="P51" s="690">
        <f t="shared" si="8"/>
        <v>9</v>
      </c>
      <c r="Q51" s="7">
        <v>15</v>
      </c>
      <c r="R51" s="8" t="s">
        <v>476</v>
      </c>
      <c r="S51" s="118"/>
      <c r="T51" s="316">
        <v>27</v>
      </c>
      <c r="U51" s="316"/>
      <c r="V51" s="199">
        <v>45658</v>
      </c>
      <c r="W51" s="309">
        <v>1</v>
      </c>
      <c r="X51" s="107">
        <v>1</v>
      </c>
      <c r="Y51" s="309">
        <v>2</v>
      </c>
      <c r="Z51" s="309">
        <v>1</v>
      </c>
      <c r="AA51" s="205">
        <f t="shared" si="9"/>
        <v>5</v>
      </c>
      <c r="AB51" s="206">
        <f t="shared" si="10"/>
        <v>1.25</v>
      </c>
      <c r="AC51" s="206">
        <f t="shared" si="11"/>
        <v>5</v>
      </c>
      <c r="AD51" s="206">
        <f t="shared" si="12"/>
        <v>10</v>
      </c>
      <c r="AE51" s="97"/>
    </row>
    <row r="52" spans="1:31" ht="13.5" customHeight="1" x14ac:dyDescent="0.25">
      <c r="A52" s="314">
        <f t="shared" si="6"/>
        <v>51</v>
      </c>
      <c r="B52" s="314" t="s">
        <v>1052</v>
      </c>
      <c r="C52" s="415">
        <v>2</v>
      </c>
      <c r="D52" s="367"/>
      <c r="E52" s="479"/>
      <c r="F52" s="364"/>
      <c r="G52" s="486"/>
      <c r="H52" s="364"/>
      <c r="I52" s="486"/>
      <c r="J52" s="381"/>
      <c r="K52" s="487"/>
      <c r="L52" s="364"/>
      <c r="M52" s="486"/>
      <c r="N52" s="568"/>
      <c r="O52" s="343">
        <f t="shared" si="7"/>
        <v>2</v>
      </c>
      <c r="P52" s="690">
        <f t="shared" si="8"/>
        <v>6</v>
      </c>
      <c r="Q52" s="7">
        <v>10</v>
      </c>
      <c r="R52" s="91" t="s">
        <v>171</v>
      </c>
      <c r="S52" s="92"/>
      <c r="T52" s="316">
        <v>10</v>
      </c>
      <c r="U52" s="322"/>
      <c r="V52" s="197">
        <v>45536</v>
      </c>
      <c r="W52" s="189">
        <v>1</v>
      </c>
      <c r="X52" s="189">
        <v>1</v>
      </c>
      <c r="Y52" s="189">
        <v>1</v>
      </c>
      <c r="Z52" s="189">
        <v>1</v>
      </c>
      <c r="AA52" s="205">
        <f t="shared" si="9"/>
        <v>4</v>
      </c>
      <c r="AB52" s="206">
        <f t="shared" si="10"/>
        <v>1</v>
      </c>
      <c r="AC52" s="206">
        <f t="shared" si="11"/>
        <v>4</v>
      </c>
      <c r="AD52" s="206">
        <f t="shared" si="12"/>
        <v>8</v>
      </c>
      <c r="AE52" s="97"/>
    </row>
    <row r="53" spans="1:31" ht="15" customHeight="1" x14ac:dyDescent="0.25">
      <c r="A53" s="314">
        <f t="shared" si="6"/>
        <v>52</v>
      </c>
      <c r="B53" s="314" t="s">
        <v>758</v>
      </c>
      <c r="C53" s="415">
        <v>17</v>
      </c>
      <c r="D53" s="367"/>
      <c r="E53" s="479"/>
      <c r="F53" s="364"/>
      <c r="G53" s="486"/>
      <c r="H53" s="364"/>
      <c r="I53" s="486"/>
      <c r="J53" s="381"/>
      <c r="K53" s="486"/>
      <c r="L53" s="364"/>
      <c r="M53" s="486"/>
      <c r="N53" s="568"/>
      <c r="O53" s="343">
        <f t="shared" si="7"/>
        <v>17</v>
      </c>
      <c r="P53" s="690">
        <f t="shared" si="8"/>
        <v>5</v>
      </c>
      <c r="Q53" s="10">
        <v>3</v>
      </c>
      <c r="R53" s="110" t="s">
        <v>226</v>
      </c>
      <c r="S53" s="112">
        <v>46023</v>
      </c>
      <c r="T53" s="316">
        <v>0</v>
      </c>
      <c r="U53" s="322"/>
      <c r="V53" s="197">
        <v>45566</v>
      </c>
      <c r="W53" s="189">
        <v>3</v>
      </c>
      <c r="X53" s="189">
        <v>4</v>
      </c>
      <c r="Y53" s="189">
        <v>3</v>
      </c>
      <c r="Z53" s="189">
        <v>1</v>
      </c>
      <c r="AA53" s="205">
        <f t="shared" si="9"/>
        <v>11</v>
      </c>
      <c r="AB53" s="206">
        <f t="shared" si="10"/>
        <v>2.75</v>
      </c>
      <c r="AC53" s="206">
        <f t="shared" si="11"/>
        <v>11</v>
      </c>
      <c r="AD53" s="206">
        <f t="shared" si="12"/>
        <v>22</v>
      </c>
      <c r="AE53" s="97"/>
    </row>
    <row r="54" spans="1:31" ht="15" customHeight="1" x14ac:dyDescent="0.25">
      <c r="A54" s="314">
        <f t="shared" si="6"/>
        <v>53</v>
      </c>
      <c r="B54" s="314" t="s">
        <v>759</v>
      </c>
      <c r="C54" s="415">
        <v>32</v>
      </c>
      <c r="D54" s="367"/>
      <c r="E54" s="478"/>
      <c r="F54" s="359"/>
      <c r="G54" s="480"/>
      <c r="H54" s="364"/>
      <c r="I54" s="486"/>
      <c r="J54" s="381"/>
      <c r="K54" s="486"/>
      <c r="L54" s="364"/>
      <c r="M54" s="497"/>
      <c r="N54" s="562"/>
      <c r="O54" s="343">
        <f t="shared" si="7"/>
        <v>32</v>
      </c>
      <c r="P54" s="343">
        <f t="shared" si="8"/>
        <v>-4</v>
      </c>
      <c r="Q54" s="7">
        <v>3</v>
      </c>
      <c r="R54" s="63" t="s">
        <v>226</v>
      </c>
      <c r="S54" s="83">
        <v>45962</v>
      </c>
      <c r="T54" s="316">
        <v>0</v>
      </c>
      <c r="U54" s="313"/>
      <c r="V54" s="118">
        <v>45566</v>
      </c>
      <c r="W54" s="28">
        <v>3</v>
      </c>
      <c r="X54" s="28">
        <v>6</v>
      </c>
      <c r="Y54" s="28">
        <v>3</v>
      </c>
      <c r="Z54" s="28">
        <v>2</v>
      </c>
      <c r="AA54" s="205">
        <f t="shared" si="9"/>
        <v>14</v>
      </c>
      <c r="AB54" s="206">
        <f t="shared" si="10"/>
        <v>3.5</v>
      </c>
      <c r="AC54" s="206">
        <f t="shared" si="11"/>
        <v>14</v>
      </c>
      <c r="AD54" s="206">
        <f t="shared" si="12"/>
        <v>28</v>
      </c>
      <c r="AE54" s="97"/>
    </row>
    <row r="55" spans="1:31" x14ac:dyDescent="0.25">
      <c r="A55" s="314">
        <f t="shared" si="6"/>
        <v>54</v>
      </c>
      <c r="B55" s="314" t="s">
        <v>1053</v>
      </c>
      <c r="C55" s="415">
        <v>2</v>
      </c>
      <c r="D55" s="367"/>
      <c r="E55" s="479"/>
      <c r="F55" s="364"/>
      <c r="G55" s="486"/>
      <c r="H55" s="364"/>
      <c r="I55" s="486"/>
      <c r="J55" s="381"/>
      <c r="K55" s="487"/>
      <c r="L55" s="364"/>
      <c r="M55" s="486"/>
      <c r="N55" s="568"/>
      <c r="O55" s="343">
        <f t="shared" si="7"/>
        <v>2</v>
      </c>
      <c r="P55" s="690">
        <f t="shared" si="8"/>
        <v>16</v>
      </c>
      <c r="Q55" s="7">
        <v>35</v>
      </c>
      <c r="R55" s="91" t="s">
        <v>664</v>
      </c>
      <c r="S55" s="112">
        <v>46296</v>
      </c>
      <c r="T55" s="316"/>
      <c r="U55" s="322"/>
      <c r="V55" s="332">
        <v>44652</v>
      </c>
      <c r="W55" s="189">
        <v>1</v>
      </c>
      <c r="X55" s="189">
        <v>1</v>
      </c>
      <c r="Y55" s="189">
        <v>1</v>
      </c>
      <c r="Z55" s="189">
        <v>6</v>
      </c>
      <c r="AA55" s="205">
        <f t="shared" si="9"/>
        <v>9</v>
      </c>
      <c r="AB55" s="206">
        <f t="shared" si="10"/>
        <v>2.25</v>
      </c>
      <c r="AC55" s="206">
        <f t="shared" si="11"/>
        <v>9</v>
      </c>
      <c r="AD55" s="206">
        <f t="shared" si="12"/>
        <v>18</v>
      </c>
      <c r="AE55" s="97"/>
    </row>
    <row r="56" spans="1:31" ht="15" customHeight="1" x14ac:dyDescent="0.25">
      <c r="A56" s="314">
        <f t="shared" si="6"/>
        <v>55</v>
      </c>
      <c r="B56" s="651" t="s">
        <v>551</v>
      </c>
      <c r="C56" s="653">
        <v>2.12</v>
      </c>
      <c r="D56" s="359"/>
      <c r="E56" s="478"/>
      <c r="F56" s="359"/>
      <c r="G56" s="480"/>
      <c r="H56" s="360"/>
      <c r="I56" s="480"/>
      <c r="J56" s="360"/>
      <c r="K56" s="480"/>
      <c r="L56" s="360"/>
      <c r="M56" s="480"/>
      <c r="N56" s="562"/>
      <c r="O56" s="343">
        <f t="shared" si="7"/>
        <v>2.12</v>
      </c>
      <c r="P56" s="690">
        <f t="shared" si="8"/>
        <v>13.879999999999999</v>
      </c>
      <c r="Q56" s="7">
        <v>35</v>
      </c>
      <c r="R56" s="63" t="s">
        <v>81</v>
      </c>
      <c r="S56" s="654">
        <v>45870</v>
      </c>
      <c r="T56" s="313"/>
      <c r="U56" s="313"/>
      <c r="V56" s="99">
        <v>45444</v>
      </c>
      <c r="W56" s="28">
        <v>1</v>
      </c>
      <c r="X56" s="28">
        <v>6</v>
      </c>
      <c r="Z56" s="429">
        <v>1</v>
      </c>
      <c r="AA56" s="205">
        <f t="shared" si="9"/>
        <v>8</v>
      </c>
      <c r="AB56" s="206">
        <f t="shared" si="10"/>
        <v>2</v>
      </c>
      <c r="AC56" s="206">
        <f t="shared" si="11"/>
        <v>8</v>
      </c>
      <c r="AD56" s="206">
        <f t="shared" si="12"/>
        <v>16</v>
      </c>
      <c r="AE56" s="97"/>
    </row>
    <row r="57" spans="1:31" ht="15" customHeight="1" x14ac:dyDescent="0.25">
      <c r="A57" s="314">
        <f t="shared" si="6"/>
        <v>56</v>
      </c>
      <c r="B57" s="314" t="s">
        <v>1343</v>
      </c>
      <c r="C57" s="415">
        <v>1</v>
      </c>
      <c r="D57" s="360"/>
      <c r="E57" s="480"/>
      <c r="F57" s="360"/>
      <c r="G57" s="480"/>
      <c r="H57" s="360"/>
      <c r="I57" s="480"/>
      <c r="J57" s="360"/>
      <c r="K57" s="480"/>
      <c r="L57" s="360"/>
      <c r="M57" s="480"/>
      <c r="N57" s="562"/>
      <c r="O57" s="343">
        <f t="shared" si="7"/>
        <v>1</v>
      </c>
      <c r="P57" s="690">
        <f t="shared" si="8"/>
        <v>1</v>
      </c>
      <c r="Q57" s="7">
        <v>100</v>
      </c>
      <c r="R57" s="109" t="s">
        <v>405</v>
      </c>
      <c r="S57" s="118">
        <v>47027</v>
      </c>
      <c r="T57" s="316">
        <v>1</v>
      </c>
      <c r="U57" s="316"/>
      <c r="V57" s="344">
        <v>45658</v>
      </c>
      <c r="W57" s="318"/>
      <c r="X57" s="318"/>
      <c r="Y57" s="318">
        <v>1</v>
      </c>
      <c r="Z57" s="318"/>
      <c r="AA57" s="205">
        <f t="shared" si="9"/>
        <v>1</v>
      </c>
      <c r="AB57" s="206">
        <f t="shared" si="10"/>
        <v>0.25</v>
      </c>
      <c r="AC57" s="206">
        <f t="shared" si="11"/>
        <v>1</v>
      </c>
      <c r="AD57" s="206">
        <f t="shared" si="12"/>
        <v>2</v>
      </c>
      <c r="AE57" s="97"/>
    </row>
    <row r="58" spans="1:31" ht="15" customHeight="1" x14ac:dyDescent="0.25">
      <c r="A58" s="314">
        <f t="shared" si="6"/>
        <v>57</v>
      </c>
      <c r="B58" s="314" t="s">
        <v>1340</v>
      </c>
      <c r="C58" s="280">
        <v>1</v>
      </c>
      <c r="D58" s="367"/>
      <c r="E58" s="479"/>
      <c r="F58" s="364"/>
      <c r="G58" s="486"/>
      <c r="H58" s="364"/>
      <c r="I58" s="486"/>
      <c r="J58" s="381"/>
      <c r="K58" s="487"/>
      <c r="L58" s="364"/>
      <c r="M58" s="486"/>
      <c r="N58" s="568"/>
      <c r="O58" s="343">
        <f t="shared" si="7"/>
        <v>1</v>
      </c>
      <c r="P58" s="690">
        <f t="shared" si="8"/>
        <v>5</v>
      </c>
      <c r="Q58" s="7">
        <v>100</v>
      </c>
      <c r="R58" s="187" t="s">
        <v>405</v>
      </c>
      <c r="S58" s="110">
        <v>46692</v>
      </c>
      <c r="T58" s="338">
        <v>3</v>
      </c>
      <c r="U58" s="53"/>
      <c r="V58" s="110">
        <v>45658</v>
      </c>
      <c r="W58" s="189">
        <v>1</v>
      </c>
      <c r="X58" s="189"/>
      <c r="Y58" s="189">
        <v>1</v>
      </c>
      <c r="Z58" s="189">
        <v>1</v>
      </c>
      <c r="AA58" s="205">
        <f t="shared" si="9"/>
        <v>3</v>
      </c>
      <c r="AB58" s="206">
        <f t="shared" si="10"/>
        <v>0.75</v>
      </c>
      <c r="AC58" s="206">
        <f t="shared" si="11"/>
        <v>3</v>
      </c>
      <c r="AD58" s="206">
        <f t="shared" si="12"/>
        <v>6</v>
      </c>
      <c r="AE58" s="97"/>
    </row>
    <row r="59" spans="1:31" ht="15" customHeight="1" x14ac:dyDescent="0.25">
      <c r="A59" s="314">
        <f t="shared" si="6"/>
        <v>58</v>
      </c>
      <c r="B59" s="314" t="s">
        <v>1341</v>
      </c>
      <c r="C59" s="280">
        <v>1</v>
      </c>
      <c r="D59" s="359"/>
      <c r="E59" s="478"/>
      <c r="F59" s="360"/>
      <c r="G59" s="480"/>
      <c r="H59" s="364"/>
      <c r="I59" s="480"/>
      <c r="J59" s="360"/>
      <c r="K59" s="480"/>
      <c r="L59" s="364"/>
      <c r="M59" s="480"/>
      <c r="N59" s="562"/>
      <c r="O59" s="343">
        <f t="shared" si="7"/>
        <v>1</v>
      </c>
      <c r="P59" s="343">
        <f t="shared" si="8"/>
        <v>-1</v>
      </c>
      <c r="Q59" s="10">
        <v>100</v>
      </c>
      <c r="R59" s="63" t="s">
        <v>405</v>
      </c>
      <c r="S59" s="118">
        <v>47088</v>
      </c>
      <c r="T59" s="28">
        <v>7</v>
      </c>
      <c r="V59" s="81">
        <v>45658</v>
      </c>
      <c r="AA59" s="205">
        <f t="shared" si="9"/>
        <v>0</v>
      </c>
      <c r="AB59" s="206">
        <f t="shared" si="10"/>
        <v>0</v>
      </c>
      <c r="AC59" s="206">
        <f t="shared" si="11"/>
        <v>0</v>
      </c>
      <c r="AD59" s="206">
        <f t="shared" si="12"/>
        <v>0</v>
      </c>
      <c r="AE59" s="97"/>
    </row>
    <row r="60" spans="1:31" ht="15" customHeight="1" x14ac:dyDescent="0.25">
      <c r="A60" s="314">
        <f t="shared" si="6"/>
        <v>59</v>
      </c>
      <c r="B60" s="314" t="s">
        <v>1342</v>
      </c>
      <c r="C60" s="340">
        <v>0</v>
      </c>
      <c r="D60" s="360"/>
      <c r="E60" s="480"/>
      <c r="F60" s="360"/>
      <c r="G60" s="480"/>
      <c r="H60" s="360"/>
      <c r="I60" s="480"/>
      <c r="J60" s="360"/>
      <c r="K60" s="480"/>
      <c r="L60" s="360"/>
      <c r="M60" s="480"/>
      <c r="N60" s="562"/>
      <c r="O60" s="343">
        <f t="shared" si="7"/>
        <v>0</v>
      </c>
      <c r="P60" s="690">
        <f t="shared" si="8"/>
        <v>4</v>
      </c>
      <c r="Q60" s="7">
        <v>100</v>
      </c>
      <c r="R60" s="63" t="s">
        <v>405</v>
      </c>
      <c r="S60" s="118">
        <v>46997</v>
      </c>
      <c r="T60" s="316"/>
      <c r="V60" s="81">
        <v>45658</v>
      </c>
      <c r="W60" s="28"/>
      <c r="X60" s="28">
        <v>1</v>
      </c>
      <c r="Z60" s="429">
        <v>1</v>
      </c>
      <c r="AA60" s="205">
        <f t="shared" si="9"/>
        <v>2</v>
      </c>
      <c r="AB60" s="206">
        <f t="shared" si="10"/>
        <v>0.5</v>
      </c>
      <c r="AC60" s="206">
        <f t="shared" si="11"/>
        <v>2</v>
      </c>
      <c r="AD60" s="206">
        <f t="shared" si="12"/>
        <v>4</v>
      </c>
      <c r="AE60" s="97"/>
    </row>
    <row r="61" spans="1:31" ht="15" customHeight="1" x14ac:dyDescent="0.25">
      <c r="A61" s="314">
        <f t="shared" si="6"/>
        <v>60</v>
      </c>
      <c r="B61" s="4" t="s">
        <v>1345</v>
      </c>
      <c r="C61" s="340">
        <v>1</v>
      </c>
      <c r="D61" s="359"/>
      <c r="E61" s="478"/>
      <c r="F61" s="360"/>
      <c r="G61" s="480"/>
      <c r="H61" s="360"/>
      <c r="I61" s="480"/>
      <c r="J61" s="360"/>
      <c r="K61" s="480"/>
      <c r="L61" s="360"/>
      <c r="M61" s="480"/>
      <c r="N61" s="562"/>
      <c r="O61" s="343">
        <f t="shared" si="7"/>
        <v>1</v>
      </c>
      <c r="P61" s="690">
        <f t="shared" si="8"/>
        <v>3</v>
      </c>
      <c r="Q61" s="7">
        <v>100</v>
      </c>
      <c r="R61" s="63" t="s">
        <v>405</v>
      </c>
      <c r="S61" s="118">
        <v>46997</v>
      </c>
      <c r="T61" s="28">
        <v>0</v>
      </c>
      <c r="V61" s="81">
        <v>45658</v>
      </c>
      <c r="W61" s="14">
        <v>1</v>
      </c>
      <c r="X61" s="14">
        <v>1</v>
      </c>
      <c r="AA61" s="205">
        <f t="shared" si="9"/>
        <v>2</v>
      </c>
      <c r="AB61" s="206">
        <f t="shared" si="10"/>
        <v>0.5</v>
      </c>
      <c r="AC61" s="206">
        <f t="shared" si="11"/>
        <v>2</v>
      </c>
      <c r="AD61" s="206">
        <f t="shared" si="12"/>
        <v>4</v>
      </c>
      <c r="AE61" s="97"/>
    </row>
    <row r="62" spans="1:31" ht="15" customHeight="1" x14ac:dyDescent="0.25">
      <c r="A62" s="314">
        <f t="shared" si="6"/>
        <v>61</v>
      </c>
      <c r="B62" s="314" t="s">
        <v>1344</v>
      </c>
      <c r="C62" s="415">
        <v>1</v>
      </c>
      <c r="D62" s="359"/>
      <c r="E62" s="478"/>
      <c r="F62" s="360"/>
      <c r="G62" s="480"/>
      <c r="H62" s="360"/>
      <c r="I62" s="480"/>
      <c r="J62" s="360"/>
      <c r="K62" s="480"/>
      <c r="L62" s="360"/>
      <c r="M62" s="480"/>
      <c r="N62" s="562"/>
      <c r="O62" s="343">
        <f t="shared" si="7"/>
        <v>1</v>
      </c>
      <c r="P62" s="343">
        <f t="shared" si="8"/>
        <v>-1</v>
      </c>
      <c r="Q62" s="7">
        <v>100</v>
      </c>
      <c r="R62" s="63" t="s">
        <v>405</v>
      </c>
      <c r="S62" s="118">
        <v>47088</v>
      </c>
      <c r="T62" s="316"/>
      <c r="U62" s="316"/>
      <c r="V62" s="344">
        <v>45658</v>
      </c>
      <c r="W62" s="309"/>
      <c r="X62" s="309"/>
      <c r="Y62" s="309"/>
      <c r="Z62" s="309"/>
      <c r="AA62" s="205">
        <f t="shared" si="9"/>
        <v>0</v>
      </c>
      <c r="AB62" s="206">
        <f t="shared" si="10"/>
        <v>0</v>
      </c>
      <c r="AC62" s="206">
        <f t="shared" si="11"/>
        <v>0</v>
      </c>
      <c r="AD62" s="206">
        <f t="shared" si="12"/>
        <v>0</v>
      </c>
    </row>
    <row r="63" spans="1:31" ht="15" customHeight="1" x14ac:dyDescent="0.25">
      <c r="A63" s="314">
        <f t="shared" si="6"/>
        <v>62</v>
      </c>
      <c r="B63" s="651" t="s">
        <v>35</v>
      </c>
      <c r="C63" s="653">
        <v>4</v>
      </c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343">
        <f t="shared" si="7"/>
        <v>4</v>
      </c>
      <c r="P63" s="690">
        <f t="shared" si="8"/>
        <v>6</v>
      </c>
      <c r="Q63" s="7">
        <v>23</v>
      </c>
      <c r="R63" s="207" t="s">
        <v>261</v>
      </c>
      <c r="S63" s="659">
        <v>45901</v>
      </c>
      <c r="T63" s="316">
        <v>18</v>
      </c>
      <c r="U63" s="316"/>
      <c r="V63" s="344">
        <v>45444</v>
      </c>
      <c r="W63" s="309">
        <v>1</v>
      </c>
      <c r="X63" s="309">
        <v>1</v>
      </c>
      <c r="Y63" s="309">
        <v>1</v>
      </c>
      <c r="Z63" s="309">
        <v>2</v>
      </c>
      <c r="AA63" s="205">
        <f t="shared" si="9"/>
        <v>5</v>
      </c>
      <c r="AB63" s="206">
        <f t="shared" si="10"/>
        <v>1.25</v>
      </c>
      <c r="AC63" s="206">
        <f t="shared" si="11"/>
        <v>5</v>
      </c>
      <c r="AD63" s="206">
        <f t="shared" si="12"/>
        <v>10</v>
      </c>
    </row>
    <row r="64" spans="1:31" ht="15" customHeight="1" x14ac:dyDescent="0.25">
      <c r="A64" s="314">
        <f t="shared" si="6"/>
        <v>63</v>
      </c>
      <c r="B64" s="651" t="s">
        <v>302</v>
      </c>
      <c r="C64" s="653">
        <v>5</v>
      </c>
      <c r="D64" s="367"/>
      <c r="E64" s="479"/>
      <c r="F64" s="364"/>
      <c r="G64" s="486"/>
      <c r="H64" s="364"/>
      <c r="I64" s="486"/>
      <c r="J64" s="381"/>
      <c r="K64" s="487"/>
      <c r="L64" s="364"/>
      <c r="M64" s="486"/>
      <c r="N64" s="568"/>
      <c r="O64" s="343">
        <f t="shared" si="7"/>
        <v>5</v>
      </c>
      <c r="P64" s="690">
        <f t="shared" si="8"/>
        <v>5</v>
      </c>
      <c r="Q64" s="7">
        <v>23</v>
      </c>
      <c r="R64" s="208" t="s">
        <v>261</v>
      </c>
      <c r="S64" s="660">
        <v>45870</v>
      </c>
      <c r="T64" s="316">
        <v>20</v>
      </c>
      <c r="U64" s="322"/>
      <c r="V64" s="197">
        <v>45444</v>
      </c>
      <c r="W64" s="189">
        <v>1</v>
      </c>
      <c r="X64" s="189">
        <v>1</v>
      </c>
      <c r="Y64" s="189">
        <v>1</v>
      </c>
      <c r="Z64" s="189">
        <v>2</v>
      </c>
      <c r="AA64" s="205">
        <f t="shared" si="9"/>
        <v>5</v>
      </c>
      <c r="AB64" s="206">
        <f t="shared" si="10"/>
        <v>1.25</v>
      </c>
      <c r="AC64" s="206">
        <f t="shared" si="11"/>
        <v>5</v>
      </c>
      <c r="AD64" s="206">
        <f t="shared" si="12"/>
        <v>10</v>
      </c>
    </row>
    <row r="65" spans="1:31" s="97" customFormat="1" ht="15" customHeight="1" x14ac:dyDescent="0.25">
      <c r="A65" s="314">
        <f t="shared" si="6"/>
        <v>64</v>
      </c>
      <c r="B65" s="314" t="s">
        <v>827</v>
      </c>
      <c r="C65" s="340">
        <v>4</v>
      </c>
      <c r="D65" s="359"/>
      <c r="E65" s="478"/>
      <c r="F65" s="359"/>
      <c r="G65" s="478"/>
      <c r="H65" s="359"/>
      <c r="I65" s="478"/>
      <c r="J65" s="359"/>
      <c r="K65" s="478">
        <v>3</v>
      </c>
      <c r="L65" s="359"/>
      <c r="M65" s="478"/>
      <c r="N65" s="561"/>
      <c r="O65" s="343">
        <f t="shared" si="7"/>
        <v>1</v>
      </c>
      <c r="P65" s="690">
        <f t="shared" si="8"/>
        <v>15</v>
      </c>
      <c r="Q65" s="7">
        <v>23</v>
      </c>
      <c r="R65" s="207" t="s">
        <v>261</v>
      </c>
      <c r="S65" s="118">
        <v>46204</v>
      </c>
      <c r="T65" s="681">
        <v>15</v>
      </c>
      <c r="U65" s="316"/>
      <c r="V65" s="344">
        <v>45597</v>
      </c>
      <c r="W65" s="309">
        <v>1</v>
      </c>
      <c r="X65" s="309">
        <v>3</v>
      </c>
      <c r="Y65" s="309">
        <v>3</v>
      </c>
      <c r="Z65" s="309">
        <v>1</v>
      </c>
      <c r="AA65" s="205">
        <f t="shared" si="9"/>
        <v>8</v>
      </c>
      <c r="AB65" s="206">
        <f t="shared" si="10"/>
        <v>2</v>
      </c>
      <c r="AC65" s="206">
        <f t="shared" si="11"/>
        <v>8</v>
      </c>
      <c r="AD65" s="206">
        <f t="shared" si="12"/>
        <v>16</v>
      </c>
      <c r="AE65"/>
    </row>
    <row r="66" spans="1:31" ht="15" customHeight="1" x14ac:dyDescent="0.25">
      <c r="A66" s="314">
        <f>A65+1</f>
        <v>65</v>
      </c>
      <c r="B66" s="314" t="s">
        <v>208</v>
      </c>
      <c r="C66" s="340">
        <v>3</v>
      </c>
      <c r="D66" s="359"/>
      <c r="E66" s="478"/>
      <c r="F66" s="359"/>
      <c r="G66" s="478"/>
      <c r="H66" s="359"/>
      <c r="I66" s="478">
        <v>1</v>
      </c>
      <c r="J66" s="359"/>
      <c r="K66" s="478"/>
      <c r="L66" s="359"/>
      <c r="M66" s="478"/>
      <c r="N66" s="561"/>
      <c r="O66" s="343">
        <f t="shared" ref="O66:O97" si="13">SUM(C66-D66-E66-F66-G66-H66-I66-J66-K66-L66-M66-N66)</f>
        <v>2</v>
      </c>
      <c r="P66" s="690">
        <f t="shared" ref="P66:P97" si="14">AD66-O66</f>
        <v>10</v>
      </c>
      <c r="Q66" s="7">
        <v>23</v>
      </c>
      <c r="R66" s="118" t="s">
        <v>261</v>
      </c>
      <c r="S66" s="118">
        <v>46082</v>
      </c>
      <c r="T66" s="316">
        <v>17</v>
      </c>
      <c r="U66" s="316"/>
      <c r="V66" s="118">
        <v>45597</v>
      </c>
      <c r="W66" s="309">
        <v>2</v>
      </c>
      <c r="X66" s="309">
        <v>1</v>
      </c>
      <c r="Y66" s="309">
        <v>2</v>
      </c>
      <c r="Z66" s="309">
        <v>1</v>
      </c>
      <c r="AA66" s="205">
        <f t="shared" ref="AA66:AA97" si="15">W66+X66+Y66+Z66</f>
        <v>6</v>
      </c>
      <c r="AB66" s="206">
        <f t="shared" ref="AB66:AB97" si="16">AA66/4</f>
        <v>1.5</v>
      </c>
      <c r="AC66" s="206">
        <f t="shared" ref="AC66:AC97" si="17">AB66*4</f>
        <v>6</v>
      </c>
      <c r="AD66" s="206">
        <f t="shared" ref="AD66:AD97" si="18">AC66*2</f>
        <v>12</v>
      </c>
      <c r="AE66" s="97"/>
    </row>
    <row r="67" spans="1:31" ht="15" customHeight="1" x14ac:dyDescent="0.25">
      <c r="A67" s="314">
        <f>A66+1</f>
        <v>66</v>
      </c>
      <c r="B67" s="314" t="s">
        <v>828</v>
      </c>
      <c r="C67" s="340">
        <v>4</v>
      </c>
      <c r="D67" s="367"/>
      <c r="E67" s="479"/>
      <c r="F67" s="364"/>
      <c r="G67" s="486"/>
      <c r="H67" s="364"/>
      <c r="I67" s="486"/>
      <c r="J67" s="381"/>
      <c r="K67" s="487">
        <v>3</v>
      </c>
      <c r="L67" s="364"/>
      <c r="M67" s="486"/>
      <c r="N67" s="568"/>
      <c r="O67" s="343">
        <f t="shared" si="13"/>
        <v>1</v>
      </c>
      <c r="P67" s="690">
        <f t="shared" si="14"/>
        <v>11</v>
      </c>
      <c r="Q67" s="7">
        <v>23</v>
      </c>
      <c r="R67" s="189" t="s">
        <v>261</v>
      </c>
      <c r="S67" s="112">
        <v>46174</v>
      </c>
      <c r="T67" s="316">
        <v>21</v>
      </c>
      <c r="U67" s="322"/>
      <c r="V67" s="197">
        <v>45597</v>
      </c>
      <c r="W67" s="189">
        <v>1</v>
      </c>
      <c r="X67" s="189">
        <v>3</v>
      </c>
      <c r="Y67" s="189">
        <v>1</v>
      </c>
      <c r="Z67" s="189">
        <v>1</v>
      </c>
      <c r="AA67" s="205">
        <f t="shared" si="15"/>
        <v>6</v>
      </c>
      <c r="AB67" s="206">
        <f t="shared" si="16"/>
        <v>1.5</v>
      </c>
      <c r="AC67" s="206">
        <f t="shared" si="17"/>
        <v>6</v>
      </c>
      <c r="AD67" s="206">
        <f t="shared" si="18"/>
        <v>12</v>
      </c>
    </row>
    <row r="68" spans="1:31" ht="15" customHeight="1" x14ac:dyDescent="0.25">
      <c r="A68" s="314">
        <f>A67+1</f>
        <v>67</v>
      </c>
      <c r="B68" s="4" t="s">
        <v>176</v>
      </c>
      <c r="C68" s="340">
        <v>9</v>
      </c>
      <c r="D68" s="359"/>
      <c r="E68" s="478">
        <v>1</v>
      </c>
      <c r="F68" s="360"/>
      <c r="G68" s="480"/>
      <c r="H68" s="360"/>
      <c r="I68" s="480"/>
      <c r="J68" s="360"/>
      <c r="K68" s="480"/>
      <c r="L68" s="360"/>
      <c r="M68" s="480"/>
      <c r="N68" s="562"/>
      <c r="O68" s="343">
        <f t="shared" si="13"/>
        <v>8</v>
      </c>
      <c r="P68" s="696">
        <f t="shared" si="14"/>
        <v>10</v>
      </c>
      <c r="Q68" s="7">
        <v>12</v>
      </c>
      <c r="R68" s="207" t="s">
        <v>1303</v>
      </c>
      <c r="S68" s="118">
        <v>46966</v>
      </c>
      <c r="T68" s="316">
        <v>5</v>
      </c>
      <c r="U68" s="316"/>
      <c r="V68" s="344">
        <v>45566</v>
      </c>
      <c r="W68" s="309">
        <v>5</v>
      </c>
      <c r="X68" s="309">
        <v>1</v>
      </c>
      <c r="Y68" s="309">
        <v>2</v>
      </c>
      <c r="Z68" s="309">
        <v>1</v>
      </c>
      <c r="AA68" s="205">
        <f t="shared" si="15"/>
        <v>9</v>
      </c>
      <c r="AB68" s="206">
        <f t="shared" si="16"/>
        <v>2.25</v>
      </c>
      <c r="AC68" s="206">
        <f t="shared" si="17"/>
        <v>9</v>
      </c>
      <c r="AD68" s="206">
        <f t="shared" si="18"/>
        <v>18</v>
      </c>
    </row>
    <row r="69" spans="1:31" ht="15" customHeight="1" x14ac:dyDescent="0.25">
      <c r="A69" s="314">
        <f>A68+1</f>
        <v>68</v>
      </c>
      <c r="B69" s="314" t="s">
        <v>855</v>
      </c>
      <c r="C69" s="415">
        <v>26</v>
      </c>
      <c r="D69" s="359"/>
      <c r="E69" s="478"/>
      <c r="F69" s="359"/>
      <c r="G69" s="478"/>
      <c r="H69" s="359"/>
      <c r="I69" s="478"/>
      <c r="J69" s="359"/>
      <c r="K69" s="478"/>
      <c r="L69" s="364"/>
      <c r="M69" s="478"/>
      <c r="N69" s="561"/>
      <c r="O69" s="343">
        <f t="shared" si="13"/>
        <v>26</v>
      </c>
      <c r="P69" s="690">
        <f t="shared" si="14"/>
        <v>14</v>
      </c>
      <c r="Q69" s="7">
        <v>5</v>
      </c>
      <c r="R69" s="63" t="s">
        <v>854</v>
      </c>
      <c r="S69" s="77">
        <v>46266</v>
      </c>
      <c r="T69" s="14">
        <v>22</v>
      </c>
      <c r="U69" s="16"/>
      <c r="V69" s="77">
        <v>45444</v>
      </c>
      <c r="W69" s="14">
        <v>4</v>
      </c>
      <c r="X69" s="14">
        <v>6</v>
      </c>
      <c r="Y69" s="315">
        <v>4</v>
      </c>
      <c r="Z69" s="315">
        <v>6</v>
      </c>
      <c r="AA69" s="205">
        <f t="shared" si="15"/>
        <v>20</v>
      </c>
      <c r="AB69" s="206">
        <f t="shared" si="16"/>
        <v>5</v>
      </c>
      <c r="AC69" s="206">
        <f t="shared" si="17"/>
        <v>20</v>
      </c>
      <c r="AD69" s="206">
        <f t="shared" si="18"/>
        <v>40</v>
      </c>
    </row>
    <row r="70" spans="1:31" ht="14.25" customHeight="1" x14ac:dyDescent="0.25">
      <c r="A70" s="314">
        <f t="shared" ref="A70:A80" si="19">A69+1</f>
        <v>69</v>
      </c>
      <c r="B70" s="4" t="s">
        <v>1054</v>
      </c>
      <c r="C70" s="413">
        <v>5</v>
      </c>
      <c r="D70" s="360"/>
      <c r="E70" s="480"/>
      <c r="F70" s="360"/>
      <c r="G70" s="480"/>
      <c r="H70" s="360"/>
      <c r="I70" s="480"/>
      <c r="J70" s="360"/>
      <c r="K70" s="480"/>
      <c r="L70" s="360"/>
      <c r="M70" s="480"/>
      <c r="N70" s="562"/>
      <c r="O70" s="343">
        <f t="shared" si="13"/>
        <v>5</v>
      </c>
      <c r="P70" s="690">
        <f t="shared" si="14"/>
        <v>3</v>
      </c>
      <c r="Q70" s="7">
        <v>80</v>
      </c>
      <c r="R70" s="64" t="s">
        <v>798</v>
      </c>
      <c r="S70" s="118">
        <v>46692</v>
      </c>
      <c r="T70" s="316">
        <v>7</v>
      </c>
      <c r="U70" s="316"/>
      <c r="V70" s="81">
        <v>45474</v>
      </c>
      <c r="W70" s="14">
        <v>1</v>
      </c>
      <c r="X70" s="14">
        <v>1</v>
      </c>
      <c r="Y70" s="28">
        <v>1</v>
      </c>
      <c r="Z70" s="28">
        <v>1</v>
      </c>
      <c r="AA70" s="205">
        <f t="shared" si="15"/>
        <v>4</v>
      </c>
      <c r="AB70" s="206">
        <f t="shared" si="16"/>
        <v>1</v>
      </c>
      <c r="AC70" s="206">
        <f t="shared" si="17"/>
        <v>4</v>
      </c>
      <c r="AD70" s="206">
        <f t="shared" si="18"/>
        <v>8</v>
      </c>
    </row>
    <row r="71" spans="1:31" ht="15" customHeight="1" x14ac:dyDescent="0.25">
      <c r="A71" s="314">
        <f t="shared" si="19"/>
        <v>70</v>
      </c>
      <c r="B71" s="314" t="s">
        <v>966</v>
      </c>
      <c r="C71" s="415">
        <v>8</v>
      </c>
      <c r="D71" s="359"/>
      <c r="E71" s="478">
        <v>1</v>
      </c>
      <c r="F71" s="359"/>
      <c r="G71" s="478"/>
      <c r="H71" s="359"/>
      <c r="I71" s="478"/>
      <c r="J71" s="359"/>
      <c r="K71" s="478"/>
      <c r="L71" s="359"/>
      <c r="M71" s="478">
        <v>1</v>
      </c>
      <c r="N71" s="561"/>
      <c r="O71" s="343">
        <f t="shared" si="13"/>
        <v>6</v>
      </c>
      <c r="P71" s="690">
        <f t="shared" si="14"/>
        <v>10</v>
      </c>
      <c r="Q71" s="7">
        <v>21</v>
      </c>
      <c r="R71" s="63" t="s">
        <v>699</v>
      </c>
      <c r="S71" s="118">
        <v>46235</v>
      </c>
      <c r="T71" s="316">
        <v>1</v>
      </c>
      <c r="U71" s="316">
        <v>1</v>
      </c>
      <c r="V71" s="199">
        <v>45717</v>
      </c>
      <c r="W71" s="309">
        <v>2</v>
      </c>
      <c r="X71" s="107">
        <v>4</v>
      </c>
      <c r="Y71" s="309">
        <v>1</v>
      </c>
      <c r="Z71" s="309">
        <v>1</v>
      </c>
      <c r="AA71" s="205">
        <f t="shared" si="15"/>
        <v>8</v>
      </c>
      <c r="AB71" s="206">
        <f t="shared" si="16"/>
        <v>2</v>
      </c>
      <c r="AC71" s="206">
        <f t="shared" si="17"/>
        <v>8</v>
      </c>
      <c r="AD71" s="206">
        <f t="shared" si="18"/>
        <v>16</v>
      </c>
    </row>
    <row r="72" spans="1:31" ht="15" customHeight="1" x14ac:dyDescent="0.25">
      <c r="A72" s="314">
        <f t="shared" si="19"/>
        <v>71</v>
      </c>
      <c r="B72" s="314" t="s">
        <v>1055</v>
      </c>
      <c r="C72" s="415">
        <v>1</v>
      </c>
      <c r="D72" s="367"/>
      <c r="E72" s="479"/>
      <c r="F72" s="364"/>
      <c r="G72" s="486"/>
      <c r="H72" s="364"/>
      <c r="I72" s="486"/>
      <c r="J72" s="381"/>
      <c r="K72" s="487"/>
      <c r="L72" s="364"/>
      <c r="M72" s="486"/>
      <c r="N72" s="568"/>
      <c r="O72" s="343">
        <f t="shared" si="13"/>
        <v>1</v>
      </c>
      <c r="P72" s="690">
        <f t="shared" si="14"/>
        <v>7</v>
      </c>
      <c r="Q72" s="7">
        <v>61</v>
      </c>
      <c r="R72" s="677" t="s">
        <v>664</v>
      </c>
      <c r="S72" s="112">
        <v>46661</v>
      </c>
      <c r="T72" s="316">
        <v>2</v>
      </c>
      <c r="U72" s="322"/>
      <c r="V72" s="197">
        <v>45108</v>
      </c>
      <c r="W72" s="189">
        <v>1</v>
      </c>
      <c r="X72" s="189">
        <v>1</v>
      </c>
      <c r="Y72" s="189">
        <v>1</v>
      </c>
      <c r="Z72" s="189">
        <v>1</v>
      </c>
      <c r="AA72" s="205">
        <f t="shared" si="15"/>
        <v>4</v>
      </c>
      <c r="AB72" s="206">
        <f t="shared" si="16"/>
        <v>1</v>
      </c>
      <c r="AC72" s="206">
        <f t="shared" si="17"/>
        <v>4</v>
      </c>
      <c r="AD72" s="206">
        <f t="shared" si="18"/>
        <v>8</v>
      </c>
    </row>
    <row r="73" spans="1:31" ht="15" customHeight="1" x14ac:dyDescent="0.25">
      <c r="A73" s="314">
        <f t="shared" si="19"/>
        <v>72</v>
      </c>
      <c r="B73" s="314" t="s">
        <v>1116</v>
      </c>
      <c r="C73" s="340">
        <v>4</v>
      </c>
      <c r="D73" s="359"/>
      <c r="E73" s="478"/>
      <c r="F73" s="359"/>
      <c r="G73" s="480"/>
      <c r="H73" s="360"/>
      <c r="I73" s="480"/>
      <c r="J73" s="360"/>
      <c r="K73" s="480"/>
      <c r="L73" s="360"/>
      <c r="M73" s="480"/>
      <c r="N73" s="562"/>
      <c r="O73" s="343">
        <f t="shared" si="13"/>
        <v>4</v>
      </c>
      <c r="P73" s="690">
        <f t="shared" si="14"/>
        <v>6</v>
      </c>
      <c r="Q73" s="7">
        <v>9</v>
      </c>
      <c r="R73" s="537" t="s">
        <v>81</v>
      </c>
      <c r="S73" s="83">
        <v>46844</v>
      </c>
      <c r="T73" s="313">
        <v>1</v>
      </c>
      <c r="U73" s="313"/>
      <c r="V73" s="81">
        <v>45689</v>
      </c>
      <c r="W73" s="28">
        <v>1</v>
      </c>
      <c r="X73" s="28">
        <v>1</v>
      </c>
      <c r="Y73" s="28">
        <v>1</v>
      </c>
      <c r="Z73" s="429">
        <v>2</v>
      </c>
      <c r="AA73" s="205">
        <f t="shared" si="15"/>
        <v>5</v>
      </c>
      <c r="AB73" s="206">
        <f t="shared" si="16"/>
        <v>1.25</v>
      </c>
      <c r="AC73" s="206">
        <f t="shared" si="17"/>
        <v>5</v>
      </c>
      <c r="AD73" s="206">
        <f t="shared" si="18"/>
        <v>10</v>
      </c>
    </row>
    <row r="74" spans="1:31" ht="15" customHeight="1" x14ac:dyDescent="0.25">
      <c r="A74" s="314">
        <f t="shared" si="19"/>
        <v>73</v>
      </c>
      <c r="B74" s="314" t="s">
        <v>70</v>
      </c>
      <c r="C74" s="415">
        <v>43</v>
      </c>
      <c r="D74" s="367"/>
      <c r="E74" s="479"/>
      <c r="F74" s="367">
        <v>3</v>
      </c>
      <c r="G74" s="479">
        <v>1</v>
      </c>
      <c r="H74" s="367"/>
      <c r="I74" s="479">
        <v>3</v>
      </c>
      <c r="J74" s="367"/>
      <c r="K74" s="479"/>
      <c r="L74" s="367"/>
      <c r="M74" s="479">
        <v>2</v>
      </c>
      <c r="N74" s="570"/>
      <c r="O74" s="343">
        <f t="shared" si="13"/>
        <v>34</v>
      </c>
      <c r="P74" s="690">
        <f t="shared" si="14"/>
        <v>56</v>
      </c>
      <c r="Q74" s="7">
        <v>5</v>
      </c>
      <c r="R74" s="630"/>
      <c r="S74" s="189"/>
      <c r="T74" s="318"/>
      <c r="U74" s="310"/>
      <c r="V74" s="197">
        <v>45658</v>
      </c>
      <c r="W74" s="189">
        <v>8</v>
      </c>
      <c r="X74" s="189">
        <v>12</v>
      </c>
      <c r="Y74" s="189">
        <v>7</v>
      </c>
      <c r="Z74" s="189">
        <v>18</v>
      </c>
      <c r="AA74" s="205">
        <f t="shared" si="15"/>
        <v>45</v>
      </c>
      <c r="AB74" s="206">
        <f t="shared" si="16"/>
        <v>11.25</v>
      </c>
      <c r="AC74" s="206">
        <f t="shared" si="17"/>
        <v>45</v>
      </c>
      <c r="AD74" s="206">
        <f t="shared" si="18"/>
        <v>90</v>
      </c>
    </row>
    <row r="75" spans="1:31" ht="15" customHeight="1" x14ac:dyDescent="0.25">
      <c r="A75" s="314">
        <f t="shared" si="19"/>
        <v>74</v>
      </c>
      <c r="B75" s="314" t="s">
        <v>451</v>
      </c>
      <c r="C75" s="415">
        <v>5</v>
      </c>
      <c r="D75" s="359"/>
      <c r="E75" s="478"/>
      <c r="F75" s="360"/>
      <c r="G75" s="480"/>
      <c r="H75" s="360"/>
      <c r="I75" s="480"/>
      <c r="J75" s="360"/>
      <c r="K75" s="480"/>
      <c r="L75" s="360"/>
      <c r="M75" s="480"/>
      <c r="N75" s="562"/>
      <c r="O75" s="343">
        <f t="shared" si="13"/>
        <v>5</v>
      </c>
      <c r="P75" s="690">
        <f t="shared" si="14"/>
        <v>3</v>
      </c>
      <c r="Q75" s="7">
        <v>5</v>
      </c>
      <c r="R75" s="537"/>
      <c r="T75" s="316"/>
      <c r="U75" s="316"/>
      <c r="V75" s="199">
        <v>45017</v>
      </c>
      <c r="W75" s="107">
        <v>1</v>
      </c>
      <c r="X75" s="107">
        <v>1</v>
      </c>
      <c r="Y75" s="309">
        <v>1</v>
      </c>
      <c r="Z75" s="309">
        <v>1</v>
      </c>
      <c r="AA75" s="205">
        <f t="shared" si="15"/>
        <v>4</v>
      </c>
      <c r="AB75" s="206">
        <f t="shared" si="16"/>
        <v>1</v>
      </c>
      <c r="AC75" s="206">
        <f t="shared" si="17"/>
        <v>4</v>
      </c>
      <c r="AD75" s="206">
        <f t="shared" si="18"/>
        <v>8</v>
      </c>
    </row>
    <row r="76" spans="1:31" ht="15" customHeight="1" x14ac:dyDescent="0.25">
      <c r="A76" s="314">
        <f t="shared" si="19"/>
        <v>75</v>
      </c>
      <c r="B76" s="4" t="s">
        <v>1351</v>
      </c>
      <c r="C76" s="415">
        <v>4</v>
      </c>
      <c r="D76" s="359"/>
      <c r="E76" s="478"/>
      <c r="F76" s="360"/>
      <c r="G76" s="480"/>
      <c r="H76" s="360"/>
      <c r="I76" s="480"/>
      <c r="J76" s="360"/>
      <c r="K76" s="480"/>
      <c r="L76" s="360"/>
      <c r="M76" s="480"/>
      <c r="N76" s="562"/>
      <c r="O76" s="343">
        <f t="shared" si="13"/>
        <v>4</v>
      </c>
      <c r="P76" s="343">
        <f t="shared" si="14"/>
        <v>-2</v>
      </c>
      <c r="Q76" s="7">
        <v>12</v>
      </c>
      <c r="R76" s="537" t="s">
        <v>1350</v>
      </c>
      <c r="S76" s="118">
        <v>46054</v>
      </c>
      <c r="T76" s="28">
        <v>5</v>
      </c>
      <c r="V76" s="81">
        <v>45658</v>
      </c>
      <c r="W76" s="14">
        <v>1</v>
      </c>
      <c r="AA76" s="205">
        <f t="shared" si="15"/>
        <v>1</v>
      </c>
      <c r="AB76" s="206">
        <f t="shared" si="16"/>
        <v>0.25</v>
      </c>
      <c r="AC76" s="206">
        <f t="shared" si="17"/>
        <v>1</v>
      </c>
      <c r="AD76" s="206">
        <f t="shared" si="18"/>
        <v>2</v>
      </c>
    </row>
    <row r="77" spans="1:31" ht="15" customHeight="1" x14ac:dyDescent="0.25">
      <c r="A77" s="314">
        <f t="shared" si="19"/>
        <v>76</v>
      </c>
      <c r="B77" s="314" t="s">
        <v>1056</v>
      </c>
      <c r="C77" s="415">
        <v>2</v>
      </c>
      <c r="D77" s="367"/>
      <c r="E77" s="479"/>
      <c r="F77" s="367"/>
      <c r="G77" s="479"/>
      <c r="H77" s="367"/>
      <c r="I77" s="479"/>
      <c r="J77" s="367"/>
      <c r="K77" s="479"/>
      <c r="L77" s="367"/>
      <c r="M77" s="479"/>
      <c r="N77" s="570"/>
      <c r="O77" s="343">
        <f t="shared" si="13"/>
        <v>2</v>
      </c>
      <c r="P77" s="690">
        <f t="shared" si="14"/>
        <v>6</v>
      </c>
      <c r="Q77" s="7">
        <v>15</v>
      </c>
      <c r="R77" s="109" t="s">
        <v>171</v>
      </c>
      <c r="S77" s="112"/>
      <c r="T77" s="316">
        <v>5</v>
      </c>
      <c r="U77" s="322"/>
      <c r="V77" s="197">
        <v>45536</v>
      </c>
      <c r="W77" s="189">
        <v>1</v>
      </c>
      <c r="X77" s="189">
        <v>1</v>
      </c>
      <c r="Y77" s="189">
        <v>1</v>
      </c>
      <c r="Z77" s="189">
        <v>1</v>
      </c>
      <c r="AA77" s="205">
        <f t="shared" si="15"/>
        <v>4</v>
      </c>
      <c r="AB77" s="206">
        <f t="shared" si="16"/>
        <v>1</v>
      </c>
      <c r="AC77" s="206">
        <f t="shared" si="17"/>
        <v>4</v>
      </c>
      <c r="AD77" s="206">
        <f t="shared" si="18"/>
        <v>8</v>
      </c>
    </row>
    <row r="78" spans="1:31" ht="15" customHeight="1" x14ac:dyDescent="0.25">
      <c r="A78" s="314">
        <f t="shared" si="19"/>
        <v>77</v>
      </c>
      <c r="B78" s="4" t="s">
        <v>1347</v>
      </c>
      <c r="C78" s="415">
        <v>4</v>
      </c>
      <c r="D78" s="359"/>
      <c r="E78" s="478"/>
      <c r="F78" s="360"/>
      <c r="G78" s="480"/>
      <c r="H78" s="360"/>
      <c r="I78" s="480"/>
      <c r="J78" s="360"/>
      <c r="K78" s="480"/>
      <c r="L78" s="360"/>
      <c r="M78" s="480"/>
      <c r="N78" s="562"/>
      <c r="O78" s="343">
        <f t="shared" si="13"/>
        <v>4</v>
      </c>
      <c r="P78" s="690">
        <f t="shared" si="14"/>
        <v>12</v>
      </c>
      <c r="Q78" s="10">
        <v>35</v>
      </c>
      <c r="R78" s="63" t="s">
        <v>412</v>
      </c>
      <c r="S78" s="118">
        <v>45992</v>
      </c>
      <c r="T78" s="28">
        <v>1</v>
      </c>
      <c r="V78" s="81">
        <v>45658</v>
      </c>
      <c r="X78" s="14">
        <v>2</v>
      </c>
      <c r="Y78" s="28">
        <v>3</v>
      </c>
      <c r="Z78" s="28">
        <v>3</v>
      </c>
      <c r="AA78" s="205">
        <f t="shared" si="15"/>
        <v>8</v>
      </c>
      <c r="AB78" s="206">
        <f t="shared" si="16"/>
        <v>2</v>
      </c>
      <c r="AC78" s="206">
        <f t="shared" si="17"/>
        <v>8</v>
      </c>
      <c r="AD78" s="206">
        <f t="shared" si="18"/>
        <v>16</v>
      </c>
    </row>
    <row r="79" spans="1:31" ht="15" customHeight="1" x14ac:dyDescent="0.25">
      <c r="A79" s="314">
        <f t="shared" si="19"/>
        <v>78</v>
      </c>
      <c r="B79" s="651" t="s">
        <v>1474</v>
      </c>
      <c r="C79" s="658">
        <v>3</v>
      </c>
      <c r="D79" s="359"/>
      <c r="E79" s="478"/>
      <c r="F79" s="359"/>
      <c r="G79" s="478"/>
      <c r="H79" s="359"/>
      <c r="I79" s="478"/>
      <c r="J79" s="359"/>
      <c r="K79" s="478">
        <v>2</v>
      </c>
      <c r="L79" s="359"/>
      <c r="M79" s="478"/>
      <c r="N79" s="561"/>
      <c r="O79" s="343">
        <f t="shared" si="13"/>
        <v>1</v>
      </c>
      <c r="P79" s="690">
        <f t="shared" si="14"/>
        <v>7</v>
      </c>
      <c r="Q79" s="10">
        <v>30</v>
      </c>
      <c r="R79" s="109" t="s">
        <v>399</v>
      </c>
      <c r="S79" s="660">
        <v>45870</v>
      </c>
      <c r="T79" s="316">
        <v>0</v>
      </c>
      <c r="U79" s="320"/>
      <c r="V79" s="197">
        <v>45536</v>
      </c>
      <c r="W79" s="189">
        <v>1</v>
      </c>
      <c r="X79" s="189">
        <v>1</v>
      </c>
      <c r="Y79" s="189">
        <v>1</v>
      </c>
      <c r="Z79" s="189">
        <v>1</v>
      </c>
      <c r="AA79" s="205">
        <f t="shared" si="15"/>
        <v>4</v>
      </c>
      <c r="AB79" s="206">
        <f t="shared" si="16"/>
        <v>1</v>
      </c>
      <c r="AC79" s="206">
        <f t="shared" si="17"/>
        <v>4</v>
      </c>
      <c r="AD79" s="206">
        <f t="shared" si="18"/>
        <v>8</v>
      </c>
    </row>
    <row r="80" spans="1:31" ht="15" customHeight="1" x14ac:dyDescent="0.25">
      <c r="A80" s="314">
        <f t="shared" si="19"/>
        <v>79</v>
      </c>
      <c r="B80" s="314" t="s">
        <v>600</v>
      </c>
      <c r="C80" s="415">
        <v>2</v>
      </c>
      <c r="D80" s="367"/>
      <c r="E80" s="479"/>
      <c r="F80" s="367"/>
      <c r="G80" s="479"/>
      <c r="H80" s="367"/>
      <c r="I80" s="479"/>
      <c r="J80" s="367"/>
      <c r="K80" s="479"/>
      <c r="L80" s="367"/>
      <c r="M80" s="479"/>
      <c r="N80" s="570"/>
      <c r="O80" s="343">
        <f t="shared" si="13"/>
        <v>2</v>
      </c>
      <c r="P80" s="690">
        <f t="shared" si="14"/>
        <v>4</v>
      </c>
      <c r="Q80" s="7">
        <v>19</v>
      </c>
      <c r="R80" s="629" t="s">
        <v>536</v>
      </c>
      <c r="S80" s="285">
        <v>46357</v>
      </c>
      <c r="T80" s="316">
        <v>2</v>
      </c>
      <c r="U80" s="318"/>
      <c r="V80" s="199">
        <v>45139</v>
      </c>
      <c r="W80" s="127">
        <v>1</v>
      </c>
      <c r="X80" s="318">
        <v>1</v>
      </c>
      <c r="Y80" s="318"/>
      <c r="Z80" s="318">
        <v>1</v>
      </c>
      <c r="AA80" s="205">
        <f t="shared" si="15"/>
        <v>3</v>
      </c>
      <c r="AB80" s="206">
        <f t="shared" si="16"/>
        <v>0.75</v>
      </c>
      <c r="AC80" s="206">
        <f t="shared" si="17"/>
        <v>3</v>
      </c>
      <c r="AD80" s="206">
        <f t="shared" si="18"/>
        <v>6</v>
      </c>
    </row>
    <row r="81" spans="1:30" ht="15" customHeight="1" x14ac:dyDescent="0.25">
      <c r="A81" s="314">
        <f t="shared" ref="A81:A113" si="20">A80+1</f>
        <v>80</v>
      </c>
      <c r="B81" s="314" t="s">
        <v>1057</v>
      </c>
      <c r="C81" s="415">
        <v>20</v>
      </c>
      <c r="D81" s="367"/>
      <c r="E81" s="479"/>
      <c r="F81" s="364"/>
      <c r="G81" s="486"/>
      <c r="H81" s="364"/>
      <c r="I81" s="486"/>
      <c r="J81" s="364"/>
      <c r="K81" s="486"/>
      <c r="L81" s="364"/>
      <c r="M81" s="486"/>
      <c r="N81" s="568"/>
      <c r="O81" s="343">
        <f t="shared" si="13"/>
        <v>20</v>
      </c>
      <c r="P81" s="690">
        <f t="shared" si="14"/>
        <v>2</v>
      </c>
      <c r="Q81" s="7">
        <v>2</v>
      </c>
      <c r="R81" s="109" t="s">
        <v>798</v>
      </c>
      <c r="S81" s="112"/>
      <c r="T81" s="316">
        <v>7</v>
      </c>
      <c r="U81" s="322"/>
      <c r="V81" s="112">
        <v>45383</v>
      </c>
      <c r="W81" s="28">
        <v>2</v>
      </c>
      <c r="X81" s="92">
        <v>3</v>
      </c>
      <c r="Y81" s="92">
        <v>2</v>
      </c>
      <c r="Z81" s="92">
        <v>4</v>
      </c>
      <c r="AA81" s="205">
        <f t="shared" si="15"/>
        <v>11</v>
      </c>
      <c r="AB81" s="206">
        <f t="shared" si="16"/>
        <v>2.75</v>
      </c>
      <c r="AC81" s="206">
        <f t="shared" si="17"/>
        <v>11</v>
      </c>
      <c r="AD81" s="206">
        <f t="shared" si="18"/>
        <v>22</v>
      </c>
    </row>
    <row r="82" spans="1:30" ht="15" customHeight="1" x14ac:dyDescent="0.25">
      <c r="A82" s="314">
        <f t="shared" si="20"/>
        <v>81</v>
      </c>
      <c r="B82" s="314" t="s">
        <v>613</v>
      </c>
      <c r="C82" s="435">
        <v>1</v>
      </c>
      <c r="D82" s="363"/>
      <c r="E82" s="478"/>
      <c r="F82" s="359"/>
      <c r="G82" s="478"/>
      <c r="H82" s="359"/>
      <c r="I82" s="480"/>
      <c r="J82" s="360"/>
      <c r="K82" s="480"/>
      <c r="L82" s="360"/>
      <c r="M82" s="480"/>
      <c r="N82" s="562"/>
      <c r="O82" s="343">
        <f t="shared" si="13"/>
        <v>1</v>
      </c>
      <c r="P82" s="690">
        <f t="shared" si="14"/>
        <v>7</v>
      </c>
      <c r="Q82" s="448">
        <v>20</v>
      </c>
      <c r="R82" s="63" t="s">
        <v>1304</v>
      </c>
      <c r="S82" s="285">
        <v>46082</v>
      </c>
      <c r="T82" s="92"/>
      <c r="V82" s="83">
        <v>45474</v>
      </c>
      <c r="W82" s="321">
        <v>1</v>
      </c>
      <c r="X82" s="316">
        <v>1</v>
      </c>
      <c r="Y82" s="316">
        <v>1</v>
      </c>
      <c r="Z82" s="316">
        <v>1</v>
      </c>
      <c r="AA82" s="205">
        <f t="shared" si="15"/>
        <v>4</v>
      </c>
      <c r="AB82" s="206">
        <f t="shared" si="16"/>
        <v>1</v>
      </c>
      <c r="AC82" s="206">
        <f t="shared" si="17"/>
        <v>4</v>
      </c>
      <c r="AD82" s="206">
        <f t="shared" si="18"/>
        <v>8</v>
      </c>
    </row>
    <row r="83" spans="1:30" ht="15" customHeight="1" x14ac:dyDescent="0.25">
      <c r="A83" s="314">
        <f t="shared" si="20"/>
        <v>82</v>
      </c>
      <c r="B83" s="314" t="s">
        <v>612</v>
      </c>
      <c r="C83" s="413">
        <v>2</v>
      </c>
      <c r="D83" s="363"/>
      <c r="E83" s="480"/>
      <c r="F83" s="360"/>
      <c r="G83" s="480"/>
      <c r="H83" s="360"/>
      <c r="I83" s="480"/>
      <c r="J83" s="360"/>
      <c r="K83" s="480"/>
      <c r="L83" s="360"/>
      <c r="M83" s="480"/>
      <c r="N83" s="562"/>
      <c r="O83" s="343">
        <f t="shared" si="13"/>
        <v>2</v>
      </c>
      <c r="P83" s="690">
        <f t="shared" si="14"/>
        <v>6</v>
      </c>
      <c r="Q83" s="448">
        <v>20</v>
      </c>
      <c r="R83" s="63" t="s">
        <v>1304</v>
      </c>
      <c r="S83" s="285">
        <v>46082</v>
      </c>
      <c r="T83" s="92">
        <v>0</v>
      </c>
      <c r="U83" s="316"/>
      <c r="V83" s="83">
        <v>45474</v>
      </c>
      <c r="W83" s="321">
        <v>1</v>
      </c>
      <c r="X83" s="316">
        <v>1</v>
      </c>
      <c r="Y83" s="316">
        <v>1</v>
      </c>
      <c r="Z83" s="316">
        <v>1</v>
      </c>
      <c r="AA83" s="205">
        <f t="shared" si="15"/>
        <v>4</v>
      </c>
      <c r="AB83" s="206">
        <f t="shared" si="16"/>
        <v>1</v>
      </c>
      <c r="AC83" s="206">
        <f t="shared" si="17"/>
        <v>4</v>
      </c>
      <c r="AD83" s="206">
        <f t="shared" si="18"/>
        <v>8</v>
      </c>
    </row>
    <row r="84" spans="1:30" ht="15" customHeight="1" x14ac:dyDescent="0.25">
      <c r="A84" s="314">
        <f t="shared" si="20"/>
        <v>83</v>
      </c>
      <c r="B84" s="314" t="s">
        <v>1024</v>
      </c>
      <c r="C84" s="340">
        <v>1</v>
      </c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343">
        <f t="shared" si="13"/>
        <v>1</v>
      </c>
      <c r="P84" s="690">
        <f t="shared" si="14"/>
        <v>3</v>
      </c>
      <c r="Q84" s="448">
        <v>20</v>
      </c>
      <c r="R84" s="63" t="s">
        <v>1304</v>
      </c>
      <c r="S84" s="344">
        <v>46082</v>
      </c>
      <c r="T84" s="318">
        <v>0</v>
      </c>
      <c r="U84" s="318"/>
      <c r="V84" s="197">
        <v>45505</v>
      </c>
      <c r="W84" s="189">
        <v>1</v>
      </c>
      <c r="X84" s="189">
        <v>1</v>
      </c>
      <c r="Y84" s="189"/>
      <c r="Z84" s="189"/>
      <c r="AA84" s="205">
        <f t="shared" si="15"/>
        <v>2</v>
      </c>
      <c r="AB84" s="206">
        <f t="shared" si="16"/>
        <v>0.5</v>
      </c>
      <c r="AC84" s="206">
        <f t="shared" si="17"/>
        <v>2</v>
      </c>
      <c r="AD84" s="206">
        <f t="shared" si="18"/>
        <v>4</v>
      </c>
    </row>
    <row r="85" spans="1:30" ht="15" customHeight="1" x14ac:dyDescent="0.25">
      <c r="A85" s="314">
        <f t="shared" si="20"/>
        <v>84</v>
      </c>
      <c r="B85" s="314" t="s">
        <v>598</v>
      </c>
      <c r="C85" s="435">
        <v>1</v>
      </c>
      <c r="D85" s="363"/>
      <c r="E85" s="478"/>
      <c r="F85" s="359"/>
      <c r="G85" s="478"/>
      <c r="H85" s="359"/>
      <c r="I85" s="478"/>
      <c r="J85" s="376"/>
      <c r="K85" s="478"/>
      <c r="L85" s="359"/>
      <c r="M85" s="478"/>
      <c r="N85" s="561"/>
      <c r="O85" s="343">
        <f t="shared" si="13"/>
        <v>1</v>
      </c>
      <c r="P85" s="690">
        <f t="shared" si="14"/>
        <v>9</v>
      </c>
      <c r="Q85" s="448">
        <v>20</v>
      </c>
      <c r="R85" s="63" t="s">
        <v>1304</v>
      </c>
      <c r="S85" s="83">
        <v>46023</v>
      </c>
      <c r="T85" s="315">
        <v>6</v>
      </c>
      <c r="U85" s="28">
        <v>6</v>
      </c>
      <c r="V85" s="81">
        <v>45717</v>
      </c>
      <c r="W85" s="127">
        <v>1</v>
      </c>
      <c r="X85" s="318">
        <v>1</v>
      </c>
      <c r="Y85" s="318">
        <v>1</v>
      </c>
      <c r="Z85" s="318">
        <v>2</v>
      </c>
      <c r="AA85" s="205">
        <f t="shared" si="15"/>
        <v>5</v>
      </c>
      <c r="AB85" s="206">
        <f t="shared" si="16"/>
        <v>1.25</v>
      </c>
      <c r="AC85" s="206">
        <f t="shared" si="17"/>
        <v>5</v>
      </c>
      <c r="AD85" s="206">
        <f t="shared" si="18"/>
        <v>10</v>
      </c>
    </row>
    <row r="86" spans="1:30" ht="15" customHeight="1" x14ac:dyDescent="0.25">
      <c r="A86" s="314">
        <f t="shared" si="20"/>
        <v>85</v>
      </c>
      <c r="B86" s="4" t="s">
        <v>1025</v>
      </c>
      <c r="C86" s="340">
        <v>2</v>
      </c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343">
        <f t="shared" si="13"/>
        <v>2</v>
      </c>
      <c r="P86" s="690">
        <f t="shared" si="14"/>
        <v>2</v>
      </c>
      <c r="Q86" s="448">
        <v>20</v>
      </c>
      <c r="R86" s="63" t="s">
        <v>1304</v>
      </c>
      <c r="S86" s="344">
        <v>46143</v>
      </c>
      <c r="T86" s="318">
        <v>2</v>
      </c>
      <c r="U86" s="318">
        <v>2</v>
      </c>
      <c r="V86" s="344">
        <v>45717</v>
      </c>
      <c r="W86" s="309">
        <v>1</v>
      </c>
      <c r="X86" s="309"/>
      <c r="Y86" s="309">
        <v>1</v>
      </c>
      <c r="Z86" s="309"/>
      <c r="AA86" s="205">
        <f t="shared" si="15"/>
        <v>2</v>
      </c>
      <c r="AB86" s="206">
        <f t="shared" si="16"/>
        <v>0.5</v>
      </c>
      <c r="AC86" s="206">
        <f t="shared" si="17"/>
        <v>2</v>
      </c>
      <c r="AD86" s="206">
        <f t="shared" si="18"/>
        <v>4</v>
      </c>
    </row>
    <row r="87" spans="1:30" ht="15" customHeight="1" x14ac:dyDescent="0.25">
      <c r="A87" s="314">
        <f t="shared" si="20"/>
        <v>86</v>
      </c>
      <c r="B87" s="314" t="s">
        <v>1026</v>
      </c>
      <c r="C87" s="340">
        <v>2</v>
      </c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343">
        <f t="shared" si="13"/>
        <v>2</v>
      </c>
      <c r="P87" s="690">
        <f t="shared" si="14"/>
        <v>4</v>
      </c>
      <c r="Q87" s="448">
        <v>20</v>
      </c>
      <c r="R87" s="63" t="s">
        <v>1304</v>
      </c>
      <c r="S87" s="344">
        <v>46204</v>
      </c>
      <c r="T87" s="318">
        <v>3</v>
      </c>
      <c r="U87" s="318"/>
      <c r="V87" s="344">
        <v>45566</v>
      </c>
      <c r="W87" s="309">
        <v>1</v>
      </c>
      <c r="X87" s="309"/>
      <c r="Y87" s="309"/>
      <c r="Z87" s="309">
        <v>2</v>
      </c>
      <c r="AA87" s="205">
        <f t="shared" si="15"/>
        <v>3</v>
      </c>
      <c r="AB87" s="206">
        <f t="shared" si="16"/>
        <v>0.75</v>
      </c>
      <c r="AC87" s="206">
        <f t="shared" si="17"/>
        <v>3</v>
      </c>
      <c r="AD87" s="206">
        <f t="shared" si="18"/>
        <v>6</v>
      </c>
    </row>
    <row r="88" spans="1:30" ht="15" customHeight="1" x14ac:dyDescent="0.25">
      <c r="A88" s="314">
        <f t="shared" si="20"/>
        <v>87</v>
      </c>
      <c r="B88" s="314" t="s">
        <v>611</v>
      </c>
      <c r="C88" s="435">
        <v>0</v>
      </c>
      <c r="D88" s="557"/>
      <c r="E88" s="676"/>
      <c r="F88" s="376"/>
      <c r="G88" s="483"/>
      <c r="H88" s="376"/>
      <c r="I88" s="483"/>
      <c r="J88" s="376"/>
      <c r="K88" s="483"/>
      <c r="L88" s="376"/>
      <c r="M88" s="483"/>
      <c r="N88" s="562"/>
      <c r="O88" s="343">
        <f t="shared" si="13"/>
        <v>0</v>
      </c>
      <c r="P88" s="690">
        <f t="shared" si="14"/>
        <v>8</v>
      </c>
      <c r="Q88" s="448">
        <v>20</v>
      </c>
      <c r="R88" s="63" t="s">
        <v>1304</v>
      </c>
      <c r="S88" s="285"/>
      <c r="T88" s="315">
        <v>0</v>
      </c>
      <c r="V88" s="83">
        <v>45505</v>
      </c>
      <c r="W88" s="321">
        <v>1</v>
      </c>
      <c r="X88" s="316">
        <v>1</v>
      </c>
      <c r="Y88" s="316">
        <v>1</v>
      </c>
      <c r="Z88" s="316">
        <v>1</v>
      </c>
      <c r="AA88" s="205">
        <f t="shared" si="15"/>
        <v>4</v>
      </c>
      <c r="AB88" s="206">
        <f t="shared" si="16"/>
        <v>1</v>
      </c>
      <c r="AC88" s="206">
        <f t="shared" si="17"/>
        <v>4</v>
      </c>
      <c r="AD88" s="206">
        <f t="shared" si="18"/>
        <v>8</v>
      </c>
    </row>
    <row r="89" spans="1:30" ht="15" customHeight="1" x14ac:dyDescent="0.25">
      <c r="A89" s="314">
        <f t="shared" si="20"/>
        <v>88</v>
      </c>
      <c r="B89" s="314" t="s">
        <v>601</v>
      </c>
      <c r="C89" s="435">
        <v>1</v>
      </c>
      <c r="D89" s="363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343">
        <f t="shared" si="13"/>
        <v>1</v>
      </c>
      <c r="P89" s="690">
        <f t="shared" si="14"/>
        <v>7</v>
      </c>
      <c r="Q89" s="448">
        <v>20</v>
      </c>
      <c r="R89" s="63" t="s">
        <v>1304</v>
      </c>
      <c r="S89" s="100">
        <v>46054</v>
      </c>
      <c r="T89" s="315">
        <v>6</v>
      </c>
      <c r="U89" s="28">
        <v>6</v>
      </c>
      <c r="V89" s="118">
        <v>45717</v>
      </c>
      <c r="W89" s="127">
        <v>1</v>
      </c>
      <c r="X89" s="318">
        <v>1</v>
      </c>
      <c r="Y89" s="318">
        <v>1</v>
      </c>
      <c r="Z89" s="318">
        <v>1</v>
      </c>
      <c r="AA89" s="205">
        <f t="shared" si="15"/>
        <v>4</v>
      </c>
      <c r="AB89" s="206">
        <f t="shared" si="16"/>
        <v>1</v>
      </c>
      <c r="AC89" s="206">
        <f t="shared" si="17"/>
        <v>4</v>
      </c>
      <c r="AD89" s="206">
        <f t="shared" si="18"/>
        <v>8</v>
      </c>
    </row>
    <row r="90" spans="1:30" ht="15" customHeight="1" x14ac:dyDescent="0.25">
      <c r="A90" s="314">
        <f t="shared" si="20"/>
        <v>89</v>
      </c>
      <c r="B90" s="651" t="s">
        <v>602</v>
      </c>
      <c r="C90" s="652">
        <v>2</v>
      </c>
      <c r="D90" s="363">
        <v>1</v>
      </c>
      <c r="E90" s="480"/>
      <c r="F90" s="360"/>
      <c r="G90" s="480"/>
      <c r="H90" s="360"/>
      <c r="I90" s="480"/>
      <c r="J90" s="360"/>
      <c r="K90" s="480"/>
      <c r="L90" s="360"/>
      <c r="M90" s="480"/>
      <c r="N90" s="562"/>
      <c r="O90" s="343">
        <f t="shared" si="13"/>
        <v>1</v>
      </c>
      <c r="P90" s="690">
        <f t="shared" si="14"/>
        <v>5</v>
      </c>
      <c r="Q90" s="448">
        <v>20</v>
      </c>
      <c r="R90" s="63" t="s">
        <v>1304</v>
      </c>
      <c r="S90" s="664">
        <v>45870</v>
      </c>
      <c r="T90" s="315">
        <v>0</v>
      </c>
      <c r="U90" s="316"/>
      <c r="V90" s="199">
        <v>45505</v>
      </c>
      <c r="W90" s="127">
        <v>1</v>
      </c>
      <c r="X90" s="318"/>
      <c r="Y90" s="318">
        <v>1</v>
      </c>
      <c r="Z90" s="318">
        <v>1</v>
      </c>
      <c r="AA90" s="205">
        <f t="shared" si="15"/>
        <v>3</v>
      </c>
      <c r="AB90" s="206">
        <f t="shared" si="16"/>
        <v>0.75</v>
      </c>
      <c r="AC90" s="206">
        <f t="shared" si="17"/>
        <v>3</v>
      </c>
      <c r="AD90" s="206">
        <f t="shared" si="18"/>
        <v>6</v>
      </c>
    </row>
    <row r="91" spans="1:30" ht="15" customHeight="1" x14ac:dyDescent="0.25">
      <c r="A91" s="314">
        <f t="shared" si="20"/>
        <v>90</v>
      </c>
      <c r="B91" s="314" t="s">
        <v>610</v>
      </c>
      <c r="C91" s="435">
        <v>0</v>
      </c>
      <c r="D91" s="363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343">
        <f t="shared" si="13"/>
        <v>0</v>
      </c>
      <c r="P91" s="690">
        <f t="shared" si="14"/>
        <v>8</v>
      </c>
      <c r="Q91" s="448">
        <v>20</v>
      </c>
      <c r="R91" s="63" t="s">
        <v>1304</v>
      </c>
      <c r="S91" s="83">
        <v>46235</v>
      </c>
      <c r="T91" s="321">
        <v>0</v>
      </c>
      <c r="V91" s="83">
        <v>45658</v>
      </c>
      <c r="W91" s="321">
        <v>1</v>
      </c>
      <c r="X91" s="321">
        <v>1</v>
      </c>
      <c r="Y91" s="321">
        <v>1</v>
      </c>
      <c r="Z91" s="321">
        <v>1</v>
      </c>
      <c r="AA91" s="205">
        <f t="shared" si="15"/>
        <v>4</v>
      </c>
      <c r="AB91" s="206">
        <f t="shared" si="16"/>
        <v>1</v>
      </c>
      <c r="AC91" s="206">
        <f t="shared" si="17"/>
        <v>4</v>
      </c>
      <c r="AD91" s="206">
        <f t="shared" si="18"/>
        <v>8</v>
      </c>
    </row>
    <row r="92" spans="1:30" ht="15" customHeight="1" x14ac:dyDescent="0.25">
      <c r="A92" s="314">
        <f t="shared" si="20"/>
        <v>91</v>
      </c>
      <c r="B92" s="314" t="s">
        <v>1349</v>
      </c>
      <c r="C92" s="280">
        <v>2</v>
      </c>
      <c r="D92" s="359"/>
      <c r="E92" s="478"/>
      <c r="F92" s="360"/>
      <c r="G92" s="480"/>
      <c r="H92" s="360"/>
      <c r="I92" s="480"/>
      <c r="J92" s="360"/>
      <c r="K92" s="480"/>
      <c r="L92" s="360"/>
      <c r="M92" s="480"/>
      <c r="N92" s="562"/>
      <c r="O92" s="343">
        <f t="shared" si="13"/>
        <v>2</v>
      </c>
      <c r="P92" s="690">
        <f t="shared" si="14"/>
        <v>6</v>
      </c>
      <c r="Q92" s="10">
        <v>48</v>
      </c>
      <c r="R92" s="63" t="s">
        <v>476</v>
      </c>
      <c r="S92" s="118">
        <v>46569</v>
      </c>
      <c r="T92" s="28">
        <v>5</v>
      </c>
      <c r="V92" s="81">
        <v>45658</v>
      </c>
      <c r="W92" s="14">
        <v>1</v>
      </c>
      <c r="X92" s="14">
        <v>2</v>
      </c>
      <c r="Z92" s="28">
        <v>1</v>
      </c>
      <c r="AA92" s="205">
        <f t="shared" si="15"/>
        <v>4</v>
      </c>
      <c r="AB92" s="206">
        <f t="shared" si="16"/>
        <v>1</v>
      </c>
      <c r="AC92" s="206">
        <f t="shared" si="17"/>
        <v>4</v>
      </c>
      <c r="AD92" s="206">
        <f t="shared" si="18"/>
        <v>8</v>
      </c>
    </row>
    <row r="93" spans="1:30" ht="15" customHeight="1" x14ac:dyDescent="0.25">
      <c r="A93" s="314">
        <f t="shared" si="20"/>
        <v>92</v>
      </c>
      <c r="B93" s="314" t="s">
        <v>1060</v>
      </c>
      <c r="C93" s="415">
        <v>14</v>
      </c>
      <c r="D93" s="361"/>
      <c r="E93" s="482"/>
      <c r="F93" s="361"/>
      <c r="G93" s="482"/>
      <c r="H93" s="361"/>
      <c r="I93" s="482"/>
      <c r="J93" s="359"/>
      <c r="K93" s="482"/>
      <c r="L93" s="361"/>
      <c r="M93" s="482"/>
      <c r="N93" s="563"/>
      <c r="O93" s="343">
        <f t="shared" si="13"/>
        <v>14</v>
      </c>
      <c r="P93" s="690">
        <f t="shared" si="14"/>
        <v>10</v>
      </c>
      <c r="Q93" s="7">
        <v>1.5</v>
      </c>
      <c r="R93" s="69" t="s">
        <v>1370</v>
      </c>
      <c r="S93" s="439">
        <v>46143</v>
      </c>
      <c r="T93" s="309">
        <v>45</v>
      </c>
      <c r="U93" s="309"/>
      <c r="V93" s="199">
        <v>45444</v>
      </c>
      <c r="W93" s="107">
        <v>3</v>
      </c>
      <c r="X93" s="309">
        <v>2</v>
      </c>
      <c r="Y93" s="309">
        <v>5</v>
      </c>
      <c r="Z93" s="309">
        <v>2</v>
      </c>
      <c r="AA93" s="205">
        <f t="shared" si="15"/>
        <v>12</v>
      </c>
      <c r="AB93" s="206">
        <f t="shared" si="16"/>
        <v>3</v>
      </c>
      <c r="AC93" s="206">
        <f t="shared" si="17"/>
        <v>12</v>
      </c>
      <c r="AD93" s="206">
        <f t="shared" si="18"/>
        <v>24</v>
      </c>
    </row>
    <row r="94" spans="1:30" ht="15" customHeight="1" x14ac:dyDescent="0.25">
      <c r="A94" s="314">
        <f t="shared" si="20"/>
        <v>93</v>
      </c>
      <c r="B94" s="651" t="s">
        <v>1058</v>
      </c>
      <c r="C94" s="658">
        <v>10</v>
      </c>
      <c r="D94" s="359"/>
      <c r="E94" s="478"/>
      <c r="F94" s="360"/>
      <c r="G94" s="480"/>
      <c r="H94" s="360"/>
      <c r="I94" s="480"/>
      <c r="J94" s="360"/>
      <c r="K94" s="480"/>
      <c r="L94" s="360"/>
      <c r="M94" s="480"/>
      <c r="N94" s="562"/>
      <c r="O94" s="343">
        <f t="shared" si="13"/>
        <v>10</v>
      </c>
      <c r="P94" s="690">
        <f t="shared" si="14"/>
        <v>16</v>
      </c>
      <c r="Q94" s="7">
        <v>1.5</v>
      </c>
      <c r="R94" s="63" t="s">
        <v>798</v>
      </c>
      <c r="S94" s="659">
        <v>45870</v>
      </c>
      <c r="T94" s="316">
        <v>1</v>
      </c>
      <c r="U94" s="316"/>
      <c r="V94" s="199">
        <v>45383</v>
      </c>
      <c r="W94" s="107">
        <v>5</v>
      </c>
      <c r="X94" s="107">
        <v>2</v>
      </c>
      <c r="Y94" s="309">
        <v>3</v>
      </c>
      <c r="Z94" s="309">
        <v>3</v>
      </c>
      <c r="AA94" s="205">
        <f t="shared" si="15"/>
        <v>13</v>
      </c>
      <c r="AB94" s="206">
        <f t="shared" si="16"/>
        <v>3.25</v>
      </c>
      <c r="AC94" s="206">
        <f t="shared" si="17"/>
        <v>13</v>
      </c>
      <c r="AD94" s="206">
        <f t="shared" si="18"/>
        <v>26</v>
      </c>
    </row>
    <row r="95" spans="1:30" ht="15" customHeight="1" x14ac:dyDescent="0.25">
      <c r="A95" s="314">
        <f t="shared" si="20"/>
        <v>94</v>
      </c>
      <c r="B95" s="588" t="s">
        <v>567</v>
      </c>
      <c r="C95" s="594">
        <v>4</v>
      </c>
      <c r="D95" s="367"/>
      <c r="E95" s="479"/>
      <c r="F95" s="367"/>
      <c r="G95" s="479"/>
      <c r="H95" s="367"/>
      <c r="I95" s="479"/>
      <c r="J95" s="367"/>
      <c r="K95" s="479"/>
      <c r="L95" s="367"/>
      <c r="M95" s="479"/>
      <c r="N95" s="570"/>
      <c r="O95" s="343">
        <f t="shared" si="13"/>
        <v>4</v>
      </c>
      <c r="P95" s="690">
        <f t="shared" si="14"/>
        <v>12</v>
      </c>
      <c r="Q95" s="10">
        <v>18</v>
      </c>
      <c r="R95" s="63" t="s">
        <v>399</v>
      </c>
      <c r="S95" s="598">
        <v>45778</v>
      </c>
      <c r="T95" s="316">
        <v>0</v>
      </c>
      <c r="U95" s="118"/>
      <c r="V95" s="344">
        <v>45200</v>
      </c>
      <c r="W95" s="309">
        <v>2</v>
      </c>
      <c r="X95" s="309">
        <v>3</v>
      </c>
      <c r="Y95" s="309">
        <v>3</v>
      </c>
      <c r="Z95" s="309"/>
      <c r="AA95" s="205">
        <f t="shared" si="15"/>
        <v>8</v>
      </c>
      <c r="AB95" s="206">
        <f t="shared" si="16"/>
        <v>2</v>
      </c>
      <c r="AC95" s="206">
        <f t="shared" si="17"/>
        <v>8</v>
      </c>
      <c r="AD95" s="206">
        <f t="shared" si="18"/>
        <v>16</v>
      </c>
    </row>
    <row r="96" spans="1:30" ht="15" customHeight="1" x14ac:dyDescent="0.25">
      <c r="A96" s="314">
        <f t="shared" si="20"/>
        <v>95</v>
      </c>
      <c r="B96" s="314" t="s">
        <v>1061</v>
      </c>
      <c r="C96" s="415">
        <v>2</v>
      </c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343">
        <f t="shared" si="13"/>
        <v>2</v>
      </c>
      <c r="P96" s="690">
        <f t="shared" si="14"/>
        <v>6</v>
      </c>
      <c r="Q96" s="7">
        <v>12</v>
      </c>
      <c r="R96" s="109" t="s">
        <v>171</v>
      </c>
      <c r="S96" s="112"/>
      <c r="T96" s="316">
        <v>5</v>
      </c>
      <c r="U96" s="322"/>
      <c r="V96" s="334">
        <v>44378</v>
      </c>
      <c r="W96" s="189">
        <v>1</v>
      </c>
      <c r="X96" s="189">
        <v>1</v>
      </c>
      <c r="Y96" s="189">
        <v>1</v>
      </c>
      <c r="Z96" s="189">
        <v>1</v>
      </c>
      <c r="AA96" s="205">
        <f t="shared" si="15"/>
        <v>4</v>
      </c>
      <c r="AB96" s="206">
        <f t="shared" si="16"/>
        <v>1</v>
      </c>
      <c r="AC96" s="206">
        <f t="shared" si="17"/>
        <v>4</v>
      </c>
      <c r="AD96" s="206">
        <f t="shared" si="18"/>
        <v>8</v>
      </c>
    </row>
    <row r="97" spans="1:30" ht="15" customHeight="1" x14ac:dyDescent="0.25">
      <c r="A97" s="314">
        <f t="shared" si="20"/>
        <v>96</v>
      </c>
      <c r="B97" s="314" t="s">
        <v>69</v>
      </c>
      <c r="C97" s="415">
        <v>50</v>
      </c>
      <c r="D97" s="367">
        <v>3</v>
      </c>
      <c r="E97" s="479">
        <v>1</v>
      </c>
      <c r="F97" s="364">
        <v>1</v>
      </c>
      <c r="G97" s="486">
        <v>1</v>
      </c>
      <c r="H97" s="364">
        <v>2</v>
      </c>
      <c r="I97" s="486">
        <v>1</v>
      </c>
      <c r="J97" s="364"/>
      <c r="K97" s="486"/>
      <c r="L97" s="364">
        <v>1</v>
      </c>
      <c r="M97" s="486">
        <v>1</v>
      </c>
      <c r="N97" s="568"/>
      <c r="O97" s="343">
        <f t="shared" si="13"/>
        <v>39</v>
      </c>
      <c r="P97" s="690">
        <f t="shared" si="14"/>
        <v>23</v>
      </c>
      <c r="Q97" s="7">
        <v>3</v>
      </c>
      <c r="R97" s="187" t="s">
        <v>412</v>
      </c>
      <c r="S97" s="110"/>
      <c r="T97" s="338"/>
      <c r="U97" s="53"/>
      <c r="V97" s="197">
        <v>45505</v>
      </c>
      <c r="W97" s="189">
        <v>3</v>
      </c>
      <c r="X97" s="189">
        <v>9</v>
      </c>
      <c r="Y97" s="189">
        <v>10</v>
      </c>
      <c r="Z97" s="189">
        <v>9</v>
      </c>
      <c r="AA97" s="205">
        <f t="shared" si="15"/>
        <v>31</v>
      </c>
      <c r="AB97" s="206">
        <f t="shared" si="16"/>
        <v>7.75</v>
      </c>
      <c r="AC97" s="206">
        <f t="shared" si="17"/>
        <v>31</v>
      </c>
      <c r="AD97" s="206">
        <f t="shared" si="18"/>
        <v>62</v>
      </c>
    </row>
    <row r="98" spans="1:30" ht="15" customHeight="1" x14ac:dyDescent="0.25">
      <c r="A98" s="314">
        <f t="shared" si="20"/>
        <v>97</v>
      </c>
      <c r="B98" s="314" t="s">
        <v>1443</v>
      </c>
      <c r="C98" s="340">
        <v>2</v>
      </c>
      <c r="D98" s="359"/>
      <c r="E98" s="478"/>
      <c r="F98" s="360"/>
      <c r="G98" s="480"/>
      <c r="H98" s="360"/>
      <c r="I98" s="480"/>
      <c r="J98" s="360"/>
      <c r="K98" s="480"/>
      <c r="L98" s="360"/>
      <c r="M98" s="480"/>
      <c r="N98" s="562"/>
      <c r="O98" s="340">
        <f t="shared" ref="O98:O112" si="21">SUM(C98-D98-E98-F98-G98-H98-I98-J98-K98-L98-M98-N98)</f>
        <v>2</v>
      </c>
      <c r="P98" s="343">
        <f t="shared" ref="P98:P112" si="22">AD98-O98</f>
        <v>-2</v>
      </c>
      <c r="Q98" s="10">
        <v>150</v>
      </c>
      <c r="R98" s="63" t="s">
        <v>1480</v>
      </c>
      <c r="S98" s="118">
        <v>46447</v>
      </c>
      <c r="T98" s="28">
        <v>4</v>
      </c>
      <c r="V98" s="81">
        <v>45717</v>
      </c>
      <c r="AA98" s="184">
        <f t="shared" ref="AA98:AA112" si="23">W98+X98+Y98+Z98</f>
        <v>0</v>
      </c>
      <c r="AB98" s="185">
        <f t="shared" ref="AB98:AB112" si="24">AA98/4</f>
        <v>0</v>
      </c>
      <c r="AC98" s="185">
        <f t="shared" ref="AC98:AC112" si="25">AB98*4</f>
        <v>0</v>
      </c>
      <c r="AD98" s="185">
        <f t="shared" ref="AD98:AD112" si="26">AC98*2</f>
        <v>0</v>
      </c>
    </row>
    <row r="99" spans="1:30" ht="15" customHeight="1" x14ac:dyDescent="0.25">
      <c r="A99" s="314">
        <f t="shared" si="20"/>
        <v>98</v>
      </c>
      <c r="B99" s="314" t="s">
        <v>1062</v>
      </c>
      <c r="C99" s="415">
        <v>5</v>
      </c>
      <c r="D99" s="367"/>
      <c r="E99" s="479"/>
      <c r="F99" s="367"/>
      <c r="G99" s="479"/>
      <c r="H99" s="367"/>
      <c r="I99" s="479"/>
      <c r="J99" s="367"/>
      <c r="K99" s="479"/>
      <c r="L99" s="367"/>
      <c r="M99" s="479"/>
      <c r="N99" s="570"/>
      <c r="O99" s="343">
        <f t="shared" si="21"/>
        <v>5</v>
      </c>
      <c r="P99" s="690">
        <f t="shared" si="22"/>
        <v>35</v>
      </c>
      <c r="Q99" s="7">
        <v>6.2</v>
      </c>
      <c r="R99" s="207" t="s">
        <v>699</v>
      </c>
      <c r="S99" s="118">
        <v>46235</v>
      </c>
      <c r="T99" s="316"/>
      <c r="U99" s="316"/>
      <c r="V99" s="344">
        <v>45292</v>
      </c>
      <c r="W99" s="309">
        <v>10</v>
      </c>
      <c r="X99" s="309">
        <v>10</v>
      </c>
      <c r="Y99" s="309"/>
      <c r="Z99" s="309"/>
      <c r="AA99" s="205">
        <f t="shared" si="23"/>
        <v>20</v>
      </c>
      <c r="AB99" s="206">
        <f t="shared" si="24"/>
        <v>5</v>
      </c>
      <c r="AC99" s="206">
        <f t="shared" si="25"/>
        <v>20</v>
      </c>
      <c r="AD99" s="206">
        <f t="shared" si="26"/>
        <v>40</v>
      </c>
    </row>
    <row r="100" spans="1:30" ht="15" customHeight="1" x14ac:dyDescent="0.25">
      <c r="A100" s="314">
        <f t="shared" si="20"/>
        <v>99</v>
      </c>
      <c r="B100" s="314" t="s">
        <v>888</v>
      </c>
      <c r="C100" s="413">
        <v>32</v>
      </c>
      <c r="D100" s="363"/>
      <c r="E100" s="480"/>
      <c r="F100" s="360"/>
      <c r="G100" s="480"/>
      <c r="H100" s="360"/>
      <c r="I100" s="480"/>
      <c r="J100" s="360"/>
      <c r="K100" s="480"/>
      <c r="L100" s="360"/>
      <c r="M100" s="480"/>
      <c r="N100" s="562"/>
      <c r="O100" s="343">
        <f t="shared" si="21"/>
        <v>32</v>
      </c>
      <c r="P100" s="690">
        <f t="shared" si="22"/>
        <v>26</v>
      </c>
      <c r="Q100" s="448">
        <v>6</v>
      </c>
      <c r="R100" s="63" t="s">
        <v>1304</v>
      </c>
      <c r="S100" s="285">
        <v>46569</v>
      </c>
      <c r="T100" s="92">
        <v>0</v>
      </c>
      <c r="U100" s="316"/>
      <c r="V100" s="83">
        <v>45566</v>
      </c>
      <c r="W100" s="321">
        <v>15</v>
      </c>
      <c r="X100" s="316">
        <v>8</v>
      </c>
      <c r="Y100" s="316">
        <v>2</v>
      </c>
      <c r="Z100" s="316">
        <v>4</v>
      </c>
      <c r="AA100" s="205">
        <f t="shared" si="23"/>
        <v>29</v>
      </c>
      <c r="AB100" s="206">
        <f t="shared" si="24"/>
        <v>7.25</v>
      </c>
      <c r="AC100" s="206">
        <f t="shared" si="25"/>
        <v>29</v>
      </c>
      <c r="AD100" s="206">
        <f t="shared" si="26"/>
        <v>58</v>
      </c>
    </row>
    <row r="101" spans="1:30" ht="15" customHeight="1" x14ac:dyDescent="0.25">
      <c r="A101" s="314">
        <f t="shared" si="20"/>
        <v>100</v>
      </c>
      <c r="B101" s="314" t="s">
        <v>851</v>
      </c>
      <c r="C101" s="415">
        <v>1</v>
      </c>
      <c r="D101" s="359"/>
      <c r="E101" s="478"/>
      <c r="F101" s="360"/>
      <c r="G101" s="480"/>
      <c r="H101" s="360"/>
      <c r="I101" s="480"/>
      <c r="J101" s="360"/>
      <c r="K101" s="480"/>
      <c r="L101" s="360"/>
      <c r="M101" s="480"/>
      <c r="N101" s="562"/>
      <c r="O101" s="343">
        <f t="shared" si="21"/>
        <v>1</v>
      </c>
      <c r="P101" s="690">
        <f t="shared" si="22"/>
        <v>3</v>
      </c>
      <c r="Q101" s="7">
        <v>140</v>
      </c>
      <c r="R101" s="63" t="s">
        <v>285</v>
      </c>
      <c r="S101" s="118">
        <v>46327</v>
      </c>
      <c r="T101" s="28">
        <v>0</v>
      </c>
      <c r="V101" s="81">
        <v>45413</v>
      </c>
      <c r="W101" s="14">
        <v>1</v>
      </c>
      <c r="Z101" s="28">
        <v>1</v>
      </c>
      <c r="AA101" s="205">
        <f t="shared" si="23"/>
        <v>2</v>
      </c>
      <c r="AB101" s="206">
        <f t="shared" si="24"/>
        <v>0.5</v>
      </c>
      <c r="AC101" s="206">
        <f t="shared" si="25"/>
        <v>2</v>
      </c>
      <c r="AD101" s="206">
        <f t="shared" si="26"/>
        <v>4</v>
      </c>
    </row>
    <row r="102" spans="1:30" ht="15" customHeight="1" x14ac:dyDescent="0.25">
      <c r="A102" s="314">
        <f t="shared" si="20"/>
        <v>101</v>
      </c>
      <c r="B102" s="314" t="s">
        <v>1063</v>
      </c>
      <c r="C102" s="415">
        <v>8</v>
      </c>
      <c r="D102" s="359"/>
      <c r="E102" s="508"/>
      <c r="F102" s="360"/>
      <c r="G102" s="508"/>
      <c r="H102" s="360"/>
      <c r="I102" s="508"/>
      <c r="J102" s="360"/>
      <c r="K102" s="508"/>
      <c r="L102" s="360"/>
      <c r="M102" s="508"/>
      <c r="N102" s="573"/>
      <c r="O102" s="343">
        <f t="shared" si="21"/>
        <v>8</v>
      </c>
      <c r="P102" s="690">
        <f t="shared" si="22"/>
        <v>4</v>
      </c>
      <c r="Q102" s="169">
        <v>15</v>
      </c>
      <c r="R102" s="8" t="s">
        <v>476</v>
      </c>
      <c r="S102" s="227">
        <v>46631</v>
      </c>
      <c r="T102" s="320"/>
      <c r="U102" s="320"/>
      <c r="V102" s="227">
        <v>45108</v>
      </c>
      <c r="W102" s="309">
        <v>1</v>
      </c>
      <c r="X102" s="309">
        <v>1</v>
      </c>
      <c r="Y102" s="309">
        <v>3</v>
      </c>
      <c r="Z102" s="309">
        <v>1</v>
      </c>
      <c r="AA102" s="205">
        <f t="shared" si="23"/>
        <v>6</v>
      </c>
      <c r="AB102" s="206">
        <f t="shared" si="24"/>
        <v>1.5</v>
      </c>
      <c r="AC102" s="206">
        <f t="shared" si="25"/>
        <v>6</v>
      </c>
      <c r="AD102" s="206">
        <f t="shared" si="26"/>
        <v>12</v>
      </c>
    </row>
    <row r="103" spans="1:30" ht="15" customHeight="1" x14ac:dyDescent="0.25">
      <c r="A103" s="314">
        <f t="shared" si="20"/>
        <v>102</v>
      </c>
      <c r="B103" s="314" t="s">
        <v>553</v>
      </c>
      <c r="C103" s="415">
        <v>2</v>
      </c>
      <c r="D103" s="359"/>
      <c r="E103" s="478"/>
      <c r="F103" s="360"/>
      <c r="G103" s="480"/>
      <c r="H103" s="360"/>
      <c r="I103" s="480"/>
      <c r="J103" s="360"/>
      <c r="K103" s="480"/>
      <c r="L103" s="360"/>
      <c r="M103" s="480"/>
      <c r="N103" s="562"/>
      <c r="O103" s="343">
        <f t="shared" si="21"/>
        <v>2</v>
      </c>
      <c r="P103" s="690">
        <f t="shared" si="22"/>
        <v>8</v>
      </c>
      <c r="Q103" s="10">
        <v>17</v>
      </c>
      <c r="R103" s="63" t="s">
        <v>476</v>
      </c>
      <c r="S103" s="118">
        <v>46508</v>
      </c>
      <c r="T103" s="316"/>
      <c r="U103" s="320"/>
      <c r="V103" s="344">
        <v>45017</v>
      </c>
      <c r="W103" s="309">
        <v>1</v>
      </c>
      <c r="X103" s="309">
        <v>1</v>
      </c>
      <c r="Y103" s="309">
        <v>2</v>
      </c>
      <c r="Z103" s="309">
        <v>1</v>
      </c>
      <c r="AA103" s="205">
        <f t="shared" si="23"/>
        <v>5</v>
      </c>
      <c r="AB103" s="206">
        <f t="shared" si="24"/>
        <v>1.25</v>
      </c>
      <c r="AC103" s="206">
        <f t="shared" si="25"/>
        <v>5</v>
      </c>
      <c r="AD103" s="206">
        <f t="shared" si="26"/>
        <v>10</v>
      </c>
    </row>
    <row r="104" spans="1:30" ht="15" customHeight="1" x14ac:dyDescent="0.25">
      <c r="A104" s="314">
        <f t="shared" si="20"/>
        <v>103</v>
      </c>
      <c r="B104" s="314" t="s">
        <v>552</v>
      </c>
      <c r="C104" s="415">
        <v>2</v>
      </c>
      <c r="D104" s="367"/>
      <c r="E104" s="479"/>
      <c r="F104" s="367"/>
      <c r="G104" s="479"/>
      <c r="H104" s="367">
        <v>2</v>
      </c>
      <c r="I104" s="479"/>
      <c r="J104" s="367"/>
      <c r="K104" s="479"/>
      <c r="L104" s="367"/>
      <c r="M104" s="479"/>
      <c r="N104" s="570"/>
      <c r="O104" s="343">
        <f t="shared" si="21"/>
        <v>0</v>
      </c>
      <c r="P104" s="690">
        <f t="shared" si="22"/>
        <v>8</v>
      </c>
      <c r="Q104" s="10">
        <v>15</v>
      </c>
      <c r="R104" s="109" t="s">
        <v>476</v>
      </c>
      <c r="S104" s="112">
        <v>46296</v>
      </c>
      <c r="T104" s="316"/>
      <c r="U104" s="320"/>
      <c r="V104" s="332">
        <v>44896</v>
      </c>
      <c r="W104" s="189">
        <v>1</v>
      </c>
      <c r="X104" s="189">
        <v>1</v>
      </c>
      <c r="Y104" s="189">
        <v>1</v>
      </c>
      <c r="Z104" s="189">
        <v>1</v>
      </c>
      <c r="AA104" s="205">
        <f t="shared" si="23"/>
        <v>4</v>
      </c>
      <c r="AB104" s="206">
        <f t="shared" si="24"/>
        <v>1</v>
      </c>
      <c r="AC104" s="206">
        <f t="shared" si="25"/>
        <v>4</v>
      </c>
      <c r="AD104" s="206">
        <f t="shared" si="26"/>
        <v>8</v>
      </c>
    </row>
    <row r="105" spans="1:30" ht="15" customHeight="1" x14ac:dyDescent="0.25">
      <c r="A105" s="314">
        <f t="shared" si="20"/>
        <v>104</v>
      </c>
      <c r="B105" s="314" t="s">
        <v>1064</v>
      </c>
      <c r="C105" s="415">
        <v>39</v>
      </c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343">
        <f t="shared" si="21"/>
        <v>39</v>
      </c>
      <c r="P105" s="690">
        <f t="shared" si="22"/>
        <v>5</v>
      </c>
      <c r="Q105" s="7">
        <v>0.875</v>
      </c>
      <c r="R105" s="207" t="s">
        <v>798</v>
      </c>
      <c r="S105" s="94">
        <v>46357</v>
      </c>
      <c r="T105" s="316"/>
      <c r="U105" s="316"/>
      <c r="V105" s="344">
        <v>45323</v>
      </c>
      <c r="W105" s="309">
        <v>6</v>
      </c>
      <c r="X105" s="309">
        <v>4</v>
      </c>
      <c r="Y105" s="309">
        <v>4</v>
      </c>
      <c r="Z105" s="309">
        <v>8</v>
      </c>
      <c r="AA105" s="205">
        <f t="shared" si="23"/>
        <v>22</v>
      </c>
      <c r="AB105" s="206">
        <f t="shared" si="24"/>
        <v>5.5</v>
      </c>
      <c r="AC105" s="206">
        <f t="shared" si="25"/>
        <v>22</v>
      </c>
      <c r="AD105" s="206">
        <f t="shared" si="26"/>
        <v>44</v>
      </c>
    </row>
    <row r="106" spans="1:30" ht="15" customHeight="1" x14ac:dyDescent="0.25">
      <c r="A106" s="314">
        <f t="shared" si="20"/>
        <v>105</v>
      </c>
      <c r="B106" s="314" t="s">
        <v>1065</v>
      </c>
      <c r="C106" s="415">
        <v>47</v>
      </c>
      <c r="D106" s="359"/>
      <c r="E106" s="478"/>
      <c r="F106" s="360"/>
      <c r="G106" s="480"/>
      <c r="H106" s="360"/>
      <c r="I106" s="480"/>
      <c r="J106" s="360"/>
      <c r="K106" s="480"/>
      <c r="L106" s="360"/>
      <c r="M106" s="480"/>
      <c r="N106" s="562"/>
      <c r="O106" s="343">
        <f t="shared" si="21"/>
        <v>47</v>
      </c>
      <c r="P106" s="343">
        <f t="shared" si="22"/>
        <v>-7</v>
      </c>
      <c r="Q106" s="7">
        <v>0.88</v>
      </c>
      <c r="R106" s="63" t="s">
        <v>798</v>
      </c>
      <c r="S106" s="118">
        <v>45992</v>
      </c>
      <c r="V106" s="81">
        <v>45323</v>
      </c>
      <c r="X106" s="14">
        <v>10</v>
      </c>
      <c r="Z106" s="28">
        <v>10</v>
      </c>
      <c r="AA106" s="205">
        <f t="shared" si="23"/>
        <v>20</v>
      </c>
      <c r="AB106" s="206">
        <f t="shared" si="24"/>
        <v>5</v>
      </c>
      <c r="AC106" s="206">
        <f t="shared" si="25"/>
        <v>20</v>
      </c>
      <c r="AD106" s="206">
        <f t="shared" si="26"/>
        <v>40</v>
      </c>
    </row>
    <row r="107" spans="1:30" ht="15" customHeight="1" x14ac:dyDescent="0.25">
      <c r="A107" s="314">
        <f t="shared" si="20"/>
        <v>106</v>
      </c>
      <c r="B107" s="314" t="s">
        <v>31</v>
      </c>
      <c r="C107" s="340">
        <v>5</v>
      </c>
      <c r="D107" s="361"/>
      <c r="E107" s="482"/>
      <c r="F107" s="361"/>
      <c r="G107" s="482"/>
      <c r="H107" s="361"/>
      <c r="I107" s="482"/>
      <c r="J107" s="361"/>
      <c r="K107" s="482"/>
      <c r="L107" s="361"/>
      <c r="M107" s="482"/>
      <c r="N107" s="563"/>
      <c r="O107" s="343">
        <f t="shared" si="21"/>
        <v>5</v>
      </c>
      <c r="P107" s="690">
        <f t="shared" si="22"/>
        <v>5</v>
      </c>
      <c r="Q107" s="7">
        <v>12</v>
      </c>
      <c r="R107" s="207" t="s">
        <v>1303</v>
      </c>
      <c r="S107" s="344">
        <v>46174</v>
      </c>
      <c r="T107" s="318">
        <v>10</v>
      </c>
      <c r="U107" s="318"/>
      <c r="V107" s="344">
        <v>45627</v>
      </c>
      <c r="W107" s="309">
        <v>1</v>
      </c>
      <c r="X107" s="309">
        <v>2</v>
      </c>
      <c r="Y107" s="309">
        <v>1</v>
      </c>
      <c r="Z107" s="309">
        <v>1</v>
      </c>
      <c r="AA107" s="205">
        <f t="shared" si="23"/>
        <v>5</v>
      </c>
      <c r="AB107" s="206">
        <f t="shared" si="24"/>
        <v>1.25</v>
      </c>
      <c r="AC107" s="206">
        <f t="shared" si="25"/>
        <v>5</v>
      </c>
      <c r="AD107" s="206">
        <f t="shared" si="26"/>
        <v>10</v>
      </c>
    </row>
    <row r="108" spans="1:30" ht="15" customHeight="1" x14ac:dyDescent="0.25">
      <c r="A108" s="314">
        <f t="shared" si="20"/>
        <v>107</v>
      </c>
      <c r="B108" s="4"/>
      <c r="C108" s="8"/>
      <c r="D108" s="359"/>
      <c r="E108" s="478"/>
      <c r="F108" s="360"/>
      <c r="G108" s="480"/>
      <c r="H108" s="360"/>
      <c r="I108" s="480"/>
      <c r="J108" s="360"/>
      <c r="K108" s="480"/>
      <c r="L108" s="360"/>
      <c r="M108" s="480"/>
      <c r="N108" s="562"/>
      <c r="O108" s="343">
        <f t="shared" si="21"/>
        <v>0</v>
      </c>
      <c r="P108" s="343">
        <f t="shared" si="22"/>
        <v>0</v>
      </c>
      <c r="Q108" s="10"/>
      <c r="R108" s="63"/>
      <c r="AA108" s="205">
        <f t="shared" si="23"/>
        <v>0</v>
      </c>
      <c r="AB108" s="206">
        <f t="shared" si="24"/>
        <v>0</v>
      </c>
      <c r="AC108" s="206">
        <f t="shared" si="25"/>
        <v>0</v>
      </c>
      <c r="AD108" s="206">
        <f t="shared" si="26"/>
        <v>0</v>
      </c>
    </row>
    <row r="109" spans="1:30" ht="15" customHeight="1" x14ac:dyDescent="0.25">
      <c r="A109" s="314">
        <f t="shared" si="20"/>
        <v>108</v>
      </c>
      <c r="B109" s="4"/>
      <c r="C109" s="9"/>
      <c r="D109" s="359"/>
      <c r="E109" s="478"/>
      <c r="F109" s="360"/>
      <c r="G109" s="480"/>
      <c r="H109" s="360"/>
      <c r="I109" s="480"/>
      <c r="J109" s="360"/>
      <c r="K109" s="480"/>
      <c r="L109" s="360"/>
      <c r="M109" s="480"/>
      <c r="N109" s="562"/>
      <c r="O109" s="343">
        <f t="shared" si="21"/>
        <v>0</v>
      </c>
      <c r="P109" s="343">
        <f t="shared" si="22"/>
        <v>0</v>
      </c>
      <c r="Q109" s="10"/>
      <c r="R109" s="63"/>
      <c r="AA109" s="205">
        <f t="shared" si="23"/>
        <v>0</v>
      </c>
      <c r="AB109" s="206">
        <f t="shared" si="24"/>
        <v>0</v>
      </c>
      <c r="AC109" s="206">
        <f t="shared" si="25"/>
        <v>0</v>
      </c>
      <c r="AD109" s="206">
        <f t="shared" si="26"/>
        <v>0</v>
      </c>
    </row>
    <row r="110" spans="1:30" ht="15" customHeight="1" x14ac:dyDescent="0.25">
      <c r="A110" s="314">
        <f t="shared" si="20"/>
        <v>109</v>
      </c>
      <c r="B110" s="4"/>
      <c r="C110" s="9"/>
      <c r="D110" s="359"/>
      <c r="E110" s="478"/>
      <c r="F110" s="360"/>
      <c r="G110" s="480"/>
      <c r="H110" s="360"/>
      <c r="I110" s="480"/>
      <c r="J110" s="360"/>
      <c r="K110" s="480"/>
      <c r="L110" s="360"/>
      <c r="M110" s="480"/>
      <c r="N110" s="562"/>
      <c r="O110" s="343">
        <f t="shared" si="21"/>
        <v>0</v>
      </c>
      <c r="P110" s="343">
        <f t="shared" si="22"/>
        <v>0</v>
      </c>
      <c r="Q110" s="10"/>
      <c r="R110" s="63"/>
      <c r="AA110" s="205">
        <f t="shared" si="23"/>
        <v>0</v>
      </c>
      <c r="AB110" s="206">
        <f t="shared" si="24"/>
        <v>0</v>
      </c>
      <c r="AC110" s="206">
        <f t="shared" si="25"/>
        <v>0</v>
      </c>
      <c r="AD110" s="206">
        <f t="shared" si="26"/>
        <v>0</v>
      </c>
    </row>
    <row r="111" spans="1:30" ht="15" customHeight="1" x14ac:dyDescent="0.25">
      <c r="A111" s="314">
        <f t="shared" si="20"/>
        <v>110</v>
      </c>
      <c r="B111" s="4"/>
      <c r="C111" s="9"/>
      <c r="D111" s="359"/>
      <c r="E111" s="478"/>
      <c r="F111" s="360"/>
      <c r="G111" s="480"/>
      <c r="H111" s="360"/>
      <c r="I111" s="480"/>
      <c r="J111" s="360"/>
      <c r="K111" s="480"/>
      <c r="L111" s="360"/>
      <c r="M111" s="480"/>
      <c r="N111" s="562"/>
      <c r="O111" s="343">
        <f t="shared" si="21"/>
        <v>0</v>
      </c>
      <c r="P111" s="343">
        <f t="shared" si="22"/>
        <v>0</v>
      </c>
      <c r="Q111" s="10"/>
      <c r="R111" s="63"/>
      <c r="AA111" s="205">
        <f t="shared" si="23"/>
        <v>0</v>
      </c>
      <c r="AB111" s="206">
        <f t="shared" si="24"/>
        <v>0</v>
      </c>
      <c r="AC111" s="206">
        <f t="shared" si="25"/>
        <v>0</v>
      </c>
      <c r="AD111" s="206">
        <f t="shared" si="26"/>
        <v>0</v>
      </c>
    </row>
    <row r="112" spans="1:30" ht="15" customHeight="1" x14ac:dyDescent="0.25">
      <c r="A112" s="314">
        <f t="shared" si="20"/>
        <v>111</v>
      </c>
      <c r="B112" s="3"/>
      <c r="C112" s="8"/>
      <c r="D112" s="359"/>
      <c r="E112" s="478"/>
      <c r="F112" s="360"/>
      <c r="G112" s="480"/>
      <c r="H112" s="360"/>
      <c r="I112" s="480"/>
      <c r="J112" s="360"/>
      <c r="K112" s="480"/>
      <c r="L112" s="360"/>
      <c r="M112" s="480"/>
      <c r="N112" s="562"/>
      <c r="O112" s="343">
        <f t="shared" si="21"/>
        <v>0</v>
      </c>
      <c r="P112" s="343">
        <f t="shared" si="22"/>
        <v>0</v>
      </c>
      <c r="Q112" s="10"/>
      <c r="R112" s="63"/>
      <c r="AA112" s="205">
        <f t="shared" si="23"/>
        <v>0</v>
      </c>
      <c r="AB112" s="206">
        <f t="shared" si="24"/>
        <v>0</v>
      </c>
      <c r="AC112" s="206">
        <f t="shared" si="25"/>
        <v>0</v>
      </c>
      <c r="AD112" s="206">
        <f t="shared" si="26"/>
        <v>0</v>
      </c>
    </row>
    <row r="113" spans="1:18" ht="15" customHeight="1" x14ac:dyDescent="0.25">
      <c r="A113" s="314">
        <f t="shared" si="20"/>
        <v>112</v>
      </c>
      <c r="B113" s="4"/>
      <c r="C113" s="9"/>
      <c r="D113" s="359"/>
      <c r="E113" s="478"/>
      <c r="F113" s="360"/>
      <c r="G113" s="480"/>
      <c r="H113" s="360"/>
      <c r="I113" s="480"/>
      <c r="J113" s="360"/>
      <c r="K113" s="480"/>
      <c r="L113" s="360"/>
      <c r="M113" s="480"/>
      <c r="N113" s="562"/>
      <c r="O113" s="47"/>
      <c r="P113" s="338"/>
      <c r="Q113" s="10"/>
      <c r="R113" s="63"/>
    </row>
    <row r="114" spans="1:18" ht="15" customHeight="1" x14ac:dyDescent="0.25">
      <c r="A114" s="3"/>
      <c r="B114" s="4"/>
      <c r="C114" s="9"/>
      <c r="D114" s="359"/>
      <c r="E114" s="478"/>
      <c r="F114" s="360"/>
      <c r="G114" s="480"/>
      <c r="H114" s="360"/>
      <c r="I114" s="480"/>
      <c r="J114" s="360"/>
      <c r="K114" s="480"/>
      <c r="L114" s="360"/>
      <c r="M114" s="480"/>
      <c r="N114" s="562"/>
      <c r="O114" s="47"/>
      <c r="P114" s="338"/>
      <c r="Q114" s="10"/>
      <c r="R114" s="63"/>
    </row>
    <row r="115" spans="1:18" ht="15" customHeight="1" x14ac:dyDescent="0.25">
      <c r="A115" s="3"/>
      <c r="B115" s="4"/>
      <c r="C115" s="9"/>
      <c r="D115" s="359"/>
      <c r="E115" s="478"/>
      <c r="F115" s="360"/>
      <c r="G115" s="480"/>
      <c r="H115" s="360"/>
      <c r="I115" s="480"/>
      <c r="J115" s="360"/>
      <c r="K115" s="480"/>
      <c r="L115" s="360"/>
      <c r="M115" s="480"/>
      <c r="N115" s="562"/>
      <c r="O115" s="47"/>
      <c r="P115" s="338"/>
      <c r="Q115" s="10"/>
      <c r="R115" s="63"/>
    </row>
    <row r="116" spans="1:18" ht="15" customHeight="1" x14ac:dyDescent="0.25">
      <c r="A116" s="3"/>
      <c r="B116" s="4"/>
      <c r="C116" s="9"/>
      <c r="D116" s="359"/>
      <c r="E116" s="478"/>
      <c r="F116" s="360"/>
      <c r="G116" s="480"/>
      <c r="H116" s="360"/>
      <c r="I116" s="480"/>
      <c r="J116" s="360"/>
      <c r="K116" s="480"/>
      <c r="L116" s="360"/>
      <c r="M116" s="480"/>
      <c r="N116" s="562"/>
      <c r="O116" s="47"/>
      <c r="P116" s="338"/>
      <c r="Q116" s="10"/>
      <c r="R116" s="63"/>
    </row>
    <row r="117" spans="1:18" ht="15" customHeight="1" x14ac:dyDescent="0.25">
      <c r="A117" s="3"/>
      <c r="B117" s="4"/>
      <c r="C117" s="9"/>
      <c r="D117" s="359"/>
      <c r="E117" s="478"/>
      <c r="F117" s="360"/>
      <c r="G117" s="480"/>
      <c r="H117" s="360"/>
      <c r="I117" s="480"/>
      <c r="J117" s="360"/>
      <c r="K117" s="480"/>
      <c r="L117" s="360"/>
      <c r="M117" s="480"/>
      <c r="N117" s="562"/>
      <c r="O117" s="47"/>
      <c r="P117" s="338"/>
      <c r="Q117" s="10"/>
      <c r="R117" s="63"/>
    </row>
    <row r="118" spans="1:18" ht="15" customHeight="1" x14ac:dyDescent="0.25">
      <c r="A118" s="3"/>
      <c r="B118" s="4"/>
      <c r="C118" s="9"/>
      <c r="D118" s="359"/>
      <c r="E118" s="478"/>
      <c r="F118" s="360"/>
      <c r="G118" s="480"/>
      <c r="H118" s="360"/>
      <c r="I118" s="480"/>
      <c r="J118" s="360"/>
      <c r="K118" s="480"/>
      <c r="L118" s="360"/>
      <c r="M118" s="480"/>
      <c r="N118" s="562"/>
      <c r="O118" s="47"/>
      <c r="P118" s="338"/>
      <c r="Q118" s="10"/>
      <c r="R118" s="63"/>
    </row>
    <row r="119" spans="1:18" ht="15" customHeight="1" x14ac:dyDescent="0.25">
      <c r="A119" s="3"/>
      <c r="B119" s="4"/>
      <c r="C119" s="9"/>
      <c r="D119" s="359"/>
      <c r="E119" s="478"/>
      <c r="F119" s="360"/>
      <c r="G119" s="480"/>
      <c r="H119" s="360"/>
      <c r="I119" s="480"/>
      <c r="J119" s="360"/>
      <c r="K119" s="480"/>
      <c r="L119" s="360"/>
      <c r="M119" s="480"/>
      <c r="N119" s="562"/>
      <c r="O119" s="47"/>
      <c r="P119" s="338"/>
      <c r="Q119" s="10"/>
      <c r="R119" s="63"/>
    </row>
    <row r="120" spans="1:18" ht="15" customHeight="1" x14ac:dyDescent="0.25">
      <c r="A120" s="3"/>
      <c r="B120" s="4"/>
      <c r="C120" s="8"/>
      <c r="D120" s="359"/>
      <c r="E120" s="478"/>
      <c r="F120" s="360"/>
      <c r="G120" s="480"/>
      <c r="H120" s="360"/>
      <c r="I120" s="480"/>
      <c r="J120" s="360"/>
      <c r="K120" s="480"/>
      <c r="L120" s="360"/>
      <c r="M120" s="480"/>
      <c r="N120" s="562"/>
      <c r="O120" s="47"/>
      <c r="P120" s="338"/>
      <c r="Q120" s="10"/>
      <c r="R120" s="63"/>
    </row>
    <row r="121" spans="1:18" ht="15" customHeight="1" x14ac:dyDescent="0.25">
      <c r="A121" s="3"/>
      <c r="B121" s="4"/>
      <c r="C121" s="9"/>
      <c r="D121" s="359"/>
      <c r="E121" s="478"/>
      <c r="F121" s="360"/>
      <c r="G121" s="480"/>
      <c r="H121" s="360"/>
      <c r="I121" s="480"/>
      <c r="J121" s="360"/>
      <c r="K121" s="480"/>
      <c r="L121" s="360"/>
      <c r="M121" s="480"/>
      <c r="N121" s="562"/>
      <c r="O121" s="47"/>
      <c r="P121" s="338"/>
      <c r="Q121" s="10"/>
      <c r="R121" s="63"/>
    </row>
    <row r="122" spans="1:18" ht="15" customHeight="1" x14ac:dyDescent="0.25">
      <c r="A122" s="3"/>
      <c r="B122" s="4"/>
      <c r="C122" s="9"/>
      <c r="D122" s="359"/>
      <c r="E122" s="478"/>
      <c r="F122" s="360"/>
      <c r="G122" s="480"/>
      <c r="H122" s="360"/>
      <c r="I122" s="480"/>
      <c r="J122" s="360"/>
      <c r="K122" s="480"/>
      <c r="L122" s="360"/>
      <c r="M122" s="480"/>
      <c r="N122" s="562"/>
      <c r="O122" s="47"/>
      <c r="P122" s="338"/>
      <c r="Q122" s="10"/>
      <c r="R122" s="64"/>
    </row>
    <row r="123" spans="1:18" ht="15" customHeight="1" x14ac:dyDescent="0.25">
      <c r="A123" s="3"/>
      <c r="B123" s="4"/>
      <c r="C123" s="9"/>
      <c r="D123" s="359"/>
      <c r="E123" s="478"/>
      <c r="F123" s="360"/>
      <c r="G123" s="480"/>
      <c r="H123" s="360"/>
      <c r="I123" s="480"/>
      <c r="J123" s="360"/>
      <c r="K123" s="480"/>
      <c r="L123" s="360"/>
      <c r="M123" s="480"/>
      <c r="N123" s="562"/>
      <c r="O123" s="47"/>
      <c r="P123" s="338"/>
      <c r="Q123" s="10"/>
      <c r="R123" s="63"/>
    </row>
    <row r="124" spans="1:18" ht="15" customHeight="1" x14ac:dyDescent="0.25">
      <c r="A124" s="3"/>
      <c r="B124" s="4"/>
      <c r="C124" s="9"/>
      <c r="D124" s="359"/>
      <c r="E124" s="478"/>
      <c r="F124" s="360"/>
      <c r="G124" s="480"/>
      <c r="H124" s="360"/>
      <c r="I124" s="480"/>
      <c r="J124" s="360"/>
      <c r="K124" s="480"/>
      <c r="L124" s="360"/>
      <c r="M124" s="480"/>
      <c r="N124" s="562"/>
      <c r="O124" s="47"/>
      <c r="P124" s="338"/>
      <c r="Q124" s="10"/>
      <c r="R124" s="63"/>
    </row>
    <row r="125" spans="1:18" ht="15" customHeight="1" x14ac:dyDescent="0.25">
      <c r="A125" s="3"/>
      <c r="B125" s="4"/>
      <c r="C125" s="8"/>
      <c r="D125" s="359"/>
      <c r="E125" s="478"/>
      <c r="F125" s="360"/>
      <c r="G125" s="480"/>
      <c r="H125" s="360"/>
      <c r="I125" s="480"/>
      <c r="J125" s="360"/>
      <c r="K125" s="480"/>
      <c r="L125" s="360"/>
      <c r="M125" s="480"/>
      <c r="N125" s="562"/>
      <c r="O125" s="47"/>
      <c r="P125" s="338"/>
      <c r="Q125" s="10"/>
      <c r="R125" s="63"/>
    </row>
    <row r="126" spans="1:18" ht="15" customHeight="1" x14ac:dyDescent="0.25">
      <c r="A126" s="3"/>
      <c r="B126" s="4"/>
      <c r="C126" s="9"/>
      <c r="D126" s="359"/>
      <c r="E126" s="478"/>
      <c r="F126" s="360"/>
      <c r="G126" s="480"/>
      <c r="H126" s="360"/>
      <c r="I126" s="480"/>
      <c r="J126" s="360"/>
      <c r="K126" s="480"/>
      <c r="L126" s="360"/>
      <c r="M126" s="480"/>
      <c r="N126" s="562"/>
      <c r="O126" s="47"/>
      <c r="P126" s="338"/>
      <c r="Q126" s="10"/>
      <c r="R126" s="63"/>
    </row>
    <row r="127" spans="1:18" ht="15" customHeight="1" x14ac:dyDescent="0.25">
      <c r="A127" s="3"/>
      <c r="B127" s="4"/>
      <c r="C127" s="9"/>
      <c r="D127" s="359"/>
      <c r="E127" s="478"/>
      <c r="F127" s="360"/>
      <c r="G127" s="480"/>
      <c r="H127" s="360"/>
      <c r="I127" s="480"/>
      <c r="J127" s="360"/>
      <c r="K127" s="480"/>
      <c r="L127" s="360"/>
      <c r="M127" s="480"/>
      <c r="N127" s="562"/>
      <c r="O127" s="47"/>
      <c r="P127" s="338"/>
      <c r="Q127" s="10"/>
      <c r="R127" s="63"/>
    </row>
    <row r="128" spans="1:18" ht="15" customHeight="1" x14ac:dyDescent="0.25">
      <c r="A128" s="3"/>
      <c r="B128" s="4"/>
      <c r="C128" s="9"/>
      <c r="D128" s="359"/>
      <c r="E128" s="478"/>
      <c r="F128" s="360"/>
      <c r="G128" s="480"/>
      <c r="H128" s="360"/>
      <c r="I128" s="480"/>
      <c r="J128" s="360"/>
      <c r="K128" s="480"/>
      <c r="L128" s="360"/>
      <c r="M128" s="480"/>
      <c r="N128" s="562"/>
      <c r="O128" s="47"/>
      <c r="P128" s="338"/>
      <c r="Q128" s="10"/>
      <c r="R128" s="63"/>
    </row>
    <row r="129" spans="1:18" ht="15" customHeight="1" x14ac:dyDescent="0.25">
      <c r="A129" s="3"/>
      <c r="B129" s="4"/>
      <c r="C129" s="9"/>
      <c r="D129" s="359"/>
      <c r="E129" s="478"/>
      <c r="F129" s="360"/>
      <c r="G129" s="480"/>
      <c r="H129" s="360"/>
      <c r="I129" s="480"/>
      <c r="J129" s="360"/>
      <c r="K129" s="480"/>
      <c r="L129" s="360"/>
      <c r="M129" s="480"/>
      <c r="N129" s="562"/>
      <c r="O129" s="47"/>
      <c r="P129" s="338"/>
      <c r="Q129" s="10"/>
      <c r="R129" s="63"/>
    </row>
    <row r="130" spans="1:18" ht="15" customHeight="1" x14ac:dyDescent="0.25">
      <c r="A130" s="3"/>
      <c r="B130" s="4"/>
      <c r="C130" s="9"/>
      <c r="D130" s="359"/>
      <c r="E130" s="478"/>
      <c r="F130" s="360"/>
      <c r="G130" s="480"/>
      <c r="H130" s="360"/>
      <c r="I130" s="480"/>
      <c r="J130" s="360"/>
      <c r="K130" s="480"/>
      <c r="L130" s="360"/>
      <c r="M130" s="480"/>
      <c r="N130" s="562"/>
      <c r="O130" s="47"/>
      <c r="P130" s="338"/>
      <c r="Q130" s="10"/>
      <c r="R130" s="63"/>
    </row>
    <row r="131" spans="1:18" ht="15" customHeight="1" x14ac:dyDescent="0.25">
      <c r="A131" s="3"/>
      <c r="B131" s="4"/>
      <c r="C131" s="9"/>
      <c r="D131" s="359"/>
      <c r="E131" s="478"/>
      <c r="F131" s="360"/>
      <c r="G131" s="480"/>
      <c r="H131" s="360"/>
      <c r="I131" s="480"/>
      <c r="J131" s="360"/>
      <c r="K131" s="480"/>
      <c r="L131" s="360"/>
      <c r="M131" s="480"/>
      <c r="N131" s="562"/>
      <c r="O131" s="47"/>
      <c r="P131" s="338"/>
      <c r="Q131" s="10"/>
      <c r="R131" s="63"/>
    </row>
    <row r="132" spans="1:18" ht="15" customHeight="1" x14ac:dyDescent="0.25">
      <c r="A132" s="3"/>
      <c r="B132" s="4"/>
      <c r="C132" s="8"/>
      <c r="D132" s="359"/>
      <c r="E132" s="478"/>
      <c r="F132" s="360"/>
      <c r="G132" s="480"/>
      <c r="H132" s="360"/>
      <c r="I132" s="480"/>
      <c r="J132" s="360"/>
      <c r="K132" s="480"/>
      <c r="L132" s="360"/>
      <c r="M132" s="480"/>
      <c r="N132" s="562"/>
      <c r="O132" s="47"/>
      <c r="P132" s="338"/>
      <c r="Q132" s="10"/>
      <c r="R132" s="63"/>
    </row>
    <row r="133" spans="1:18" ht="15" customHeight="1" x14ac:dyDescent="0.25">
      <c r="A133" s="3"/>
      <c r="B133" s="4"/>
      <c r="C133" s="9"/>
      <c r="D133" s="359"/>
      <c r="E133" s="478"/>
      <c r="F133" s="360"/>
      <c r="G133" s="480"/>
      <c r="H133" s="360"/>
      <c r="I133" s="480"/>
      <c r="J133" s="360"/>
      <c r="K133" s="480"/>
      <c r="L133" s="360"/>
      <c r="M133" s="480"/>
      <c r="N133" s="562"/>
      <c r="O133" s="47"/>
      <c r="P133" s="338"/>
      <c r="Q133" s="10"/>
      <c r="R133" s="63"/>
    </row>
    <row r="134" spans="1:18" ht="15" customHeight="1" x14ac:dyDescent="0.25">
      <c r="A134" s="3"/>
      <c r="B134" s="4"/>
      <c r="C134" s="9"/>
      <c r="D134" s="359"/>
      <c r="E134" s="478"/>
      <c r="F134" s="360"/>
      <c r="G134" s="480"/>
      <c r="H134" s="360"/>
      <c r="I134" s="480"/>
      <c r="J134" s="360"/>
      <c r="K134" s="480"/>
      <c r="L134" s="360"/>
      <c r="M134" s="480"/>
      <c r="N134" s="562"/>
      <c r="O134" s="47"/>
      <c r="P134" s="338"/>
      <c r="Q134" s="10"/>
      <c r="R134" s="63"/>
    </row>
    <row r="135" spans="1:18" ht="15" customHeight="1" x14ac:dyDescent="0.25">
      <c r="A135" s="3"/>
      <c r="B135" s="4"/>
      <c r="C135" s="9"/>
      <c r="D135" s="359"/>
      <c r="E135" s="478"/>
      <c r="F135" s="360"/>
      <c r="G135" s="480"/>
      <c r="H135" s="360"/>
      <c r="I135" s="480"/>
      <c r="J135" s="360"/>
      <c r="K135" s="480"/>
      <c r="L135" s="360"/>
      <c r="M135" s="480"/>
      <c r="N135" s="562"/>
      <c r="O135" s="47"/>
      <c r="P135" s="338"/>
      <c r="Q135" s="10"/>
      <c r="R135" s="63"/>
    </row>
    <row r="136" spans="1:18" ht="15" customHeight="1" x14ac:dyDescent="0.25">
      <c r="A136" s="3"/>
      <c r="B136" s="4"/>
      <c r="C136" s="9"/>
      <c r="D136" s="359"/>
      <c r="E136" s="478"/>
      <c r="F136" s="360"/>
      <c r="G136" s="480"/>
      <c r="H136" s="360"/>
      <c r="I136" s="480"/>
      <c r="J136" s="360"/>
      <c r="K136" s="480"/>
      <c r="L136" s="360"/>
      <c r="M136" s="480"/>
      <c r="N136" s="562"/>
      <c r="O136" s="47"/>
      <c r="P136" s="338"/>
      <c r="Q136" s="10"/>
      <c r="R136" s="63"/>
    </row>
    <row r="137" spans="1:18" ht="15" customHeight="1" x14ac:dyDescent="0.25">
      <c r="A137" s="3"/>
      <c r="B137" s="4"/>
      <c r="C137" s="9"/>
      <c r="D137" s="359"/>
      <c r="E137" s="478"/>
      <c r="F137" s="360"/>
      <c r="G137" s="480"/>
      <c r="H137" s="360"/>
      <c r="I137" s="480"/>
      <c r="J137" s="360"/>
      <c r="K137" s="480"/>
      <c r="L137" s="360"/>
      <c r="M137" s="480"/>
      <c r="N137" s="562"/>
      <c r="O137" s="47"/>
      <c r="P137" s="338"/>
      <c r="Q137" s="10"/>
      <c r="R137" s="63"/>
    </row>
    <row r="138" spans="1:18" ht="15" customHeight="1" x14ac:dyDescent="0.25">
      <c r="A138" s="3"/>
      <c r="B138" s="4"/>
      <c r="C138" s="9"/>
      <c r="D138" s="359"/>
      <c r="E138" s="478"/>
      <c r="F138" s="360"/>
      <c r="G138" s="480"/>
      <c r="H138" s="360"/>
      <c r="I138" s="480"/>
      <c r="J138" s="360"/>
      <c r="K138" s="480"/>
      <c r="L138" s="360"/>
      <c r="M138" s="480"/>
      <c r="N138" s="562"/>
      <c r="O138" s="47"/>
      <c r="P138" s="338"/>
      <c r="Q138" s="10"/>
      <c r="R138" s="63"/>
    </row>
    <row r="139" spans="1:18" ht="15" customHeight="1" x14ac:dyDescent="0.25">
      <c r="A139" s="3"/>
      <c r="B139" s="4"/>
      <c r="C139" s="9"/>
      <c r="D139" s="359"/>
      <c r="E139" s="478"/>
      <c r="F139" s="360"/>
      <c r="G139" s="480"/>
      <c r="H139" s="360"/>
      <c r="I139" s="480"/>
      <c r="J139" s="360"/>
      <c r="K139" s="480"/>
      <c r="L139" s="360"/>
      <c r="M139" s="480"/>
      <c r="N139" s="562"/>
      <c r="O139" s="47"/>
      <c r="P139" s="338"/>
      <c r="Q139" s="10"/>
      <c r="R139" s="63"/>
    </row>
    <row r="140" spans="1:18" ht="15" customHeight="1" x14ac:dyDescent="0.25">
      <c r="A140" s="3"/>
      <c r="B140" s="4"/>
      <c r="C140" s="9"/>
      <c r="D140" s="359"/>
      <c r="E140" s="478"/>
      <c r="F140" s="360"/>
      <c r="G140" s="480"/>
      <c r="H140" s="360"/>
      <c r="I140" s="480"/>
      <c r="J140" s="360"/>
      <c r="K140" s="480"/>
      <c r="L140" s="360"/>
      <c r="M140" s="480"/>
      <c r="N140" s="562"/>
      <c r="O140" s="47"/>
      <c r="P140" s="338"/>
      <c r="Q140" s="10"/>
      <c r="R140" s="63"/>
    </row>
    <row r="141" spans="1:18" ht="15" customHeight="1" x14ac:dyDescent="0.25">
      <c r="A141" s="3"/>
      <c r="B141" s="4"/>
      <c r="C141" s="8"/>
      <c r="D141" s="359"/>
      <c r="E141" s="478"/>
      <c r="F141" s="360"/>
      <c r="G141" s="480"/>
      <c r="H141" s="360"/>
      <c r="I141" s="480"/>
      <c r="J141" s="360"/>
      <c r="K141" s="480"/>
      <c r="L141" s="360"/>
      <c r="M141" s="480"/>
      <c r="N141" s="562"/>
      <c r="O141" s="47"/>
      <c r="P141" s="338"/>
      <c r="Q141" s="10"/>
      <c r="R141" s="63"/>
    </row>
    <row r="142" spans="1:18" ht="15" customHeight="1" x14ac:dyDescent="0.25">
      <c r="A142" s="3"/>
      <c r="B142" s="4"/>
      <c r="C142" s="9"/>
      <c r="D142" s="359"/>
      <c r="E142" s="478"/>
      <c r="F142" s="360"/>
      <c r="G142" s="480"/>
      <c r="H142" s="360"/>
      <c r="I142" s="480"/>
      <c r="J142" s="360"/>
      <c r="K142" s="480"/>
      <c r="L142" s="360"/>
      <c r="M142" s="480"/>
      <c r="N142" s="562"/>
      <c r="O142" s="47"/>
      <c r="P142" s="338"/>
      <c r="Q142" s="10"/>
      <c r="R142" s="63"/>
    </row>
    <row r="143" spans="1:18" ht="15" customHeight="1" x14ac:dyDescent="0.25">
      <c r="A143" s="3"/>
      <c r="B143" s="4"/>
      <c r="C143" s="9"/>
      <c r="D143" s="359"/>
      <c r="E143" s="478"/>
      <c r="F143" s="360"/>
      <c r="G143" s="480"/>
      <c r="H143" s="360"/>
      <c r="I143" s="480"/>
      <c r="J143" s="360"/>
      <c r="K143" s="480"/>
      <c r="L143" s="360"/>
      <c r="M143" s="480"/>
      <c r="N143" s="562"/>
      <c r="O143" s="8"/>
      <c r="P143" s="338"/>
      <c r="Q143" s="10"/>
      <c r="R143" s="63"/>
    </row>
    <row r="144" spans="1:18" ht="15" customHeight="1" x14ac:dyDescent="0.25">
      <c r="A144" s="3"/>
      <c r="B144" s="4"/>
      <c r="C144" s="9"/>
      <c r="D144" s="369"/>
      <c r="E144" s="481"/>
      <c r="F144" s="376"/>
      <c r="G144" s="483"/>
      <c r="H144" s="376"/>
      <c r="I144" s="483"/>
      <c r="J144" s="376"/>
      <c r="K144" s="483"/>
      <c r="L144" s="376"/>
      <c r="M144" s="483"/>
      <c r="N144" s="574"/>
      <c r="O144" s="8"/>
      <c r="P144" s="338"/>
      <c r="Q144" s="10"/>
      <c r="R144" s="63"/>
    </row>
    <row r="145" spans="1:18" ht="15" customHeight="1" x14ac:dyDescent="0.25">
      <c r="A145" s="3"/>
      <c r="B145" s="4"/>
      <c r="C145" s="9"/>
      <c r="D145" s="359"/>
      <c r="E145" s="478"/>
      <c r="F145" s="360"/>
      <c r="G145" s="480"/>
      <c r="H145" s="360"/>
      <c r="I145" s="480"/>
      <c r="J145" s="360"/>
      <c r="K145" s="480"/>
      <c r="L145" s="360"/>
      <c r="M145" s="480"/>
      <c r="N145" s="562"/>
      <c r="O145" s="8"/>
      <c r="P145" s="338"/>
      <c r="Q145" s="10"/>
      <c r="R145" s="63"/>
    </row>
    <row r="146" spans="1:18" ht="15" customHeight="1" x14ac:dyDescent="0.25">
      <c r="A146" s="3"/>
      <c r="B146" s="4"/>
      <c r="C146" s="8"/>
      <c r="D146" s="369"/>
      <c r="E146" s="481"/>
      <c r="F146" s="376"/>
      <c r="G146" s="483"/>
      <c r="H146" s="376"/>
      <c r="I146" s="483"/>
      <c r="J146" s="376"/>
      <c r="K146" s="483"/>
      <c r="L146" s="376"/>
      <c r="M146" s="483"/>
      <c r="N146" s="574"/>
      <c r="O146" s="8"/>
      <c r="P146" s="338"/>
      <c r="Q146" s="10"/>
      <c r="R146" s="63"/>
    </row>
    <row r="147" spans="1:18" ht="15" customHeight="1" x14ac:dyDescent="0.25">
      <c r="A147" s="3"/>
      <c r="B147" s="4"/>
      <c r="C147" s="8"/>
      <c r="D147" s="359"/>
      <c r="E147" s="478"/>
      <c r="F147" s="360"/>
      <c r="G147" s="480"/>
      <c r="H147" s="360"/>
      <c r="I147" s="480"/>
      <c r="J147" s="360"/>
      <c r="K147" s="480"/>
      <c r="L147" s="360"/>
      <c r="M147" s="480"/>
      <c r="N147" s="562"/>
      <c r="O147" s="8"/>
      <c r="P147" s="338"/>
      <c r="Q147" s="10"/>
      <c r="R147" s="63"/>
    </row>
    <row r="148" spans="1:18" ht="15" customHeight="1" x14ac:dyDescent="0.25">
      <c r="A148" s="3"/>
      <c r="B148" s="4"/>
      <c r="C148" s="8"/>
      <c r="D148" s="359"/>
      <c r="E148" s="478"/>
      <c r="F148" s="360"/>
      <c r="G148" s="480"/>
      <c r="H148" s="360"/>
      <c r="I148" s="480"/>
      <c r="J148" s="360"/>
      <c r="K148" s="480"/>
      <c r="L148" s="360"/>
      <c r="M148" s="480"/>
      <c r="N148" s="562"/>
      <c r="O148" s="8"/>
      <c r="P148" s="338"/>
      <c r="Q148" s="10"/>
      <c r="R148" s="63"/>
    </row>
    <row r="149" spans="1:18" ht="15" customHeight="1" x14ac:dyDescent="0.25">
      <c r="A149" s="3"/>
      <c r="B149" s="4"/>
      <c r="C149" s="8"/>
      <c r="D149" s="359"/>
      <c r="E149" s="478"/>
      <c r="F149" s="360"/>
      <c r="G149" s="480"/>
      <c r="H149" s="360"/>
      <c r="I149" s="480"/>
      <c r="J149" s="360"/>
      <c r="K149" s="480"/>
      <c r="L149" s="360"/>
      <c r="M149" s="480"/>
      <c r="N149" s="562"/>
      <c r="O149" s="8"/>
      <c r="P149" s="338"/>
      <c r="Q149" s="10"/>
      <c r="R149" s="63"/>
    </row>
    <row r="150" spans="1:18" ht="15" customHeight="1" x14ac:dyDescent="0.25">
      <c r="A150" s="3"/>
      <c r="B150" s="4"/>
      <c r="C150" s="9"/>
      <c r="D150" s="369"/>
      <c r="E150" s="481"/>
      <c r="F150" s="376"/>
      <c r="G150" s="483"/>
      <c r="H150" s="376"/>
      <c r="I150" s="483"/>
      <c r="J150" s="376"/>
      <c r="K150" s="483"/>
      <c r="L150" s="376"/>
      <c r="M150" s="483"/>
      <c r="N150" s="574"/>
      <c r="O150" s="8"/>
      <c r="P150" s="338"/>
      <c r="Q150" s="10"/>
      <c r="R150" s="63"/>
    </row>
    <row r="151" spans="1:18" ht="15" customHeight="1" x14ac:dyDescent="0.25">
      <c r="A151" s="3"/>
      <c r="B151" s="4"/>
      <c r="C151" s="9"/>
      <c r="D151" s="369"/>
      <c r="E151" s="481"/>
      <c r="F151" s="376"/>
      <c r="G151" s="483"/>
      <c r="H151" s="376"/>
      <c r="I151" s="483"/>
      <c r="J151" s="376"/>
      <c r="K151" s="483"/>
      <c r="L151" s="376"/>
      <c r="M151" s="483"/>
      <c r="N151" s="574"/>
      <c r="O151" s="8"/>
      <c r="P151" s="338"/>
      <c r="Q151" s="10"/>
      <c r="R151" s="63"/>
    </row>
    <row r="152" spans="1:18" ht="15" customHeight="1" x14ac:dyDescent="0.25">
      <c r="A152" s="3"/>
      <c r="B152" s="4"/>
      <c r="C152" s="8"/>
      <c r="D152" s="369"/>
      <c r="E152" s="481"/>
      <c r="F152" s="376"/>
      <c r="G152" s="483"/>
      <c r="H152" s="376"/>
      <c r="I152" s="483"/>
      <c r="J152" s="376"/>
      <c r="K152" s="483"/>
      <c r="L152" s="376"/>
      <c r="M152" s="483"/>
      <c r="N152" s="574"/>
      <c r="O152" s="8"/>
      <c r="P152" s="338"/>
      <c r="Q152" s="10"/>
      <c r="R152" s="63"/>
    </row>
    <row r="153" spans="1:18" ht="15" customHeight="1" x14ac:dyDescent="0.25">
      <c r="A153" s="3"/>
      <c r="B153" s="4"/>
      <c r="C153" s="8"/>
      <c r="D153" s="359"/>
      <c r="E153" s="478"/>
      <c r="F153" s="360"/>
      <c r="G153" s="480"/>
      <c r="H153" s="360"/>
      <c r="I153" s="480"/>
      <c r="J153" s="360"/>
      <c r="K153" s="480"/>
      <c r="L153" s="360"/>
      <c r="M153" s="480"/>
      <c r="N153" s="562"/>
      <c r="O153" s="8"/>
      <c r="P153" s="338"/>
      <c r="Q153" s="10"/>
      <c r="R153" s="63"/>
    </row>
    <row r="154" spans="1:18" ht="15" customHeight="1" x14ac:dyDescent="0.25">
      <c r="A154" s="3"/>
      <c r="B154" s="4"/>
      <c r="C154" s="9"/>
      <c r="D154" s="369"/>
      <c r="E154" s="481"/>
      <c r="F154" s="376"/>
      <c r="G154" s="483"/>
      <c r="H154" s="376"/>
      <c r="I154" s="483"/>
      <c r="J154" s="376"/>
      <c r="K154" s="483"/>
      <c r="L154" s="376"/>
      <c r="M154" s="483"/>
      <c r="N154" s="574"/>
      <c r="O154" s="8"/>
      <c r="P154" s="338"/>
      <c r="Q154" s="10"/>
      <c r="R154" s="63"/>
    </row>
    <row r="155" spans="1:18" ht="15" customHeight="1" x14ac:dyDescent="0.25">
      <c r="A155" s="3"/>
      <c r="B155" s="4"/>
      <c r="C155" s="9"/>
      <c r="D155" s="369"/>
      <c r="E155" s="481"/>
      <c r="F155" s="376"/>
      <c r="G155" s="483"/>
      <c r="H155" s="376"/>
      <c r="I155" s="483"/>
      <c r="J155" s="376"/>
      <c r="K155" s="483"/>
      <c r="L155" s="376"/>
      <c r="M155" s="483"/>
      <c r="N155" s="574"/>
      <c r="O155" s="8"/>
      <c r="P155" s="338"/>
      <c r="Q155" s="10"/>
      <c r="R155" s="64"/>
    </row>
    <row r="156" spans="1:18" ht="15" customHeight="1" x14ac:dyDescent="0.25">
      <c r="A156" s="3"/>
      <c r="B156" s="4"/>
      <c r="C156" s="9"/>
      <c r="D156" s="369"/>
      <c r="E156" s="481"/>
      <c r="F156" s="376"/>
      <c r="G156" s="483"/>
      <c r="H156" s="376"/>
      <c r="I156" s="483"/>
      <c r="J156" s="376"/>
      <c r="K156" s="483"/>
      <c r="L156" s="376"/>
      <c r="M156" s="483"/>
      <c r="N156" s="574"/>
      <c r="O156" s="8"/>
      <c r="P156" s="338"/>
      <c r="Q156" s="10"/>
      <c r="R156" s="63"/>
    </row>
    <row r="157" spans="1:18" ht="15" customHeight="1" x14ac:dyDescent="0.25">
      <c r="A157" s="3"/>
      <c r="B157" s="4"/>
      <c r="C157" s="9"/>
      <c r="D157" s="369"/>
      <c r="E157" s="481"/>
      <c r="F157" s="376"/>
      <c r="G157" s="483"/>
      <c r="H157" s="376"/>
      <c r="I157" s="483"/>
      <c r="J157" s="376"/>
      <c r="K157" s="483"/>
      <c r="L157" s="376"/>
      <c r="M157" s="483"/>
      <c r="N157" s="574"/>
      <c r="O157" s="8"/>
      <c r="P157" s="338"/>
      <c r="Q157" s="10"/>
      <c r="R157" s="63"/>
    </row>
    <row r="158" spans="1:18" ht="15" customHeight="1" x14ac:dyDescent="0.25">
      <c r="A158" s="3"/>
      <c r="B158" s="4"/>
      <c r="C158" s="9"/>
      <c r="D158" s="359"/>
      <c r="E158" s="478"/>
      <c r="F158" s="360"/>
      <c r="G158" s="480"/>
      <c r="H158" s="360"/>
      <c r="I158" s="480"/>
      <c r="J158" s="360"/>
      <c r="K158" s="480"/>
      <c r="L158" s="360"/>
      <c r="M158" s="480"/>
      <c r="N158" s="562"/>
      <c r="O158" s="8"/>
      <c r="P158" s="338"/>
      <c r="Q158" s="10"/>
      <c r="R158" s="63"/>
    </row>
    <row r="159" spans="1:18" ht="15" customHeight="1" x14ac:dyDescent="0.25">
      <c r="A159" s="3"/>
      <c r="B159" s="4"/>
      <c r="C159" s="8"/>
      <c r="D159" s="369"/>
      <c r="E159" s="481"/>
      <c r="F159" s="376"/>
      <c r="G159" s="483"/>
      <c r="H159" s="376"/>
      <c r="I159" s="483"/>
      <c r="J159" s="376"/>
      <c r="K159" s="483"/>
      <c r="L159" s="376"/>
      <c r="M159" s="483"/>
      <c r="N159" s="574"/>
      <c r="O159" s="8"/>
      <c r="P159" s="338"/>
      <c r="Q159" s="10"/>
      <c r="R159" s="63"/>
    </row>
    <row r="160" spans="1:18" ht="15" customHeight="1" x14ac:dyDescent="0.25">
      <c r="A160" s="3"/>
      <c r="B160" s="4"/>
      <c r="C160" s="9"/>
      <c r="D160" s="359"/>
      <c r="E160" s="478"/>
      <c r="F160" s="360"/>
      <c r="G160" s="480"/>
      <c r="H160" s="360"/>
      <c r="I160" s="480"/>
      <c r="J160" s="360"/>
      <c r="K160" s="480"/>
      <c r="L160" s="360"/>
      <c r="M160" s="480"/>
      <c r="N160" s="562"/>
      <c r="O160" s="8"/>
      <c r="P160" s="338"/>
      <c r="Q160" s="10"/>
      <c r="R160" s="63"/>
    </row>
    <row r="161" spans="1:18" ht="15" customHeight="1" x14ac:dyDescent="0.25">
      <c r="A161" s="3"/>
      <c r="B161" s="4"/>
      <c r="C161" s="9"/>
      <c r="D161" s="369"/>
      <c r="E161" s="481"/>
      <c r="F161" s="376"/>
      <c r="G161" s="483"/>
      <c r="H161" s="376"/>
      <c r="I161" s="483"/>
      <c r="J161" s="376"/>
      <c r="K161" s="483"/>
      <c r="L161" s="376"/>
      <c r="M161" s="483"/>
      <c r="N161" s="574"/>
      <c r="O161" s="8"/>
      <c r="P161" s="338"/>
      <c r="Q161" s="10"/>
      <c r="R161" s="63"/>
    </row>
    <row r="162" spans="1:18" ht="15" customHeight="1" x14ac:dyDescent="0.25">
      <c r="A162" s="3"/>
      <c r="B162" s="4"/>
      <c r="C162" s="9"/>
      <c r="D162" s="369"/>
      <c r="E162" s="481"/>
      <c r="F162" s="376"/>
      <c r="G162" s="483"/>
      <c r="H162" s="376"/>
      <c r="I162" s="483"/>
      <c r="J162" s="376"/>
      <c r="K162" s="483"/>
      <c r="L162" s="376"/>
      <c r="M162" s="483"/>
      <c r="N162" s="574"/>
      <c r="O162" s="8"/>
      <c r="P162" s="338"/>
      <c r="Q162" s="10"/>
      <c r="R162" s="63"/>
    </row>
    <row r="163" spans="1:18" ht="15" customHeight="1" x14ac:dyDescent="0.25">
      <c r="A163" s="3"/>
      <c r="B163" s="4"/>
      <c r="C163" s="9"/>
      <c r="D163" s="369"/>
      <c r="E163" s="481"/>
      <c r="F163" s="376"/>
      <c r="G163" s="483"/>
      <c r="H163" s="376"/>
      <c r="I163" s="483"/>
      <c r="J163" s="376"/>
      <c r="K163" s="483"/>
      <c r="L163" s="376"/>
      <c r="M163" s="483"/>
      <c r="N163" s="574"/>
      <c r="O163" s="8"/>
      <c r="P163" s="338"/>
      <c r="Q163" s="10"/>
      <c r="R163" s="63"/>
    </row>
    <row r="164" spans="1:18" ht="15" customHeight="1" x14ac:dyDescent="0.25">
      <c r="A164" s="3"/>
      <c r="B164" s="4"/>
      <c r="C164" s="9"/>
      <c r="D164" s="369"/>
      <c r="E164" s="481"/>
      <c r="F164" s="376"/>
      <c r="G164" s="483"/>
      <c r="H164" s="376"/>
      <c r="I164" s="483"/>
      <c r="J164" s="376"/>
      <c r="K164" s="483"/>
      <c r="L164" s="376"/>
      <c r="M164" s="483"/>
      <c r="N164" s="574"/>
      <c r="O164" s="8"/>
      <c r="P164" s="338"/>
      <c r="Q164" s="10"/>
      <c r="R164" s="63"/>
    </row>
    <row r="165" spans="1:18" ht="15" customHeight="1" x14ac:dyDescent="0.25">
      <c r="A165" s="3"/>
      <c r="B165" s="4"/>
      <c r="C165" s="9"/>
      <c r="D165" s="369"/>
      <c r="E165" s="481"/>
      <c r="F165" s="376"/>
      <c r="G165" s="483"/>
      <c r="H165" s="376"/>
      <c r="I165" s="483"/>
      <c r="J165" s="376"/>
      <c r="K165" s="483"/>
      <c r="L165" s="376"/>
      <c r="M165" s="483"/>
      <c r="N165" s="574"/>
      <c r="O165" s="8"/>
      <c r="P165" s="338"/>
      <c r="Q165" s="10"/>
      <c r="R165" s="63"/>
    </row>
    <row r="166" spans="1:18" ht="15" customHeight="1" x14ac:dyDescent="0.25">
      <c r="A166" s="3"/>
      <c r="B166" s="4"/>
      <c r="C166" s="9"/>
      <c r="D166" s="359"/>
      <c r="E166" s="478"/>
      <c r="F166" s="360"/>
      <c r="G166" s="480"/>
      <c r="H166" s="360"/>
      <c r="I166" s="480"/>
      <c r="J166" s="360"/>
      <c r="K166" s="480"/>
      <c r="L166" s="360"/>
      <c r="M166" s="480"/>
      <c r="N166" s="562"/>
      <c r="O166" s="8"/>
      <c r="P166" s="338"/>
      <c r="Q166" s="10"/>
      <c r="R166" s="63"/>
    </row>
    <row r="167" spans="1:18" ht="15" customHeight="1" x14ac:dyDescent="0.25">
      <c r="A167" s="13">
        <v>1</v>
      </c>
      <c r="B167" s="4"/>
      <c r="C167" s="9"/>
      <c r="D167" s="369"/>
      <c r="E167" s="481"/>
      <c r="F167" s="376"/>
      <c r="G167" s="483"/>
      <c r="H167" s="376"/>
      <c r="I167" s="483"/>
      <c r="J167" s="376"/>
      <c r="K167" s="483"/>
      <c r="L167" s="376"/>
      <c r="M167" s="483"/>
      <c r="N167" s="574"/>
      <c r="O167" s="8"/>
      <c r="P167" s="338"/>
      <c r="Q167" s="10"/>
      <c r="R167" s="63"/>
    </row>
    <row r="168" spans="1:18" ht="15" customHeight="1" x14ac:dyDescent="0.25">
      <c r="A168" s="13">
        <f t="shared" ref="A168:A231" si="27">A167+1</f>
        <v>2</v>
      </c>
      <c r="B168" s="4"/>
      <c r="C168" s="9"/>
      <c r="D168" s="369"/>
      <c r="E168" s="481"/>
      <c r="F168" s="376"/>
      <c r="G168" s="483"/>
      <c r="H168" s="376"/>
      <c r="I168" s="483"/>
      <c r="J168" s="376"/>
      <c r="K168" s="483"/>
      <c r="L168" s="376"/>
      <c r="M168" s="483"/>
      <c r="N168" s="574"/>
      <c r="O168" s="8"/>
      <c r="P168" s="338"/>
      <c r="Q168" s="10"/>
      <c r="R168" s="63"/>
    </row>
    <row r="169" spans="1:18" ht="15" customHeight="1" x14ac:dyDescent="0.25">
      <c r="A169" s="13">
        <f t="shared" si="27"/>
        <v>3</v>
      </c>
      <c r="B169" s="4"/>
      <c r="C169" s="9"/>
      <c r="D169" s="369"/>
      <c r="E169" s="481"/>
      <c r="F169" s="376"/>
      <c r="G169" s="483"/>
      <c r="H169" s="376"/>
      <c r="I169" s="483"/>
      <c r="J169" s="376"/>
      <c r="K169" s="483"/>
      <c r="L169" s="376"/>
      <c r="M169" s="483"/>
      <c r="N169" s="574"/>
      <c r="O169" s="8"/>
      <c r="P169" s="338"/>
      <c r="R169" s="63"/>
    </row>
    <row r="170" spans="1:18" ht="15" customHeight="1" x14ac:dyDescent="0.25">
      <c r="A170" s="13">
        <f t="shared" si="27"/>
        <v>4</v>
      </c>
      <c r="B170" s="4"/>
      <c r="C170" s="8"/>
      <c r="D170" s="369"/>
      <c r="E170" s="481"/>
      <c r="F170" s="376"/>
      <c r="G170" s="483"/>
      <c r="H170" s="376"/>
      <c r="I170" s="483"/>
      <c r="J170" s="376"/>
      <c r="K170" s="483"/>
      <c r="L170" s="376"/>
      <c r="M170" s="483"/>
      <c r="N170" s="574"/>
      <c r="O170" s="8"/>
      <c r="P170" s="338"/>
      <c r="R170" s="63"/>
    </row>
    <row r="171" spans="1:18" ht="15" customHeight="1" x14ac:dyDescent="0.25">
      <c r="A171" s="13">
        <f t="shared" si="27"/>
        <v>5</v>
      </c>
      <c r="B171" s="4"/>
      <c r="C171" s="8"/>
      <c r="D171" s="359"/>
      <c r="E171" s="478"/>
      <c r="F171" s="360"/>
      <c r="G171" s="480"/>
      <c r="H171" s="360"/>
      <c r="I171" s="480"/>
      <c r="J171" s="360"/>
      <c r="K171" s="480"/>
      <c r="L171" s="360"/>
      <c r="M171" s="480"/>
      <c r="N171" s="562"/>
      <c r="O171" s="8"/>
      <c r="P171" s="338"/>
      <c r="R171" s="63"/>
    </row>
    <row r="172" spans="1:18" ht="15" customHeight="1" x14ac:dyDescent="0.25">
      <c r="A172" s="13">
        <f t="shared" si="27"/>
        <v>6</v>
      </c>
      <c r="B172" s="4"/>
      <c r="C172" s="8"/>
      <c r="D172" s="369"/>
      <c r="E172" s="481"/>
      <c r="F172" s="376"/>
      <c r="G172" s="483"/>
      <c r="H172" s="376"/>
      <c r="I172" s="483"/>
      <c r="J172" s="376"/>
      <c r="K172" s="483"/>
      <c r="L172" s="376"/>
      <c r="M172" s="483"/>
      <c r="N172" s="574"/>
      <c r="O172" s="8"/>
      <c r="P172" s="338"/>
      <c r="R172" s="63"/>
    </row>
    <row r="173" spans="1:18" ht="15" customHeight="1" x14ac:dyDescent="0.25">
      <c r="A173" s="13">
        <f t="shared" si="27"/>
        <v>7</v>
      </c>
      <c r="B173" s="4"/>
      <c r="C173" s="9"/>
      <c r="D173" s="369"/>
      <c r="E173" s="481"/>
      <c r="F173" s="376"/>
      <c r="G173" s="483"/>
      <c r="H173" s="376"/>
      <c r="I173" s="483"/>
      <c r="J173" s="376"/>
      <c r="K173" s="483"/>
      <c r="L173" s="376"/>
      <c r="M173" s="483"/>
      <c r="N173" s="574"/>
      <c r="O173" s="8"/>
      <c r="P173" s="338"/>
      <c r="Q173" s="10"/>
      <c r="R173" s="63"/>
    </row>
    <row r="174" spans="1:18" ht="15" customHeight="1" x14ac:dyDescent="0.25">
      <c r="A174" s="13">
        <f t="shared" si="27"/>
        <v>8</v>
      </c>
      <c r="B174" s="4"/>
      <c r="C174" s="9"/>
      <c r="D174" s="359"/>
      <c r="E174" s="478"/>
      <c r="F174" s="360"/>
      <c r="G174" s="480"/>
      <c r="H174" s="360"/>
      <c r="I174" s="480"/>
      <c r="J174" s="360"/>
      <c r="K174" s="480"/>
      <c r="L174" s="360"/>
      <c r="M174" s="480"/>
      <c r="N174" s="562"/>
      <c r="O174" s="8"/>
      <c r="P174" s="338"/>
      <c r="Q174" s="10"/>
      <c r="R174" s="63"/>
    </row>
    <row r="175" spans="1:18" ht="15" customHeight="1" x14ac:dyDescent="0.25">
      <c r="A175" s="13">
        <f t="shared" si="27"/>
        <v>9</v>
      </c>
      <c r="B175" s="4"/>
      <c r="C175" s="8"/>
      <c r="D175" s="369"/>
      <c r="E175" s="481"/>
      <c r="F175" s="376"/>
      <c r="G175" s="483"/>
      <c r="H175" s="376"/>
      <c r="I175" s="483"/>
      <c r="J175" s="376"/>
      <c r="K175" s="483"/>
      <c r="L175" s="376"/>
      <c r="M175" s="483"/>
      <c r="N175" s="574"/>
      <c r="O175" s="8"/>
      <c r="P175" s="338"/>
      <c r="Q175" s="10"/>
      <c r="R175" s="63"/>
    </row>
    <row r="176" spans="1:18" ht="15" customHeight="1" x14ac:dyDescent="0.25">
      <c r="A176" s="13">
        <f t="shared" si="27"/>
        <v>10</v>
      </c>
      <c r="B176" s="4"/>
      <c r="C176" s="9"/>
      <c r="D176" s="369"/>
      <c r="E176" s="481"/>
      <c r="F176" s="376"/>
      <c r="G176" s="483"/>
      <c r="H176" s="376"/>
      <c r="I176" s="483"/>
      <c r="J176" s="376"/>
      <c r="K176" s="483"/>
      <c r="L176" s="376"/>
      <c r="M176" s="483"/>
      <c r="N176" s="574"/>
      <c r="O176" s="8"/>
      <c r="P176" s="338"/>
      <c r="Q176" s="10"/>
      <c r="R176" s="63"/>
    </row>
    <row r="177" spans="1:18" ht="15" customHeight="1" x14ac:dyDescent="0.25">
      <c r="A177" s="13">
        <f t="shared" si="27"/>
        <v>11</v>
      </c>
      <c r="B177" s="4"/>
      <c r="C177" s="9"/>
      <c r="D177" s="359"/>
      <c r="E177" s="478"/>
      <c r="F177" s="360"/>
      <c r="G177" s="480"/>
      <c r="H177" s="360"/>
      <c r="I177" s="480"/>
      <c r="J177" s="360"/>
      <c r="K177" s="480"/>
      <c r="L177" s="360"/>
      <c r="M177" s="480"/>
      <c r="N177" s="562"/>
      <c r="O177" s="8"/>
      <c r="P177" s="338"/>
      <c r="Q177" s="10"/>
      <c r="R177" s="63"/>
    </row>
    <row r="178" spans="1:18" ht="15" customHeight="1" x14ac:dyDescent="0.25">
      <c r="A178" s="13">
        <f t="shared" si="27"/>
        <v>12</v>
      </c>
      <c r="B178" s="4"/>
      <c r="C178" s="9"/>
      <c r="D178" s="369"/>
      <c r="E178" s="481"/>
      <c r="F178" s="376"/>
      <c r="G178" s="483"/>
      <c r="H178" s="376"/>
      <c r="I178" s="483"/>
      <c r="J178" s="376"/>
      <c r="K178" s="483"/>
      <c r="L178" s="376"/>
      <c r="M178" s="483"/>
      <c r="N178" s="574"/>
      <c r="O178" s="8"/>
      <c r="P178" s="338"/>
      <c r="Q178" s="10"/>
      <c r="R178" s="63"/>
    </row>
    <row r="179" spans="1:18" ht="15" customHeight="1" x14ac:dyDescent="0.25">
      <c r="A179" s="13">
        <f t="shared" si="27"/>
        <v>13</v>
      </c>
      <c r="B179" s="4"/>
      <c r="C179" s="9"/>
      <c r="D179" s="369"/>
      <c r="E179" s="481"/>
      <c r="F179" s="376"/>
      <c r="G179" s="483"/>
      <c r="H179" s="376"/>
      <c r="I179" s="483"/>
      <c r="J179" s="376"/>
      <c r="K179" s="483"/>
      <c r="L179" s="376"/>
      <c r="M179" s="483"/>
      <c r="N179" s="574"/>
      <c r="O179" s="8"/>
      <c r="P179" s="338"/>
      <c r="Q179" s="10"/>
      <c r="R179" s="63"/>
    </row>
    <row r="180" spans="1:18" ht="15" customHeight="1" x14ac:dyDescent="0.25">
      <c r="A180" s="13">
        <f t="shared" si="27"/>
        <v>14</v>
      </c>
      <c r="B180" s="4"/>
      <c r="C180" s="9"/>
      <c r="D180" s="369"/>
      <c r="E180" s="481"/>
      <c r="F180" s="376"/>
      <c r="G180" s="483"/>
      <c r="H180" s="376"/>
      <c r="I180" s="483"/>
      <c r="J180" s="376"/>
      <c r="K180" s="483"/>
      <c r="L180" s="376"/>
      <c r="M180" s="483"/>
      <c r="N180" s="574"/>
      <c r="O180" s="8"/>
      <c r="P180" s="338"/>
      <c r="Q180" s="10"/>
      <c r="R180" s="63"/>
    </row>
    <row r="181" spans="1:18" ht="15" customHeight="1" x14ac:dyDescent="0.25">
      <c r="A181" s="13">
        <f t="shared" si="27"/>
        <v>15</v>
      </c>
      <c r="B181" s="4"/>
      <c r="C181" s="8"/>
      <c r="D181" s="369"/>
      <c r="E181" s="481"/>
      <c r="F181" s="376"/>
      <c r="G181" s="483"/>
      <c r="H181" s="376"/>
      <c r="I181" s="483"/>
      <c r="J181" s="376"/>
      <c r="K181" s="483"/>
      <c r="L181" s="376"/>
      <c r="M181" s="483"/>
      <c r="N181" s="574"/>
      <c r="O181" s="8"/>
      <c r="P181" s="338"/>
      <c r="Q181" s="10"/>
      <c r="R181" s="63"/>
    </row>
    <row r="182" spans="1:18" ht="15" customHeight="1" x14ac:dyDescent="0.25">
      <c r="A182" s="13">
        <f t="shared" si="27"/>
        <v>16</v>
      </c>
      <c r="B182" s="4"/>
      <c r="C182" s="9"/>
      <c r="D182" s="359"/>
      <c r="E182" s="478"/>
      <c r="F182" s="360"/>
      <c r="G182" s="480"/>
      <c r="H182" s="360"/>
      <c r="I182" s="480"/>
      <c r="J182" s="360"/>
      <c r="K182" s="480"/>
      <c r="L182" s="360"/>
      <c r="M182" s="480"/>
      <c r="N182" s="562"/>
      <c r="O182" s="8"/>
      <c r="P182" s="338"/>
      <c r="Q182" s="10"/>
      <c r="R182" s="63"/>
    </row>
    <row r="183" spans="1:18" ht="15" customHeight="1" x14ac:dyDescent="0.25">
      <c r="A183" s="13">
        <f t="shared" si="27"/>
        <v>17</v>
      </c>
      <c r="B183" s="4"/>
      <c r="C183" s="9"/>
      <c r="D183" s="369"/>
      <c r="E183" s="481"/>
      <c r="F183" s="376"/>
      <c r="G183" s="483"/>
      <c r="H183" s="376"/>
      <c r="I183" s="483"/>
      <c r="J183" s="376"/>
      <c r="K183" s="483"/>
      <c r="L183" s="376"/>
      <c r="M183" s="483"/>
      <c r="N183" s="574"/>
      <c r="O183" s="8"/>
      <c r="P183" s="338"/>
      <c r="Q183" s="10"/>
      <c r="R183" s="63"/>
    </row>
    <row r="184" spans="1:18" ht="15" customHeight="1" x14ac:dyDescent="0.25">
      <c r="A184" s="13">
        <f t="shared" si="27"/>
        <v>18</v>
      </c>
      <c r="B184" s="4"/>
      <c r="C184" s="9"/>
      <c r="D184" s="369"/>
      <c r="E184" s="481"/>
      <c r="F184" s="376"/>
      <c r="G184" s="483"/>
      <c r="H184" s="376"/>
      <c r="I184" s="483"/>
      <c r="J184" s="376"/>
      <c r="K184" s="483"/>
      <c r="L184" s="376"/>
      <c r="M184" s="483"/>
      <c r="N184" s="574"/>
      <c r="O184" s="8"/>
      <c r="P184" s="338"/>
      <c r="Q184" s="10"/>
      <c r="R184" s="63"/>
    </row>
    <row r="185" spans="1:18" ht="15" customHeight="1" x14ac:dyDescent="0.25">
      <c r="A185" s="13">
        <f t="shared" si="27"/>
        <v>19</v>
      </c>
      <c r="B185" s="4"/>
      <c r="C185" s="9"/>
      <c r="D185" s="369"/>
      <c r="E185" s="481"/>
      <c r="F185" s="376"/>
      <c r="G185" s="483"/>
      <c r="H185" s="376"/>
      <c r="I185" s="483"/>
      <c r="J185" s="376"/>
      <c r="K185" s="483"/>
      <c r="L185" s="376"/>
      <c r="M185" s="483"/>
      <c r="N185" s="574"/>
      <c r="O185" s="8"/>
      <c r="P185" s="338"/>
      <c r="Q185" s="10"/>
      <c r="R185" s="63"/>
    </row>
    <row r="186" spans="1:18" ht="15" customHeight="1" x14ac:dyDescent="0.25">
      <c r="A186" s="13">
        <f t="shared" si="27"/>
        <v>20</v>
      </c>
      <c r="B186" s="4"/>
      <c r="C186" s="9"/>
      <c r="D186" s="369"/>
      <c r="E186" s="481"/>
      <c r="F186" s="376"/>
      <c r="G186" s="483"/>
      <c r="H186" s="376"/>
      <c r="I186" s="483"/>
      <c r="J186" s="376"/>
      <c r="K186" s="483"/>
      <c r="L186" s="376"/>
      <c r="M186" s="483"/>
      <c r="N186" s="574"/>
      <c r="O186" s="8"/>
      <c r="P186" s="338"/>
      <c r="Q186" s="10"/>
      <c r="R186" s="63"/>
    </row>
    <row r="187" spans="1:18" ht="15" customHeight="1" x14ac:dyDescent="0.25">
      <c r="A187" s="13">
        <f t="shared" si="27"/>
        <v>21</v>
      </c>
      <c r="B187" s="4"/>
      <c r="C187" s="9"/>
      <c r="D187" s="359"/>
      <c r="E187" s="478"/>
      <c r="F187" s="360"/>
      <c r="G187" s="480"/>
      <c r="H187" s="360"/>
      <c r="I187" s="480"/>
      <c r="J187" s="360"/>
      <c r="K187" s="480"/>
      <c r="L187" s="360"/>
      <c r="M187" s="480"/>
      <c r="N187" s="562"/>
      <c r="O187" s="8"/>
      <c r="P187" s="338"/>
      <c r="Q187" s="10"/>
      <c r="R187" s="63"/>
    </row>
    <row r="188" spans="1:18" ht="15" customHeight="1" x14ac:dyDescent="0.25">
      <c r="A188" s="13">
        <f t="shared" si="27"/>
        <v>22</v>
      </c>
      <c r="B188" s="4"/>
      <c r="C188" s="9"/>
      <c r="D188" s="369"/>
      <c r="E188" s="481"/>
      <c r="F188" s="376"/>
      <c r="G188" s="483"/>
      <c r="H188" s="376"/>
      <c r="I188" s="483"/>
      <c r="J188" s="376"/>
      <c r="K188" s="483"/>
      <c r="L188" s="376"/>
      <c r="M188" s="483"/>
      <c r="N188" s="574"/>
      <c r="O188" s="8"/>
      <c r="P188" s="338"/>
      <c r="Q188" s="10"/>
      <c r="R188" s="63"/>
    </row>
    <row r="189" spans="1:18" ht="15" customHeight="1" x14ac:dyDescent="0.25">
      <c r="A189" s="13">
        <f t="shared" si="27"/>
        <v>23</v>
      </c>
      <c r="B189" s="4"/>
      <c r="C189" s="9"/>
      <c r="D189" s="369"/>
      <c r="E189" s="481"/>
      <c r="F189" s="376"/>
      <c r="G189" s="483"/>
      <c r="H189" s="376"/>
      <c r="I189" s="483"/>
      <c r="J189" s="376"/>
      <c r="K189" s="483"/>
      <c r="L189" s="376"/>
      <c r="M189" s="483"/>
      <c r="N189" s="574"/>
      <c r="O189" s="8"/>
      <c r="P189" s="338"/>
      <c r="Q189" s="10"/>
      <c r="R189" s="63"/>
    </row>
    <row r="190" spans="1:18" ht="15" customHeight="1" x14ac:dyDescent="0.25">
      <c r="A190" s="13">
        <f t="shared" si="27"/>
        <v>24</v>
      </c>
      <c r="B190" s="4"/>
      <c r="C190" s="9"/>
      <c r="D190" s="359"/>
      <c r="E190" s="478"/>
      <c r="F190" s="360"/>
      <c r="G190" s="480"/>
      <c r="H190" s="360"/>
      <c r="I190" s="480"/>
      <c r="J190" s="360"/>
      <c r="K190" s="480"/>
      <c r="L190" s="360"/>
      <c r="M190" s="480"/>
      <c r="N190" s="562"/>
      <c r="O190" s="8"/>
      <c r="P190" s="338"/>
      <c r="Q190" s="10"/>
      <c r="R190" s="63"/>
    </row>
    <row r="191" spans="1:18" ht="15" customHeight="1" x14ac:dyDescent="0.25">
      <c r="A191" s="13">
        <f t="shared" si="27"/>
        <v>25</v>
      </c>
      <c r="B191" s="4"/>
      <c r="C191" s="8"/>
      <c r="D191" s="369"/>
      <c r="E191" s="481"/>
      <c r="F191" s="376"/>
      <c r="G191" s="483"/>
      <c r="H191" s="376"/>
      <c r="I191" s="483"/>
      <c r="J191" s="376"/>
      <c r="K191" s="483"/>
      <c r="L191" s="376"/>
      <c r="M191" s="483"/>
      <c r="N191" s="574"/>
      <c r="O191" s="8"/>
      <c r="P191" s="338"/>
      <c r="Q191" s="10"/>
      <c r="R191" s="63"/>
    </row>
    <row r="192" spans="1:18" ht="15" customHeight="1" x14ac:dyDescent="0.25">
      <c r="A192" s="13">
        <f t="shared" si="27"/>
        <v>26</v>
      </c>
      <c r="B192" s="4"/>
      <c r="C192" s="9"/>
      <c r="D192" s="369"/>
      <c r="E192" s="481"/>
      <c r="F192" s="376"/>
      <c r="G192" s="483"/>
      <c r="H192" s="376"/>
      <c r="I192" s="483"/>
      <c r="J192" s="376"/>
      <c r="K192" s="483"/>
      <c r="L192" s="376"/>
      <c r="M192" s="483"/>
      <c r="N192" s="574"/>
      <c r="O192" s="8"/>
      <c r="P192" s="338"/>
      <c r="Q192" s="10"/>
      <c r="R192" s="63"/>
    </row>
    <row r="193" spans="1:18" ht="15" customHeight="1" x14ac:dyDescent="0.25">
      <c r="A193" s="13">
        <f t="shared" si="27"/>
        <v>27</v>
      </c>
      <c r="B193" s="4"/>
      <c r="C193" s="9"/>
      <c r="D193" s="359"/>
      <c r="E193" s="478"/>
      <c r="F193" s="360"/>
      <c r="G193" s="480"/>
      <c r="H193" s="360"/>
      <c r="I193" s="480"/>
      <c r="J193" s="360"/>
      <c r="K193" s="480"/>
      <c r="L193" s="360"/>
      <c r="M193" s="480"/>
      <c r="N193" s="562"/>
      <c r="O193" s="8"/>
      <c r="P193" s="338"/>
      <c r="Q193" s="10"/>
      <c r="R193" s="63"/>
    </row>
    <row r="194" spans="1:18" ht="15" customHeight="1" x14ac:dyDescent="0.25">
      <c r="A194" s="13">
        <f t="shared" si="27"/>
        <v>28</v>
      </c>
      <c r="B194" s="4"/>
      <c r="C194" s="8"/>
      <c r="D194" s="369"/>
      <c r="E194" s="481"/>
      <c r="F194" s="376"/>
      <c r="G194" s="483"/>
      <c r="H194" s="376"/>
      <c r="I194" s="483"/>
      <c r="J194" s="376"/>
      <c r="K194" s="483"/>
      <c r="L194" s="376"/>
      <c r="M194" s="483"/>
      <c r="N194" s="574"/>
      <c r="O194" s="8"/>
      <c r="P194" s="338"/>
      <c r="Q194" s="10"/>
      <c r="R194" s="64"/>
    </row>
    <row r="195" spans="1:18" ht="15" customHeight="1" x14ac:dyDescent="0.25">
      <c r="A195" s="13">
        <f t="shared" si="27"/>
        <v>29</v>
      </c>
      <c r="B195" s="4"/>
      <c r="C195" s="8"/>
      <c r="D195" s="369"/>
      <c r="E195" s="481"/>
      <c r="F195" s="376"/>
      <c r="G195" s="483"/>
      <c r="H195" s="376"/>
      <c r="I195" s="483"/>
      <c r="J195" s="376"/>
      <c r="K195" s="483"/>
      <c r="L195" s="376"/>
      <c r="M195" s="483"/>
      <c r="N195" s="574"/>
      <c r="O195" s="8"/>
      <c r="P195" s="338"/>
      <c r="Q195" s="10"/>
      <c r="R195" s="63"/>
    </row>
    <row r="196" spans="1:18" ht="15" customHeight="1" x14ac:dyDescent="0.25">
      <c r="A196" s="13">
        <f t="shared" si="27"/>
        <v>30</v>
      </c>
      <c r="B196" s="4"/>
      <c r="C196" s="9"/>
      <c r="D196" s="369"/>
      <c r="E196" s="481"/>
      <c r="F196" s="376"/>
      <c r="G196" s="483"/>
      <c r="H196" s="376"/>
      <c r="I196" s="483"/>
      <c r="J196" s="376"/>
      <c r="K196" s="483"/>
      <c r="L196" s="376"/>
      <c r="M196" s="483"/>
      <c r="N196" s="574"/>
      <c r="O196" s="8"/>
      <c r="P196" s="338"/>
      <c r="Q196" s="10"/>
      <c r="R196" s="63"/>
    </row>
    <row r="197" spans="1:18" ht="15" customHeight="1" x14ac:dyDescent="0.25">
      <c r="A197" s="13">
        <f t="shared" si="27"/>
        <v>31</v>
      </c>
      <c r="B197" s="4"/>
      <c r="C197" s="9"/>
      <c r="D197" s="369"/>
      <c r="E197" s="481"/>
      <c r="F197" s="376"/>
      <c r="G197" s="483"/>
      <c r="H197" s="376"/>
      <c r="I197" s="483"/>
      <c r="J197" s="376"/>
      <c r="K197" s="483"/>
      <c r="L197" s="376"/>
      <c r="M197" s="483"/>
      <c r="N197" s="574"/>
      <c r="O197" s="8"/>
      <c r="P197" s="338"/>
      <c r="Q197" s="10"/>
      <c r="R197" s="63"/>
    </row>
    <row r="198" spans="1:18" ht="15" customHeight="1" x14ac:dyDescent="0.25">
      <c r="A198" s="13">
        <f t="shared" si="27"/>
        <v>32</v>
      </c>
      <c r="B198" s="4"/>
      <c r="C198" s="9"/>
      <c r="D198" s="369"/>
      <c r="E198" s="481"/>
      <c r="F198" s="376"/>
      <c r="G198" s="483"/>
      <c r="H198" s="376"/>
      <c r="I198" s="483"/>
      <c r="J198" s="376"/>
      <c r="K198" s="483"/>
      <c r="L198" s="376"/>
      <c r="M198" s="483"/>
      <c r="N198" s="574"/>
      <c r="O198" s="8"/>
      <c r="P198" s="338"/>
      <c r="Q198" s="10"/>
      <c r="R198" s="63"/>
    </row>
    <row r="199" spans="1:18" ht="15" customHeight="1" x14ac:dyDescent="0.25">
      <c r="A199" s="13">
        <f t="shared" si="27"/>
        <v>33</v>
      </c>
      <c r="B199" s="4"/>
      <c r="C199" s="9"/>
      <c r="D199" s="369"/>
      <c r="E199" s="481"/>
      <c r="F199" s="376"/>
      <c r="G199" s="483"/>
      <c r="H199" s="376"/>
      <c r="I199" s="483"/>
      <c r="J199" s="376"/>
      <c r="K199" s="483"/>
      <c r="L199" s="376"/>
      <c r="M199" s="483"/>
      <c r="N199" s="574"/>
      <c r="O199" s="8"/>
      <c r="P199" s="338"/>
      <c r="Q199" s="10"/>
      <c r="R199" s="63"/>
    </row>
    <row r="200" spans="1:18" ht="15" customHeight="1" x14ac:dyDescent="0.25">
      <c r="A200" s="13">
        <f t="shared" si="27"/>
        <v>34</v>
      </c>
      <c r="B200" s="4"/>
      <c r="C200" s="8"/>
      <c r="D200" s="369"/>
      <c r="E200" s="481"/>
      <c r="F200" s="376"/>
      <c r="G200" s="483"/>
      <c r="H200" s="376"/>
      <c r="I200" s="483"/>
      <c r="J200" s="376"/>
      <c r="K200" s="483"/>
      <c r="L200" s="376"/>
      <c r="M200" s="483"/>
      <c r="N200" s="574"/>
      <c r="O200" s="8"/>
      <c r="P200" s="338"/>
      <c r="Q200" s="10"/>
      <c r="R200" s="63"/>
    </row>
    <row r="201" spans="1:18" ht="15" customHeight="1" x14ac:dyDescent="0.25">
      <c r="A201" s="13">
        <f t="shared" si="27"/>
        <v>35</v>
      </c>
      <c r="B201" s="4"/>
      <c r="C201" s="9"/>
      <c r="D201" s="369"/>
      <c r="E201" s="481"/>
      <c r="F201" s="376"/>
      <c r="G201" s="483"/>
      <c r="H201" s="376"/>
      <c r="I201" s="483"/>
      <c r="J201" s="376"/>
      <c r="K201" s="483"/>
      <c r="L201" s="376"/>
      <c r="M201" s="483"/>
      <c r="N201" s="574"/>
      <c r="O201" s="8"/>
      <c r="P201" s="338"/>
      <c r="Q201" s="10"/>
      <c r="R201" s="63"/>
    </row>
    <row r="202" spans="1:18" ht="15" customHeight="1" x14ac:dyDescent="0.25">
      <c r="A202" s="13">
        <f t="shared" si="27"/>
        <v>36</v>
      </c>
      <c r="B202" s="4"/>
      <c r="C202" s="9"/>
      <c r="D202" s="369"/>
      <c r="E202" s="481"/>
      <c r="F202" s="376"/>
      <c r="G202" s="483"/>
      <c r="H202" s="376"/>
      <c r="I202" s="483"/>
      <c r="J202" s="376"/>
      <c r="K202" s="483"/>
      <c r="L202" s="376"/>
      <c r="M202" s="483"/>
      <c r="N202" s="574"/>
      <c r="O202" s="8"/>
      <c r="P202" s="338"/>
      <c r="Q202" s="10"/>
      <c r="R202" s="63"/>
    </row>
    <row r="203" spans="1:18" ht="15" customHeight="1" x14ac:dyDescent="0.25">
      <c r="A203" s="13">
        <f t="shared" si="27"/>
        <v>37</v>
      </c>
      <c r="B203" s="4"/>
      <c r="C203" s="8"/>
      <c r="D203" s="359"/>
      <c r="E203" s="478"/>
      <c r="F203" s="360"/>
      <c r="G203" s="480"/>
      <c r="H203" s="360"/>
      <c r="I203" s="480"/>
      <c r="J203" s="360"/>
      <c r="K203" s="480"/>
      <c r="L203" s="360"/>
      <c r="M203" s="480"/>
      <c r="N203" s="562"/>
      <c r="O203" s="8"/>
      <c r="P203" s="338"/>
      <c r="Q203" s="10"/>
      <c r="R203" s="63"/>
    </row>
    <row r="204" spans="1:18" ht="15" customHeight="1" x14ac:dyDescent="0.25">
      <c r="A204" s="13">
        <f t="shared" si="27"/>
        <v>38</v>
      </c>
      <c r="B204" s="4"/>
      <c r="C204" s="9"/>
      <c r="D204" s="369"/>
      <c r="E204" s="481"/>
      <c r="F204" s="376"/>
      <c r="G204" s="483"/>
      <c r="H204" s="376"/>
      <c r="I204" s="483"/>
      <c r="J204" s="376"/>
      <c r="K204" s="483"/>
      <c r="L204" s="376"/>
      <c r="M204" s="483"/>
      <c r="N204" s="574"/>
      <c r="O204" s="8"/>
      <c r="P204" s="338"/>
      <c r="Q204" s="10"/>
      <c r="R204" s="63"/>
    </row>
    <row r="205" spans="1:18" ht="15" customHeight="1" x14ac:dyDescent="0.25">
      <c r="A205" s="13">
        <f t="shared" si="27"/>
        <v>39</v>
      </c>
      <c r="B205" s="4"/>
      <c r="C205" s="9"/>
      <c r="D205" s="369"/>
      <c r="E205" s="481"/>
      <c r="F205" s="376"/>
      <c r="G205" s="483"/>
      <c r="H205" s="376"/>
      <c r="I205" s="483"/>
      <c r="J205" s="376"/>
      <c r="K205" s="483"/>
      <c r="L205" s="376"/>
      <c r="M205" s="483"/>
      <c r="N205" s="574"/>
      <c r="O205" s="8"/>
      <c r="P205" s="338"/>
      <c r="Q205" s="10"/>
      <c r="R205" s="63"/>
    </row>
    <row r="206" spans="1:18" ht="15" customHeight="1" x14ac:dyDescent="0.25">
      <c r="A206" s="13">
        <f t="shared" si="27"/>
        <v>40</v>
      </c>
      <c r="B206" s="4"/>
      <c r="C206" s="8"/>
      <c r="D206" s="369"/>
      <c r="E206" s="481"/>
      <c r="F206" s="376"/>
      <c r="G206" s="483"/>
      <c r="H206" s="376"/>
      <c r="I206" s="483"/>
      <c r="J206" s="376"/>
      <c r="K206" s="483"/>
      <c r="L206" s="376"/>
      <c r="M206" s="483"/>
      <c r="N206" s="574"/>
      <c r="O206" s="8"/>
      <c r="P206" s="338"/>
      <c r="Q206" s="10"/>
      <c r="R206" s="63"/>
    </row>
    <row r="207" spans="1:18" ht="15" customHeight="1" x14ac:dyDescent="0.25">
      <c r="A207" s="13">
        <f t="shared" si="27"/>
        <v>41</v>
      </c>
      <c r="B207" s="4"/>
      <c r="C207" s="9"/>
      <c r="D207" s="369"/>
      <c r="E207" s="481"/>
      <c r="F207" s="376"/>
      <c r="G207" s="483"/>
      <c r="H207" s="376"/>
      <c r="I207" s="483"/>
      <c r="J207" s="376"/>
      <c r="K207" s="483"/>
      <c r="L207" s="376"/>
      <c r="M207" s="483"/>
      <c r="N207" s="574"/>
      <c r="O207" s="8"/>
      <c r="P207" s="338"/>
      <c r="Q207" s="10"/>
      <c r="R207" s="63"/>
    </row>
    <row r="208" spans="1:18" ht="15" customHeight="1" x14ac:dyDescent="0.25">
      <c r="A208" s="13">
        <f t="shared" si="27"/>
        <v>42</v>
      </c>
      <c r="B208" s="4"/>
      <c r="C208" s="9"/>
      <c r="D208" s="369"/>
      <c r="E208" s="481"/>
      <c r="F208" s="376"/>
      <c r="G208" s="483"/>
      <c r="H208" s="376"/>
      <c r="I208" s="483"/>
      <c r="J208" s="376"/>
      <c r="K208" s="483"/>
      <c r="L208" s="376"/>
      <c r="M208" s="483"/>
      <c r="N208" s="574"/>
      <c r="O208" s="8"/>
      <c r="P208" s="338"/>
      <c r="Q208" s="10"/>
      <c r="R208" s="63"/>
    </row>
    <row r="209" spans="1:18" ht="15" customHeight="1" x14ac:dyDescent="0.25">
      <c r="A209" s="13">
        <f t="shared" si="27"/>
        <v>43</v>
      </c>
      <c r="B209" s="4"/>
      <c r="C209" s="8"/>
      <c r="D209" s="369"/>
      <c r="E209" s="481"/>
      <c r="F209" s="376"/>
      <c r="G209" s="483"/>
      <c r="H209" s="376"/>
      <c r="I209" s="483"/>
      <c r="J209" s="376"/>
      <c r="K209" s="483"/>
      <c r="L209" s="376"/>
      <c r="M209" s="483"/>
      <c r="N209" s="574"/>
      <c r="O209" s="8"/>
      <c r="P209" s="338"/>
      <c r="Q209" s="10"/>
      <c r="R209" s="63"/>
    </row>
    <row r="210" spans="1:18" ht="15" customHeight="1" x14ac:dyDescent="0.25">
      <c r="A210" s="13">
        <f t="shared" si="27"/>
        <v>44</v>
      </c>
      <c r="B210" s="4"/>
      <c r="C210" s="9"/>
      <c r="D210" s="359"/>
      <c r="E210" s="478"/>
      <c r="F210" s="360"/>
      <c r="G210" s="480"/>
      <c r="H210" s="360"/>
      <c r="I210" s="480"/>
      <c r="J210" s="360"/>
      <c r="K210" s="480"/>
      <c r="L210" s="360"/>
      <c r="M210" s="480"/>
      <c r="N210" s="562"/>
      <c r="O210" s="8"/>
      <c r="P210" s="338"/>
      <c r="Q210" s="10"/>
      <c r="R210" s="63"/>
    </row>
    <row r="211" spans="1:18" ht="15" customHeight="1" x14ac:dyDescent="0.25">
      <c r="A211" s="13">
        <f t="shared" si="27"/>
        <v>45</v>
      </c>
      <c r="B211" s="4"/>
      <c r="C211" s="9"/>
      <c r="D211" s="369"/>
      <c r="E211" s="481"/>
      <c r="F211" s="376"/>
      <c r="G211" s="483"/>
      <c r="H211" s="376"/>
      <c r="I211" s="483"/>
      <c r="J211" s="376"/>
      <c r="K211" s="483"/>
      <c r="L211" s="376"/>
      <c r="M211" s="483"/>
      <c r="N211" s="574"/>
      <c r="O211" s="8"/>
      <c r="P211" s="338"/>
      <c r="Q211" s="10"/>
      <c r="R211" s="63"/>
    </row>
    <row r="212" spans="1:18" ht="15" customHeight="1" x14ac:dyDescent="0.25">
      <c r="A212" s="13">
        <f t="shared" si="27"/>
        <v>46</v>
      </c>
      <c r="B212" s="4"/>
      <c r="C212" s="9"/>
      <c r="D212" s="369"/>
      <c r="E212" s="481"/>
      <c r="F212" s="376"/>
      <c r="G212" s="483"/>
      <c r="H212" s="376"/>
      <c r="I212" s="483"/>
      <c r="J212" s="376"/>
      <c r="K212" s="483"/>
      <c r="L212" s="376"/>
      <c r="M212" s="483"/>
      <c r="N212" s="574"/>
      <c r="O212" s="8"/>
      <c r="P212" s="338"/>
      <c r="Q212" s="10"/>
      <c r="R212" s="63"/>
    </row>
    <row r="213" spans="1:18" ht="15" customHeight="1" x14ac:dyDescent="0.25">
      <c r="A213" s="13">
        <f t="shared" si="27"/>
        <v>47</v>
      </c>
      <c r="B213" s="4"/>
      <c r="C213" s="8"/>
      <c r="D213" s="369"/>
      <c r="E213" s="481"/>
      <c r="F213" s="376"/>
      <c r="G213" s="483"/>
      <c r="H213" s="376"/>
      <c r="I213" s="483"/>
      <c r="J213" s="376"/>
      <c r="K213" s="483"/>
      <c r="L213" s="376"/>
      <c r="M213" s="483"/>
      <c r="N213" s="574"/>
      <c r="O213" s="8"/>
      <c r="P213" s="338"/>
      <c r="Q213" s="10"/>
      <c r="R213" s="63"/>
    </row>
    <row r="214" spans="1:18" ht="15" customHeight="1" x14ac:dyDescent="0.25">
      <c r="A214" s="13">
        <f t="shared" si="27"/>
        <v>48</v>
      </c>
      <c r="B214" s="4"/>
      <c r="C214" s="9"/>
      <c r="D214" s="369"/>
      <c r="E214" s="481"/>
      <c r="F214" s="376"/>
      <c r="G214" s="483"/>
      <c r="H214" s="376"/>
      <c r="I214" s="483"/>
      <c r="J214" s="376"/>
      <c r="K214" s="483"/>
      <c r="L214" s="376"/>
      <c r="M214" s="483"/>
      <c r="N214" s="574"/>
      <c r="O214" s="8"/>
      <c r="P214" s="338"/>
      <c r="Q214" s="10"/>
      <c r="R214" s="63"/>
    </row>
    <row r="215" spans="1:18" ht="15" customHeight="1" x14ac:dyDescent="0.25">
      <c r="A215" s="13">
        <f t="shared" si="27"/>
        <v>49</v>
      </c>
      <c r="B215" s="4"/>
      <c r="C215" s="9"/>
      <c r="D215" s="369"/>
      <c r="E215" s="481"/>
      <c r="F215" s="376"/>
      <c r="G215" s="483"/>
      <c r="H215" s="376"/>
      <c r="I215" s="483"/>
      <c r="J215" s="376"/>
      <c r="K215" s="483"/>
      <c r="L215" s="376"/>
      <c r="M215" s="483"/>
      <c r="N215" s="574"/>
      <c r="O215" s="8"/>
      <c r="P215" s="338"/>
      <c r="Q215" s="10"/>
      <c r="R215" s="63"/>
    </row>
    <row r="216" spans="1:18" ht="15" customHeight="1" x14ac:dyDescent="0.25">
      <c r="A216" s="13">
        <f t="shared" si="27"/>
        <v>50</v>
      </c>
      <c r="B216" s="4"/>
      <c r="C216" s="9"/>
      <c r="D216" s="369"/>
      <c r="E216" s="481"/>
      <c r="F216" s="376"/>
      <c r="G216" s="483"/>
      <c r="H216" s="376"/>
      <c r="I216" s="483"/>
      <c r="J216" s="376"/>
      <c r="K216" s="483"/>
      <c r="L216" s="376"/>
      <c r="M216" s="483"/>
      <c r="N216" s="574"/>
      <c r="O216" s="8"/>
      <c r="P216" s="338"/>
      <c r="Q216" s="10"/>
      <c r="R216" s="63"/>
    </row>
    <row r="217" spans="1:18" ht="15" customHeight="1" x14ac:dyDescent="0.25">
      <c r="A217" s="13">
        <f t="shared" si="27"/>
        <v>51</v>
      </c>
      <c r="B217" s="4"/>
      <c r="C217" s="9"/>
      <c r="D217" s="369"/>
      <c r="E217" s="481"/>
      <c r="F217" s="376"/>
      <c r="G217" s="483"/>
      <c r="H217" s="376"/>
      <c r="I217" s="483"/>
      <c r="J217" s="376"/>
      <c r="K217" s="483"/>
      <c r="L217" s="376"/>
      <c r="M217" s="483"/>
      <c r="N217" s="574"/>
      <c r="O217" s="8"/>
      <c r="P217" s="338"/>
      <c r="Q217" s="10"/>
      <c r="R217" s="63"/>
    </row>
    <row r="218" spans="1:18" ht="15" customHeight="1" x14ac:dyDescent="0.25">
      <c r="A218" s="13">
        <f t="shared" si="27"/>
        <v>52</v>
      </c>
      <c r="B218" s="4"/>
      <c r="C218" s="9"/>
      <c r="D218" s="369"/>
      <c r="E218" s="481"/>
      <c r="F218" s="376"/>
      <c r="G218" s="483"/>
      <c r="H218" s="376"/>
      <c r="I218" s="483"/>
      <c r="J218" s="376"/>
      <c r="K218" s="483"/>
      <c r="L218" s="376"/>
      <c r="M218" s="483"/>
      <c r="N218" s="574"/>
      <c r="O218" s="8"/>
      <c r="P218" s="338"/>
      <c r="Q218" s="10"/>
      <c r="R218" s="63"/>
    </row>
    <row r="219" spans="1:18" ht="15" customHeight="1" x14ac:dyDescent="0.25">
      <c r="A219" s="13">
        <f t="shared" si="27"/>
        <v>53</v>
      </c>
      <c r="B219" s="4"/>
      <c r="C219" s="9"/>
      <c r="D219" s="369"/>
      <c r="E219" s="481"/>
      <c r="F219" s="376"/>
      <c r="G219" s="483"/>
      <c r="H219" s="376"/>
      <c r="I219" s="483"/>
      <c r="J219" s="376"/>
      <c r="K219" s="483"/>
      <c r="L219" s="376"/>
      <c r="M219" s="483"/>
      <c r="N219" s="574"/>
      <c r="O219" s="8"/>
      <c r="P219" s="338"/>
      <c r="Q219" s="10"/>
      <c r="R219" s="63"/>
    </row>
    <row r="220" spans="1:18" ht="15" customHeight="1" x14ac:dyDescent="0.25">
      <c r="A220" s="13">
        <f t="shared" si="27"/>
        <v>54</v>
      </c>
      <c r="B220" s="4"/>
      <c r="C220" s="9"/>
      <c r="D220" s="369"/>
      <c r="E220" s="481"/>
      <c r="F220" s="376"/>
      <c r="G220" s="483"/>
      <c r="H220" s="376"/>
      <c r="I220" s="483"/>
      <c r="J220" s="376"/>
      <c r="K220" s="483"/>
      <c r="L220" s="376"/>
      <c r="M220" s="483"/>
      <c r="N220" s="574"/>
      <c r="O220" s="8"/>
      <c r="P220" s="338"/>
      <c r="Q220" s="10"/>
      <c r="R220" s="63"/>
    </row>
    <row r="221" spans="1:18" ht="15" customHeight="1" x14ac:dyDescent="0.25">
      <c r="A221" s="13">
        <f t="shared" si="27"/>
        <v>55</v>
      </c>
      <c r="B221" s="4"/>
      <c r="C221" s="9"/>
      <c r="D221" s="369"/>
      <c r="E221" s="481"/>
      <c r="F221" s="376"/>
      <c r="G221" s="483"/>
      <c r="H221" s="376"/>
      <c r="I221" s="483"/>
      <c r="J221" s="376"/>
      <c r="K221" s="483"/>
      <c r="L221" s="376"/>
      <c r="M221" s="483"/>
      <c r="N221" s="574"/>
      <c r="O221" s="8"/>
      <c r="P221" s="338"/>
      <c r="Q221" s="10"/>
      <c r="R221" s="63"/>
    </row>
    <row r="222" spans="1:18" ht="15" customHeight="1" x14ac:dyDescent="0.25">
      <c r="A222" s="13">
        <f t="shared" si="27"/>
        <v>56</v>
      </c>
      <c r="B222" s="4"/>
      <c r="C222" s="9"/>
      <c r="D222" s="369"/>
      <c r="E222" s="481"/>
      <c r="F222" s="376"/>
      <c r="G222" s="483"/>
      <c r="H222" s="376"/>
      <c r="I222" s="483"/>
      <c r="J222" s="376"/>
      <c r="K222" s="483"/>
      <c r="L222" s="376"/>
      <c r="M222" s="483"/>
      <c r="N222" s="574"/>
      <c r="O222" s="8"/>
      <c r="P222" s="338"/>
      <c r="Q222" s="10"/>
      <c r="R222" s="63"/>
    </row>
    <row r="223" spans="1:18" ht="15" customHeight="1" x14ac:dyDescent="0.25">
      <c r="A223" s="13">
        <f t="shared" si="27"/>
        <v>57</v>
      </c>
      <c r="B223" s="4"/>
      <c r="C223" s="9"/>
      <c r="D223" s="369"/>
      <c r="E223" s="481"/>
      <c r="F223" s="376"/>
      <c r="G223" s="483"/>
      <c r="H223" s="376"/>
      <c r="I223" s="483"/>
      <c r="J223" s="376"/>
      <c r="K223" s="483"/>
      <c r="L223" s="376"/>
      <c r="M223" s="483"/>
      <c r="N223" s="574"/>
      <c r="O223" s="8"/>
      <c r="P223" s="338"/>
      <c r="Q223" s="10"/>
      <c r="R223" s="63"/>
    </row>
    <row r="224" spans="1:18" ht="15" customHeight="1" x14ac:dyDescent="0.25">
      <c r="A224" s="13">
        <f t="shared" si="27"/>
        <v>58</v>
      </c>
      <c r="B224" s="4"/>
      <c r="C224" s="8"/>
      <c r="D224" s="359"/>
      <c r="E224" s="478"/>
      <c r="F224" s="360"/>
      <c r="G224" s="480"/>
      <c r="H224" s="360"/>
      <c r="I224" s="480"/>
      <c r="J224" s="360"/>
      <c r="K224" s="480"/>
      <c r="L224" s="360"/>
      <c r="M224" s="480"/>
      <c r="N224" s="562"/>
      <c r="O224" s="8"/>
      <c r="P224" s="338"/>
      <c r="Q224" s="10"/>
      <c r="R224" s="63"/>
    </row>
    <row r="225" spans="1:18" ht="15" customHeight="1" x14ac:dyDescent="0.25">
      <c r="A225" s="13">
        <f t="shared" si="27"/>
        <v>59</v>
      </c>
      <c r="B225" s="4"/>
      <c r="C225" s="9"/>
      <c r="D225" s="369"/>
      <c r="E225" s="481"/>
      <c r="F225" s="376"/>
      <c r="G225" s="483"/>
      <c r="H225" s="376"/>
      <c r="I225" s="483"/>
      <c r="J225" s="376"/>
      <c r="K225" s="483"/>
      <c r="L225" s="376"/>
      <c r="M225" s="483"/>
      <c r="N225" s="574"/>
      <c r="O225" s="8"/>
      <c r="P225" s="338"/>
      <c r="Q225" s="10"/>
      <c r="R225" s="63"/>
    </row>
    <row r="226" spans="1:18" ht="15" customHeight="1" x14ac:dyDescent="0.25">
      <c r="A226" s="13">
        <f t="shared" si="27"/>
        <v>60</v>
      </c>
      <c r="B226" s="4"/>
      <c r="C226" s="9"/>
      <c r="D226" s="359"/>
      <c r="E226" s="478"/>
      <c r="F226" s="360"/>
      <c r="G226" s="480"/>
      <c r="H226" s="360"/>
      <c r="I226" s="480"/>
      <c r="J226" s="360"/>
      <c r="K226" s="480"/>
      <c r="L226" s="360"/>
      <c r="M226" s="480"/>
      <c r="N226" s="562"/>
      <c r="O226" s="8"/>
      <c r="P226" s="338"/>
      <c r="Q226" s="10"/>
      <c r="R226" s="63"/>
    </row>
    <row r="227" spans="1:18" ht="15" customHeight="1" x14ac:dyDescent="0.25">
      <c r="A227" s="13">
        <f t="shared" si="27"/>
        <v>61</v>
      </c>
      <c r="B227" s="4"/>
      <c r="C227" s="9"/>
      <c r="D227" s="369"/>
      <c r="E227" s="481"/>
      <c r="F227" s="376"/>
      <c r="G227" s="483"/>
      <c r="H227" s="376"/>
      <c r="I227" s="483"/>
      <c r="J227" s="376"/>
      <c r="K227" s="483"/>
      <c r="L227" s="376"/>
      <c r="M227" s="483"/>
      <c r="N227" s="574"/>
      <c r="O227" s="8"/>
      <c r="P227" s="338"/>
      <c r="Q227" s="10"/>
      <c r="R227" s="63"/>
    </row>
    <row r="228" spans="1:18" ht="15" customHeight="1" x14ac:dyDescent="0.25">
      <c r="A228" s="13">
        <f t="shared" si="27"/>
        <v>62</v>
      </c>
      <c r="B228" s="4"/>
      <c r="C228" s="9"/>
      <c r="D228" s="369"/>
      <c r="E228" s="481"/>
      <c r="F228" s="376"/>
      <c r="G228" s="483"/>
      <c r="H228" s="376"/>
      <c r="I228" s="483"/>
      <c r="J228" s="376"/>
      <c r="K228" s="483"/>
      <c r="L228" s="376"/>
      <c r="M228" s="483"/>
      <c r="N228" s="574"/>
      <c r="O228" s="8"/>
      <c r="P228" s="338"/>
      <c r="Q228" s="10"/>
      <c r="R228" s="63"/>
    </row>
    <row r="229" spans="1:18" ht="15" customHeight="1" x14ac:dyDescent="0.25">
      <c r="A229" s="13">
        <f t="shared" si="27"/>
        <v>63</v>
      </c>
      <c r="B229" s="4"/>
      <c r="C229" s="8"/>
      <c r="D229" s="369"/>
      <c r="E229" s="481"/>
      <c r="F229" s="376"/>
      <c r="G229" s="483"/>
      <c r="H229" s="376"/>
      <c r="I229" s="483"/>
      <c r="J229" s="376"/>
      <c r="K229" s="483"/>
      <c r="L229" s="376"/>
      <c r="M229" s="483"/>
      <c r="N229" s="574"/>
      <c r="O229" s="8"/>
      <c r="P229" s="338"/>
      <c r="Q229" s="10"/>
      <c r="R229" s="63"/>
    </row>
    <row r="230" spans="1:18" ht="15" customHeight="1" x14ac:dyDescent="0.25">
      <c r="A230" s="13">
        <f t="shared" si="27"/>
        <v>64</v>
      </c>
      <c r="B230" s="4"/>
      <c r="C230" s="9"/>
      <c r="D230" s="369"/>
      <c r="E230" s="481"/>
      <c r="F230" s="376"/>
      <c r="G230" s="483"/>
      <c r="H230" s="376"/>
      <c r="I230" s="483"/>
      <c r="J230" s="376"/>
      <c r="K230" s="483"/>
      <c r="L230" s="376"/>
      <c r="M230" s="483"/>
      <c r="N230" s="574"/>
      <c r="O230" s="8"/>
      <c r="P230" s="338"/>
      <c r="Q230" s="10"/>
      <c r="R230" s="63"/>
    </row>
    <row r="231" spans="1:18" ht="15" customHeight="1" x14ac:dyDescent="0.25">
      <c r="A231" s="13">
        <f t="shared" si="27"/>
        <v>65</v>
      </c>
      <c r="B231" s="4"/>
      <c r="C231" s="9"/>
      <c r="D231" s="359"/>
      <c r="E231" s="478"/>
      <c r="F231" s="360"/>
      <c r="G231" s="480"/>
      <c r="H231" s="360"/>
      <c r="I231" s="480"/>
      <c r="J231" s="360"/>
      <c r="K231" s="480"/>
      <c r="L231" s="360"/>
      <c r="M231" s="480"/>
      <c r="N231" s="562"/>
      <c r="O231" s="8"/>
      <c r="P231" s="338"/>
      <c r="Q231" s="10"/>
      <c r="R231" s="63"/>
    </row>
    <row r="232" spans="1:18" ht="15" customHeight="1" x14ac:dyDescent="0.25">
      <c r="A232" s="13">
        <f t="shared" ref="A232:A269" si="28">A231+1</f>
        <v>66</v>
      </c>
      <c r="B232" s="4"/>
      <c r="C232" s="9"/>
      <c r="D232" s="369"/>
      <c r="E232" s="481"/>
      <c r="F232" s="376"/>
      <c r="G232" s="483"/>
      <c r="H232" s="376"/>
      <c r="I232" s="483"/>
      <c r="J232" s="376"/>
      <c r="K232" s="483"/>
      <c r="L232" s="376"/>
      <c r="M232" s="483"/>
      <c r="N232" s="574"/>
      <c r="O232" s="8"/>
      <c r="P232" s="338"/>
      <c r="Q232" s="10"/>
      <c r="R232" s="63"/>
    </row>
    <row r="233" spans="1:18" ht="15" customHeight="1" x14ac:dyDescent="0.25">
      <c r="A233" s="13">
        <f t="shared" si="28"/>
        <v>67</v>
      </c>
      <c r="B233" s="4"/>
      <c r="C233" s="8"/>
      <c r="D233" s="369"/>
      <c r="E233" s="481"/>
      <c r="F233" s="376"/>
      <c r="G233" s="483"/>
      <c r="H233" s="376"/>
      <c r="I233" s="483"/>
      <c r="J233" s="376"/>
      <c r="K233" s="483"/>
      <c r="L233" s="376"/>
      <c r="M233" s="483"/>
      <c r="N233" s="574"/>
      <c r="O233" s="8"/>
      <c r="P233" s="338"/>
      <c r="Q233" s="10"/>
      <c r="R233" s="63"/>
    </row>
    <row r="234" spans="1:18" ht="15" customHeight="1" x14ac:dyDescent="0.25">
      <c r="A234" s="13">
        <f t="shared" si="28"/>
        <v>68</v>
      </c>
      <c r="B234" s="4"/>
      <c r="C234" s="9"/>
      <c r="D234" s="369"/>
      <c r="E234" s="481"/>
      <c r="F234" s="376"/>
      <c r="G234" s="483"/>
      <c r="H234" s="376"/>
      <c r="I234" s="483"/>
      <c r="J234" s="376"/>
      <c r="K234" s="483"/>
      <c r="L234" s="376"/>
      <c r="M234" s="483"/>
      <c r="N234" s="574"/>
      <c r="O234" s="8"/>
      <c r="P234" s="338"/>
      <c r="Q234" s="10"/>
      <c r="R234" s="63"/>
    </row>
    <row r="235" spans="1:18" ht="15" customHeight="1" x14ac:dyDescent="0.25">
      <c r="A235" s="13">
        <f t="shared" si="28"/>
        <v>69</v>
      </c>
      <c r="B235" s="4"/>
      <c r="C235" s="9"/>
      <c r="D235" s="369"/>
      <c r="E235" s="481"/>
      <c r="F235" s="376"/>
      <c r="G235" s="483"/>
      <c r="H235" s="376"/>
      <c r="I235" s="483"/>
      <c r="J235" s="376"/>
      <c r="K235" s="483"/>
      <c r="L235" s="376"/>
      <c r="M235" s="483"/>
      <c r="N235" s="574"/>
      <c r="O235" s="8"/>
      <c r="P235" s="338"/>
      <c r="Q235" s="10"/>
      <c r="R235" s="63"/>
    </row>
    <row r="236" spans="1:18" ht="15" customHeight="1" x14ac:dyDescent="0.25">
      <c r="A236" s="13">
        <f t="shared" si="28"/>
        <v>70</v>
      </c>
      <c r="B236" s="4"/>
      <c r="C236" s="9"/>
      <c r="D236" s="369"/>
      <c r="E236" s="481"/>
      <c r="F236" s="376"/>
      <c r="G236" s="483"/>
      <c r="H236" s="376"/>
      <c r="I236" s="483"/>
      <c r="J236" s="376"/>
      <c r="K236" s="483"/>
      <c r="L236" s="376"/>
      <c r="M236" s="483"/>
      <c r="N236" s="574"/>
      <c r="O236" s="8"/>
      <c r="P236" s="338"/>
      <c r="Q236" s="10"/>
      <c r="R236" s="63"/>
    </row>
    <row r="237" spans="1:18" ht="15" customHeight="1" x14ac:dyDescent="0.25">
      <c r="A237" s="13">
        <f t="shared" si="28"/>
        <v>71</v>
      </c>
      <c r="B237" s="4"/>
      <c r="C237" s="9"/>
      <c r="D237" s="369"/>
      <c r="E237" s="481"/>
      <c r="F237" s="376"/>
      <c r="G237" s="483"/>
      <c r="H237" s="376"/>
      <c r="I237" s="483"/>
      <c r="J237" s="376"/>
      <c r="K237" s="483"/>
      <c r="L237" s="376"/>
      <c r="M237" s="483"/>
      <c r="N237" s="574"/>
      <c r="O237" s="8"/>
      <c r="P237" s="338"/>
      <c r="Q237" s="10"/>
      <c r="R237" s="63"/>
    </row>
    <row r="238" spans="1:18" ht="15" customHeight="1" x14ac:dyDescent="0.25">
      <c r="A238" s="13">
        <f t="shared" si="28"/>
        <v>72</v>
      </c>
      <c r="B238" s="4"/>
      <c r="C238" s="9"/>
      <c r="D238" s="369"/>
      <c r="E238" s="481"/>
      <c r="F238" s="376"/>
      <c r="G238" s="483"/>
      <c r="H238" s="376"/>
      <c r="I238" s="483"/>
      <c r="J238" s="376"/>
      <c r="K238" s="483"/>
      <c r="L238" s="376"/>
      <c r="M238" s="483"/>
      <c r="N238" s="574"/>
      <c r="O238" s="8"/>
      <c r="P238" s="338"/>
      <c r="Q238" s="10"/>
      <c r="R238" s="63"/>
    </row>
    <row r="239" spans="1:18" ht="15" customHeight="1" x14ac:dyDescent="0.25">
      <c r="A239" s="13">
        <f t="shared" si="28"/>
        <v>73</v>
      </c>
      <c r="B239" s="4"/>
      <c r="C239" s="9"/>
      <c r="D239" s="369"/>
      <c r="E239" s="481"/>
      <c r="F239" s="376"/>
      <c r="G239" s="483"/>
      <c r="H239" s="376"/>
      <c r="I239" s="483"/>
      <c r="J239" s="376"/>
      <c r="K239" s="483"/>
      <c r="L239" s="376"/>
      <c r="M239" s="483"/>
      <c r="N239" s="574"/>
      <c r="O239" s="8"/>
      <c r="P239" s="338"/>
      <c r="Q239" s="10"/>
      <c r="R239" s="63"/>
    </row>
    <row r="240" spans="1:18" ht="15" customHeight="1" x14ac:dyDescent="0.25">
      <c r="A240" s="13">
        <f t="shared" si="28"/>
        <v>74</v>
      </c>
      <c r="B240" s="4"/>
      <c r="C240" s="9"/>
      <c r="D240" s="369"/>
      <c r="E240" s="481"/>
      <c r="F240" s="376"/>
      <c r="G240" s="483"/>
      <c r="H240" s="376"/>
      <c r="I240" s="483"/>
      <c r="J240" s="376"/>
      <c r="K240" s="483"/>
      <c r="L240" s="376"/>
      <c r="M240" s="483"/>
      <c r="N240" s="574"/>
      <c r="O240" s="8"/>
      <c r="P240" s="338"/>
      <c r="Q240" s="10"/>
      <c r="R240" s="63"/>
    </row>
    <row r="241" spans="1:18" ht="15" customHeight="1" x14ac:dyDescent="0.25">
      <c r="A241" s="13">
        <f t="shared" si="28"/>
        <v>75</v>
      </c>
      <c r="B241" s="4"/>
      <c r="C241" s="9"/>
      <c r="D241" s="369"/>
      <c r="E241" s="481"/>
      <c r="F241" s="376"/>
      <c r="G241" s="483"/>
      <c r="H241" s="376"/>
      <c r="I241" s="483"/>
      <c r="J241" s="376"/>
      <c r="K241" s="483"/>
      <c r="L241" s="376"/>
      <c r="M241" s="483"/>
      <c r="N241" s="574"/>
      <c r="O241" s="8"/>
      <c r="P241" s="338"/>
      <c r="Q241" s="10"/>
      <c r="R241" s="63"/>
    </row>
    <row r="242" spans="1:18" ht="15" customHeight="1" x14ac:dyDescent="0.25">
      <c r="A242" s="13">
        <f t="shared" si="28"/>
        <v>76</v>
      </c>
      <c r="B242" s="4"/>
      <c r="C242" s="9"/>
      <c r="D242" s="369"/>
      <c r="E242" s="481"/>
      <c r="F242" s="376"/>
      <c r="G242" s="483"/>
      <c r="H242" s="376"/>
      <c r="I242" s="483"/>
      <c r="J242" s="376"/>
      <c r="K242" s="483"/>
      <c r="L242" s="376"/>
      <c r="M242" s="483"/>
      <c r="N242" s="574"/>
      <c r="O242" s="8"/>
      <c r="P242" s="338"/>
      <c r="Q242" s="10"/>
      <c r="R242" s="63"/>
    </row>
    <row r="243" spans="1:18" ht="15" customHeight="1" x14ac:dyDescent="0.25">
      <c r="A243" s="13">
        <f t="shared" si="28"/>
        <v>77</v>
      </c>
      <c r="B243" s="4"/>
      <c r="C243" s="8"/>
      <c r="D243" s="359"/>
      <c r="E243" s="478"/>
      <c r="F243" s="360"/>
      <c r="G243" s="480"/>
      <c r="H243" s="360"/>
      <c r="I243" s="480"/>
      <c r="J243" s="360"/>
      <c r="K243" s="480"/>
      <c r="L243" s="360"/>
      <c r="M243" s="480"/>
      <c r="N243" s="562"/>
      <c r="O243" s="8"/>
      <c r="P243" s="338"/>
      <c r="Q243" s="10"/>
      <c r="R243" s="63"/>
    </row>
    <row r="244" spans="1:18" ht="15" customHeight="1" x14ac:dyDescent="0.25">
      <c r="A244" s="13">
        <f t="shared" si="28"/>
        <v>78</v>
      </c>
      <c r="B244" s="4"/>
      <c r="C244" s="9"/>
      <c r="D244" s="369"/>
      <c r="E244" s="481"/>
      <c r="F244" s="376"/>
      <c r="G244" s="483"/>
      <c r="H244" s="376"/>
      <c r="I244" s="483"/>
      <c r="J244" s="376"/>
      <c r="K244" s="483"/>
      <c r="L244" s="376"/>
      <c r="M244" s="483"/>
      <c r="N244" s="574"/>
      <c r="O244" s="8"/>
      <c r="P244" s="338"/>
      <c r="Q244" s="10"/>
      <c r="R244" s="63"/>
    </row>
    <row r="245" spans="1:18" ht="15" customHeight="1" x14ac:dyDescent="0.25">
      <c r="A245" s="13">
        <f t="shared" si="28"/>
        <v>79</v>
      </c>
      <c r="B245" s="4"/>
      <c r="C245" s="9"/>
      <c r="D245" s="369"/>
      <c r="E245" s="481"/>
      <c r="F245" s="376"/>
      <c r="G245" s="483"/>
      <c r="H245" s="376"/>
      <c r="I245" s="483"/>
      <c r="J245" s="376"/>
      <c r="K245" s="483"/>
      <c r="L245" s="376"/>
      <c r="M245" s="483"/>
      <c r="N245" s="574"/>
      <c r="O245" s="8"/>
      <c r="P245" s="338"/>
      <c r="Q245" s="10"/>
      <c r="R245" s="63"/>
    </row>
    <row r="246" spans="1:18" ht="15" customHeight="1" x14ac:dyDescent="0.25">
      <c r="A246" s="13">
        <f t="shared" si="28"/>
        <v>80</v>
      </c>
      <c r="B246" s="16"/>
      <c r="C246" s="17"/>
      <c r="D246" s="369"/>
      <c r="E246" s="481"/>
      <c r="F246" s="376"/>
      <c r="G246" s="483"/>
      <c r="H246" s="376"/>
      <c r="I246" s="483"/>
      <c r="J246" s="376"/>
      <c r="K246" s="483"/>
      <c r="L246" s="376"/>
      <c r="M246" s="483"/>
      <c r="N246" s="574"/>
      <c r="O246" s="8"/>
      <c r="P246" s="338"/>
      <c r="Q246" s="10"/>
      <c r="R246" s="63"/>
    </row>
    <row r="247" spans="1:18" ht="15" customHeight="1" x14ac:dyDescent="0.25">
      <c r="A247" s="13">
        <f t="shared" si="28"/>
        <v>81</v>
      </c>
      <c r="B247" s="16"/>
      <c r="C247" s="17"/>
      <c r="D247" s="369"/>
      <c r="E247" s="481"/>
      <c r="F247" s="376"/>
      <c r="G247" s="483"/>
      <c r="H247" s="376"/>
      <c r="I247" s="483"/>
      <c r="J247" s="376"/>
      <c r="K247" s="483"/>
      <c r="L247" s="376"/>
      <c r="M247" s="483"/>
      <c r="N247" s="574"/>
      <c r="O247" s="48"/>
      <c r="P247" s="338"/>
      <c r="Q247" s="10"/>
      <c r="R247" s="207"/>
    </row>
    <row r="248" spans="1:18" ht="15" customHeight="1" x14ac:dyDescent="0.25">
      <c r="A248" s="13">
        <f t="shared" si="28"/>
        <v>82</v>
      </c>
      <c r="B248" s="16"/>
      <c r="C248" s="17"/>
      <c r="D248" s="369"/>
      <c r="E248" s="481"/>
      <c r="F248" s="376"/>
      <c r="G248" s="483"/>
      <c r="H248" s="376"/>
      <c r="I248" s="483"/>
      <c r="J248" s="376"/>
      <c r="K248" s="483"/>
      <c r="L248" s="376"/>
      <c r="M248" s="483"/>
      <c r="N248" s="574"/>
      <c r="O248" s="48"/>
      <c r="P248" s="338"/>
      <c r="Q248" s="10"/>
      <c r="R248" s="207"/>
    </row>
    <row r="249" spans="1:18" ht="15" customHeight="1" x14ac:dyDescent="0.25">
      <c r="A249" s="13">
        <f t="shared" si="28"/>
        <v>83</v>
      </c>
      <c r="B249" s="16"/>
      <c r="C249" s="17"/>
      <c r="D249" s="369"/>
      <c r="E249" s="481"/>
      <c r="F249" s="376"/>
      <c r="G249" s="483"/>
      <c r="H249" s="376"/>
      <c r="I249" s="483"/>
      <c r="J249" s="376"/>
      <c r="K249" s="483"/>
      <c r="L249" s="376"/>
      <c r="M249" s="483"/>
      <c r="N249" s="574"/>
      <c r="O249" s="48"/>
      <c r="P249" s="338"/>
      <c r="Q249" s="10"/>
      <c r="R249" s="207"/>
    </row>
    <row r="250" spans="1:18" ht="15" customHeight="1" x14ac:dyDescent="0.25">
      <c r="A250" s="13">
        <f t="shared" si="28"/>
        <v>84</v>
      </c>
      <c r="B250" s="16"/>
      <c r="C250" s="17"/>
      <c r="D250" s="369"/>
      <c r="E250" s="481"/>
      <c r="F250" s="376"/>
      <c r="G250" s="483"/>
      <c r="H250" s="376"/>
      <c r="I250" s="483"/>
      <c r="J250" s="376"/>
      <c r="K250" s="483"/>
      <c r="L250" s="376"/>
      <c r="M250" s="483"/>
      <c r="N250" s="574"/>
      <c r="O250" s="48"/>
      <c r="P250" s="338"/>
      <c r="Q250" s="10"/>
      <c r="R250" s="207"/>
    </row>
    <row r="251" spans="1:18" ht="15" customHeight="1" x14ac:dyDescent="0.25">
      <c r="A251" s="13">
        <f t="shared" si="28"/>
        <v>85</v>
      </c>
      <c r="B251" s="16"/>
      <c r="C251" s="17"/>
      <c r="D251" s="369"/>
      <c r="E251" s="481"/>
      <c r="F251" s="376"/>
      <c r="G251" s="483"/>
      <c r="H251" s="376"/>
      <c r="I251" s="483"/>
      <c r="J251" s="376"/>
      <c r="K251" s="483"/>
      <c r="L251" s="376"/>
      <c r="M251" s="483"/>
      <c r="N251" s="574"/>
      <c r="O251" s="48"/>
      <c r="P251" s="338"/>
      <c r="Q251" s="10"/>
      <c r="R251" s="207"/>
    </row>
    <row r="252" spans="1:18" ht="15" customHeight="1" x14ac:dyDescent="0.25">
      <c r="A252" s="13">
        <f t="shared" si="28"/>
        <v>86</v>
      </c>
      <c r="B252" s="16"/>
      <c r="C252" s="17"/>
      <c r="D252" s="369"/>
      <c r="E252" s="481"/>
      <c r="F252" s="376"/>
      <c r="G252" s="483"/>
      <c r="H252" s="376"/>
      <c r="I252" s="483"/>
      <c r="J252" s="376"/>
      <c r="K252" s="483"/>
      <c r="L252" s="376"/>
      <c r="M252" s="483"/>
      <c r="N252" s="574"/>
      <c r="O252" s="48"/>
      <c r="P252" s="338"/>
      <c r="Q252" s="10"/>
      <c r="R252" s="207"/>
    </row>
    <row r="253" spans="1:18" ht="15" customHeight="1" x14ac:dyDescent="0.25">
      <c r="A253" s="13">
        <f t="shared" si="28"/>
        <v>87</v>
      </c>
      <c r="Q253" s="10"/>
    </row>
    <row r="254" spans="1:18" ht="15" customHeight="1" x14ac:dyDescent="0.25">
      <c r="A254" s="13">
        <f t="shared" si="28"/>
        <v>88</v>
      </c>
      <c r="Q254" s="10"/>
    </row>
    <row r="255" spans="1:18" ht="15" customHeight="1" x14ac:dyDescent="0.25">
      <c r="A255" s="13">
        <f t="shared" si="28"/>
        <v>89</v>
      </c>
      <c r="Q255" s="10"/>
    </row>
    <row r="256" spans="1:18" ht="15" customHeight="1" x14ac:dyDescent="0.25">
      <c r="A256" s="13">
        <f t="shared" si="28"/>
        <v>90</v>
      </c>
      <c r="Q256" s="10"/>
    </row>
    <row r="257" spans="1:17" ht="15" customHeight="1" x14ac:dyDescent="0.25">
      <c r="A257" s="13">
        <f t="shared" si="28"/>
        <v>91</v>
      </c>
      <c r="Q257" s="10"/>
    </row>
    <row r="258" spans="1:17" ht="15" customHeight="1" x14ac:dyDescent="0.25">
      <c r="A258" s="13">
        <f t="shared" si="28"/>
        <v>92</v>
      </c>
      <c r="Q258" s="10"/>
    </row>
    <row r="259" spans="1:17" ht="15" customHeight="1" x14ac:dyDescent="0.25">
      <c r="A259" s="13">
        <f t="shared" si="28"/>
        <v>93</v>
      </c>
      <c r="Q259" s="10"/>
    </row>
    <row r="260" spans="1:17" ht="15" customHeight="1" x14ac:dyDescent="0.25">
      <c r="A260" s="13">
        <f t="shared" si="28"/>
        <v>94</v>
      </c>
      <c r="Q260" s="10"/>
    </row>
    <row r="261" spans="1:17" ht="15" customHeight="1" x14ac:dyDescent="0.25">
      <c r="A261" s="13">
        <f t="shared" si="28"/>
        <v>95</v>
      </c>
      <c r="Q261" s="10"/>
    </row>
    <row r="262" spans="1:17" ht="15" customHeight="1" x14ac:dyDescent="0.25">
      <c r="A262" s="13">
        <f t="shared" si="28"/>
        <v>96</v>
      </c>
      <c r="Q262" s="10"/>
    </row>
    <row r="263" spans="1:17" ht="15" customHeight="1" x14ac:dyDescent="0.25">
      <c r="A263" s="13">
        <f t="shared" si="28"/>
        <v>97</v>
      </c>
      <c r="Q263" s="10"/>
    </row>
    <row r="264" spans="1:17" ht="15" customHeight="1" x14ac:dyDescent="0.25">
      <c r="A264" s="13">
        <f t="shared" si="28"/>
        <v>98</v>
      </c>
      <c r="Q264" s="10"/>
    </row>
    <row r="265" spans="1:17" ht="15" customHeight="1" x14ac:dyDescent="0.25">
      <c r="A265" s="13">
        <f t="shared" si="28"/>
        <v>99</v>
      </c>
      <c r="Q265" s="10"/>
    </row>
    <row r="266" spans="1:17" ht="15" customHeight="1" x14ac:dyDescent="0.25">
      <c r="A266" s="13">
        <f t="shared" si="28"/>
        <v>100</v>
      </c>
      <c r="Q266" s="10"/>
    </row>
    <row r="267" spans="1:17" ht="15" customHeight="1" x14ac:dyDescent="0.25">
      <c r="A267" s="13">
        <f t="shared" si="28"/>
        <v>101</v>
      </c>
      <c r="Q267" s="10"/>
    </row>
    <row r="268" spans="1:17" ht="15" customHeight="1" x14ac:dyDescent="0.25">
      <c r="A268" s="13">
        <f t="shared" si="28"/>
        <v>102</v>
      </c>
      <c r="Q268" s="10"/>
    </row>
    <row r="269" spans="1:17" ht="15" customHeight="1" x14ac:dyDescent="0.25">
      <c r="A269" s="13">
        <f t="shared" si="28"/>
        <v>103</v>
      </c>
      <c r="Q269" s="10"/>
    </row>
    <row r="270" spans="1:17" ht="15" customHeight="1" x14ac:dyDescent="0.25">
      <c r="A270" s="13"/>
      <c r="Q270" s="10"/>
    </row>
    <row r="271" spans="1:17" ht="15" customHeight="1" x14ac:dyDescent="0.25">
      <c r="A271" s="13"/>
      <c r="Q271" s="10"/>
    </row>
    <row r="272" spans="1:17" ht="15" customHeight="1" x14ac:dyDescent="0.25">
      <c r="A272" s="13"/>
      <c r="Q272" s="10"/>
    </row>
    <row r="273" spans="1:17" ht="15" customHeight="1" x14ac:dyDescent="0.25">
      <c r="A273" s="13"/>
      <c r="Q273" s="10"/>
    </row>
    <row r="274" spans="1:17" ht="15" customHeight="1" x14ac:dyDescent="0.25">
      <c r="A274" s="13"/>
      <c r="Q274" s="10"/>
    </row>
    <row r="275" spans="1:17" ht="15" customHeight="1" x14ac:dyDescent="0.25">
      <c r="A275" s="13"/>
    </row>
    <row r="276" spans="1:17" ht="15" customHeight="1" x14ac:dyDescent="0.25"/>
    <row r="277" spans="1:17" ht="15" customHeight="1" x14ac:dyDescent="0.25"/>
    <row r="278" spans="1:17" ht="15" customHeight="1" x14ac:dyDescent="0.25"/>
    <row r="279" spans="1:17" ht="15" customHeight="1" x14ac:dyDescent="0.25"/>
    <row r="280" spans="1:17" ht="15" customHeight="1" x14ac:dyDescent="0.25"/>
    <row r="281" spans="1:17" ht="15" customHeight="1" x14ac:dyDescent="0.25"/>
    <row r="282" spans="1:17" ht="15" customHeight="1" x14ac:dyDescent="0.25"/>
    <row r="283" spans="1:17" ht="15" customHeight="1" x14ac:dyDescent="0.25"/>
    <row r="284" spans="1:17" ht="15" customHeight="1" x14ac:dyDescent="0.25"/>
    <row r="285" spans="1:17" ht="15" customHeight="1" x14ac:dyDescent="0.25"/>
    <row r="286" spans="1:17" ht="15" customHeight="1" x14ac:dyDescent="0.25"/>
    <row r="287" spans="1:17" ht="15" customHeight="1" x14ac:dyDescent="0.25"/>
    <row r="288" spans="1:17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</sheetData>
  <autoFilter ref="A1:AE113">
    <sortState ref="A14:AE35">
      <sortCondition ref="S1:S106"/>
    </sortState>
  </autoFilter>
  <sortState ref="B2:AD107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Q377"/>
  <sheetViews>
    <sheetView topLeftCell="A7" workbookViewId="0">
      <selection activeCell="G34" sqref="G34"/>
    </sheetView>
  </sheetViews>
  <sheetFormatPr baseColWidth="10" defaultRowHeight="15" x14ac:dyDescent="0.25"/>
  <cols>
    <col min="1" max="1" width="4.42578125" style="13" customWidth="1"/>
    <col min="2" max="2" width="45.85546875" style="16" customWidth="1"/>
    <col min="3" max="3" width="10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8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314" t="s">
        <v>1087</v>
      </c>
      <c r="C2" s="462">
        <v>8</v>
      </c>
      <c r="D2" s="15">
        <v>4</v>
      </c>
      <c r="E2" s="7">
        <v>8</v>
      </c>
      <c r="F2" s="26">
        <f>(E2-D2)/(E2)</f>
        <v>0.5</v>
      </c>
      <c r="G2" s="30">
        <f>D2*C2</f>
        <v>32</v>
      </c>
      <c r="H2" s="25">
        <f>E2*C2</f>
        <v>64</v>
      </c>
    </row>
    <row r="3" spans="1:8" x14ac:dyDescent="0.25">
      <c r="A3" s="13">
        <f t="shared" ref="A3:A42" si="0">A2+1</f>
        <v>2</v>
      </c>
      <c r="B3" s="4" t="s">
        <v>661</v>
      </c>
      <c r="C3" s="349">
        <v>96</v>
      </c>
      <c r="D3" s="15">
        <v>0.17599999999999999</v>
      </c>
      <c r="E3" s="7">
        <v>0.5</v>
      </c>
      <c r="F3" s="26">
        <f t="shared" ref="F3:F30" si="1">(E3-D3)/(E3)</f>
        <v>0.64800000000000002</v>
      </c>
      <c r="G3" s="30">
        <f t="shared" ref="G3:G30" si="2">D3*C3</f>
        <v>16.896000000000001</v>
      </c>
      <c r="H3" s="25">
        <f t="shared" ref="H3:H30" si="3">E3*C3</f>
        <v>48</v>
      </c>
    </row>
    <row r="4" spans="1:8" x14ac:dyDescent="0.25">
      <c r="A4" s="315">
        <f t="shared" si="0"/>
        <v>3</v>
      </c>
      <c r="B4" s="314" t="s">
        <v>256</v>
      </c>
      <c r="C4" s="349">
        <v>1</v>
      </c>
      <c r="D4" s="10">
        <v>10.61</v>
      </c>
      <c r="E4" s="7">
        <v>17</v>
      </c>
      <c r="F4" s="26">
        <f t="shared" si="1"/>
        <v>0.3758823529411765</v>
      </c>
      <c r="G4" s="30">
        <f t="shared" si="2"/>
        <v>10.61</v>
      </c>
      <c r="H4" s="25">
        <f t="shared" si="3"/>
        <v>17</v>
      </c>
    </row>
    <row r="5" spans="1:8" ht="14.25" customHeight="1" x14ac:dyDescent="0.25">
      <c r="A5" s="315">
        <f t="shared" si="0"/>
        <v>4</v>
      </c>
      <c r="B5" s="314" t="s">
        <v>303</v>
      </c>
      <c r="C5" s="349">
        <v>1</v>
      </c>
      <c r="D5" s="10">
        <v>6.79</v>
      </c>
      <c r="E5" s="7">
        <v>12</v>
      </c>
      <c r="F5" s="26">
        <f t="shared" si="1"/>
        <v>0.43416666666666665</v>
      </c>
      <c r="G5" s="30">
        <f t="shared" si="2"/>
        <v>6.79</v>
      </c>
      <c r="H5" s="25">
        <f t="shared" si="3"/>
        <v>12</v>
      </c>
    </row>
    <row r="6" spans="1:8" x14ac:dyDescent="0.25">
      <c r="A6" s="315">
        <f t="shared" si="0"/>
        <v>5</v>
      </c>
      <c r="B6" s="314" t="s">
        <v>414</v>
      </c>
      <c r="C6" s="8">
        <v>1</v>
      </c>
      <c r="D6" s="15">
        <v>35</v>
      </c>
      <c r="E6" s="7">
        <v>80</v>
      </c>
      <c r="F6" s="26">
        <f t="shared" si="1"/>
        <v>0.5625</v>
      </c>
      <c r="G6" s="30">
        <f t="shared" si="2"/>
        <v>35</v>
      </c>
      <c r="H6" s="25">
        <f t="shared" si="3"/>
        <v>80</v>
      </c>
    </row>
    <row r="7" spans="1:8" x14ac:dyDescent="0.25">
      <c r="A7" s="315">
        <f t="shared" si="0"/>
        <v>6</v>
      </c>
      <c r="B7" s="314" t="s">
        <v>1461</v>
      </c>
      <c r="C7" s="349">
        <v>93</v>
      </c>
      <c r="D7" s="15">
        <v>0.35</v>
      </c>
      <c r="E7" s="7">
        <v>0.8</v>
      </c>
      <c r="F7" s="26">
        <f t="shared" si="1"/>
        <v>0.5625</v>
      </c>
      <c r="G7" s="30">
        <f t="shared" si="2"/>
        <v>32.549999999999997</v>
      </c>
      <c r="H7" s="25">
        <f t="shared" si="3"/>
        <v>74.400000000000006</v>
      </c>
    </row>
    <row r="8" spans="1:8" x14ac:dyDescent="0.25">
      <c r="A8" s="315">
        <f t="shared" si="0"/>
        <v>7</v>
      </c>
      <c r="B8" s="314" t="s">
        <v>750</v>
      </c>
      <c r="C8" s="349">
        <v>1</v>
      </c>
      <c r="D8" s="10">
        <v>56.25</v>
      </c>
      <c r="E8" s="7">
        <v>115</v>
      </c>
      <c r="F8" s="26">
        <f t="shared" si="1"/>
        <v>0.51086956521739135</v>
      </c>
      <c r="G8" s="30">
        <f t="shared" si="2"/>
        <v>56.25</v>
      </c>
      <c r="H8" s="25">
        <f t="shared" si="3"/>
        <v>115</v>
      </c>
    </row>
    <row r="9" spans="1:8" x14ac:dyDescent="0.25">
      <c r="A9" s="315">
        <f t="shared" si="0"/>
        <v>8</v>
      </c>
      <c r="B9" s="314" t="s">
        <v>1373</v>
      </c>
      <c r="C9" s="8">
        <v>32</v>
      </c>
      <c r="D9" s="15">
        <v>3.93</v>
      </c>
      <c r="E9" s="7">
        <v>6.5</v>
      </c>
      <c r="F9" s="26">
        <f t="shared" si="1"/>
        <v>0.39538461538461533</v>
      </c>
      <c r="G9" s="30">
        <f t="shared" si="2"/>
        <v>125.76</v>
      </c>
      <c r="H9" s="25">
        <f t="shared" si="3"/>
        <v>208</v>
      </c>
    </row>
    <row r="10" spans="1:8" x14ac:dyDescent="0.25">
      <c r="A10" s="315">
        <f t="shared" si="0"/>
        <v>9</v>
      </c>
      <c r="B10" s="314" t="s">
        <v>1375</v>
      </c>
      <c r="C10" s="8">
        <v>18</v>
      </c>
      <c r="D10" s="15">
        <v>3.64</v>
      </c>
      <c r="E10" s="7">
        <v>7</v>
      </c>
      <c r="F10" s="26">
        <f t="shared" si="1"/>
        <v>0.48</v>
      </c>
      <c r="G10" s="30">
        <f t="shared" si="2"/>
        <v>65.52</v>
      </c>
      <c r="H10" s="25">
        <f t="shared" si="3"/>
        <v>126</v>
      </c>
    </row>
    <row r="11" spans="1:8" x14ac:dyDescent="0.25">
      <c r="A11" s="315">
        <f t="shared" si="0"/>
        <v>10</v>
      </c>
      <c r="B11" s="314" t="s">
        <v>418</v>
      </c>
      <c r="C11" s="349">
        <v>1</v>
      </c>
      <c r="D11" s="10">
        <v>8.9</v>
      </c>
      <c r="E11" s="7">
        <v>17</v>
      </c>
      <c r="F11" s="26">
        <f t="shared" si="1"/>
        <v>0.47647058823529409</v>
      </c>
      <c r="G11" s="30">
        <f t="shared" si="2"/>
        <v>8.9</v>
      </c>
      <c r="H11" s="25">
        <f t="shared" si="3"/>
        <v>17</v>
      </c>
    </row>
    <row r="12" spans="1:8" x14ac:dyDescent="0.25">
      <c r="A12" s="315">
        <f t="shared" si="0"/>
        <v>11</v>
      </c>
      <c r="B12" s="314" t="s">
        <v>419</v>
      </c>
      <c r="C12" s="349">
        <v>2</v>
      </c>
      <c r="D12" s="15">
        <v>8.9</v>
      </c>
      <c r="E12" s="7">
        <v>17</v>
      </c>
      <c r="F12" s="26">
        <f t="shared" si="1"/>
        <v>0.47647058823529409</v>
      </c>
      <c r="G12" s="30">
        <f t="shared" si="2"/>
        <v>17.8</v>
      </c>
      <c r="H12" s="25">
        <f t="shared" si="3"/>
        <v>34</v>
      </c>
    </row>
    <row r="13" spans="1:8" x14ac:dyDescent="0.25">
      <c r="A13" s="315">
        <f t="shared" si="0"/>
        <v>12</v>
      </c>
      <c r="B13" s="314" t="s">
        <v>420</v>
      </c>
      <c r="C13" s="665">
        <v>1</v>
      </c>
      <c r="D13" s="10">
        <v>8.9</v>
      </c>
      <c r="E13" s="7">
        <v>17</v>
      </c>
      <c r="F13" s="26">
        <f t="shared" si="1"/>
        <v>0.47647058823529409</v>
      </c>
      <c r="G13" s="30">
        <f t="shared" si="2"/>
        <v>8.9</v>
      </c>
      <c r="H13" s="25">
        <f t="shared" si="3"/>
        <v>17</v>
      </c>
    </row>
    <row r="14" spans="1:8" x14ac:dyDescent="0.25">
      <c r="A14" s="315">
        <f t="shared" si="0"/>
        <v>13</v>
      </c>
      <c r="B14" s="314" t="s">
        <v>429</v>
      </c>
      <c r="C14" s="349">
        <v>2</v>
      </c>
      <c r="D14" s="15">
        <v>8.9</v>
      </c>
      <c r="E14" s="7">
        <v>17</v>
      </c>
      <c r="F14" s="26">
        <f t="shared" si="1"/>
        <v>0.47647058823529409</v>
      </c>
      <c r="G14" s="30">
        <f t="shared" si="2"/>
        <v>17.8</v>
      </c>
      <c r="H14" s="25">
        <f t="shared" si="3"/>
        <v>34</v>
      </c>
    </row>
    <row r="15" spans="1:8" x14ac:dyDescent="0.25">
      <c r="A15" s="315">
        <f t="shared" si="0"/>
        <v>14</v>
      </c>
      <c r="B15" s="314" t="s">
        <v>421</v>
      </c>
      <c r="C15" s="665">
        <v>2</v>
      </c>
      <c r="D15" s="10">
        <v>7.78</v>
      </c>
      <c r="E15" s="7">
        <v>17</v>
      </c>
      <c r="F15" s="26">
        <f t="shared" si="1"/>
        <v>0.54235294117647048</v>
      </c>
      <c r="G15" s="30">
        <f t="shared" si="2"/>
        <v>15.56</v>
      </c>
      <c r="H15" s="25">
        <f t="shared" si="3"/>
        <v>34</v>
      </c>
    </row>
    <row r="16" spans="1:8" x14ac:dyDescent="0.25">
      <c r="A16" s="315">
        <f t="shared" si="0"/>
        <v>15</v>
      </c>
      <c r="B16" s="314" t="s">
        <v>423</v>
      </c>
      <c r="C16" s="665">
        <v>1</v>
      </c>
      <c r="D16" s="15">
        <v>8.9</v>
      </c>
      <c r="E16" s="7">
        <v>17</v>
      </c>
      <c r="F16" s="26">
        <f t="shared" si="1"/>
        <v>0.47647058823529409</v>
      </c>
      <c r="G16" s="30">
        <f t="shared" si="2"/>
        <v>8.9</v>
      </c>
      <c r="H16" s="25">
        <f t="shared" si="3"/>
        <v>17</v>
      </c>
    </row>
    <row r="17" spans="1:8" x14ac:dyDescent="0.25">
      <c r="A17" s="315">
        <f t="shared" si="0"/>
        <v>16</v>
      </c>
      <c r="B17" s="314" t="s">
        <v>422</v>
      </c>
      <c r="C17" s="349">
        <v>1</v>
      </c>
      <c r="D17" s="15">
        <v>8.9</v>
      </c>
      <c r="E17" s="7">
        <v>17</v>
      </c>
      <c r="F17" s="26">
        <f t="shared" si="1"/>
        <v>0.47647058823529409</v>
      </c>
      <c r="G17" s="30">
        <f t="shared" si="2"/>
        <v>8.9</v>
      </c>
      <c r="H17" s="25">
        <f t="shared" si="3"/>
        <v>17</v>
      </c>
    </row>
    <row r="18" spans="1:8" x14ac:dyDescent="0.25">
      <c r="A18" s="315">
        <f t="shared" si="0"/>
        <v>17</v>
      </c>
      <c r="B18" s="314" t="s">
        <v>424</v>
      </c>
      <c r="C18" s="349">
        <v>1</v>
      </c>
      <c r="D18" s="15">
        <v>9.25</v>
      </c>
      <c r="E18" s="7">
        <v>17</v>
      </c>
      <c r="F18" s="26">
        <f t="shared" si="1"/>
        <v>0.45588235294117646</v>
      </c>
      <c r="G18" s="30">
        <f t="shared" si="2"/>
        <v>9.25</v>
      </c>
      <c r="H18" s="25">
        <f t="shared" si="3"/>
        <v>17</v>
      </c>
    </row>
    <row r="19" spans="1:8" x14ac:dyDescent="0.25">
      <c r="A19" s="315">
        <f t="shared" si="0"/>
        <v>18</v>
      </c>
      <c r="B19" s="314" t="s">
        <v>425</v>
      </c>
      <c r="C19" s="349">
        <v>2</v>
      </c>
      <c r="D19" s="15">
        <v>9.25</v>
      </c>
      <c r="E19" s="7">
        <v>17</v>
      </c>
      <c r="F19" s="26">
        <f t="shared" si="1"/>
        <v>0.45588235294117646</v>
      </c>
      <c r="G19" s="30">
        <f t="shared" si="2"/>
        <v>18.5</v>
      </c>
      <c r="H19" s="25">
        <f t="shared" si="3"/>
        <v>34</v>
      </c>
    </row>
    <row r="20" spans="1:8" x14ac:dyDescent="0.25">
      <c r="A20" s="315">
        <f t="shared" si="0"/>
        <v>19</v>
      </c>
      <c r="B20" s="314" t="s">
        <v>426</v>
      </c>
      <c r="C20" s="349">
        <v>2</v>
      </c>
      <c r="D20" s="15">
        <v>8.93</v>
      </c>
      <c r="E20" s="7">
        <v>17</v>
      </c>
      <c r="F20" s="26">
        <f t="shared" si="1"/>
        <v>0.4747058823529412</v>
      </c>
      <c r="G20" s="30">
        <f t="shared" si="2"/>
        <v>17.86</v>
      </c>
      <c r="H20" s="25">
        <f t="shared" si="3"/>
        <v>34</v>
      </c>
    </row>
    <row r="21" spans="1:8" x14ac:dyDescent="0.25">
      <c r="A21" s="315">
        <f t="shared" si="0"/>
        <v>20</v>
      </c>
      <c r="B21" s="314" t="s">
        <v>427</v>
      </c>
      <c r="C21" s="665">
        <v>1</v>
      </c>
      <c r="D21" s="15">
        <v>9.1</v>
      </c>
      <c r="E21" s="7">
        <v>17</v>
      </c>
      <c r="F21" s="26">
        <f t="shared" si="1"/>
        <v>0.46470588235294119</v>
      </c>
      <c r="G21" s="30">
        <f t="shared" si="2"/>
        <v>9.1</v>
      </c>
      <c r="H21" s="25">
        <f t="shared" si="3"/>
        <v>17</v>
      </c>
    </row>
    <row r="22" spans="1:8" x14ac:dyDescent="0.25">
      <c r="A22" s="315">
        <f t="shared" si="0"/>
        <v>21</v>
      </c>
      <c r="B22" s="3" t="s">
        <v>428</v>
      </c>
      <c r="C22" s="665">
        <v>1</v>
      </c>
      <c r="D22" s="15">
        <v>9.1</v>
      </c>
      <c r="E22" s="7">
        <v>17</v>
      </c>
      <c r="F22" s="26">
        <f t="shared" si="1"/>
        <v>0.46470588235294119</v>
      </c>
      <c r="G22" s="30">
        <f t="shared" si="2"/>
        <v>9.1</v>
      </c>
      <c r="H22" s="25">
        <f t="shared" si="3"/>
        <v>17</v>
      </c>
    </row>
    <row r="23" spans="1:8" x14ac:dyDescent="0.25">
      <c r="A23" s="315">
        <f t="shared" si="0"/>
        <v>22</v>
      </c>
      <c r="B23" s="3" t="s">
        <v>1066</v>
      </c>
      <c r="C23" s="8">
        <v>1</v>
      </c>
      <c r="D23" s="15">
        <v>145</v>
      </c>
      <c r="E23" s="7">
        <v>235</v>
      </c>
      <c r="F23" s="26">
        <f t="shared" si="1"/>
        <v>0.38297872340425532</v>
      </c>
      <c r="G23" s="30">
        <f t="shared" si="2"/>
        <v>145</v>
      </c>
      <c r="H23" s="25">
        <f t="shared" si="3"/>
        <v>235</v>
      </c>
    </row>
    <row r="24" spans="1:8" x14ac:dyDescent="0.25">
      <c r="A24" s="315">
        <f t="shared" si="0"/>
        <v>23</v>
      </c>
      <c r="B24" s="314" t="s">
        <v>1371</v>
      </c>
      <c r="C24" s="349">
        <v>66</v>
      </c>
      <c r="D24" s="10">
        <v>2.5499999999999998</v>
      </c>
      <c r="E24" s="7">
        <v>5</v>
      </c>
      <c r="F24" s="26">
        <f t="shared" si="1"/>
        <v>0.49000000000000005</v>
      </c>
      <c r="G24" s="30">
        <f t="shared" si="2"/>
        <v>168.29999999999998</v>
      </c>
      <c r="H24" s="25">
        <f t="shared" si="3"/>
        <v>330</v>
      </c>
    </row>
    <row r="25" spans="1:8" x14ac:dyDescent="0.25">
      <c r="A25" s="315">
        <f t="shared" si="0"/>
        <v>24</v>
      </c>
      <c r="B25" s="314" t="s">
        <v>1484</v>
      </c>
      <c r="C25" s="8">
        <v>1</v>
      </c>
      <c r="D25" s="15">
        <v>15.57</v>
      </c>
      <c r="E25" s="7">
        <v>26</v>
      </c>
      <c r="F25" s="26">
        <f t="shared" si="1"/>
        <v>0.40115384615384614</v>
      </c>
      <c r="G25" s="30">
        <f t="shared" si="2"/>
        <v>15.57</v>
      </c>
      <c r="H25" s="25">
        <f t="shared" si="3"/>
        <v>26</v>
      </c>
    </row>
    <row r="26" spans="1:8" x14ac:dyDescent="0.25">
      <c r="A26" s="315">
        <f t="shared" si="0"/>
        <v>25</v>
      </c>
      <c r="B26" s="314" t="s">
        <v>1483</v>
      </c>
      <c r="C26" s="8">
        <v>2</v>
      </c>
      <c r="D26" s="15">
        <v>15.57</v>
      </c>
      <c r="E26" s="7">
        <v>26</v>
      </c>
      <c r="F26" s="26">
        <f t="shared" si="1"/>
        <v>0.40115384615384614</v>
      </c>
      <c r="G26" s="30">
        <f t="shared" si="2"/>
        <v>31.14</v>
      </c>
      <c r="H26" s="25">
        <f t="shared" si="3"/>
        <v>52</v>
      </c>
    </row>
    <row r="27" spans="1:8" x14ac:dyDescent="0.25">
      <c r="A27" s="315">
        <f t="shared" si="0"/>
        <v>26</v>
      </c>
      <c r="B27" s="314" t="s">
        <v>1481</v>
      </c>
      <c r="C27" s="8">
        <v>1</v>
      </c>
      <c r="D27" s="15">
        <v>15.57</v>
      </c>
      <c r="E27" s="7">
        <v>26</v>
      </c>
      <c r="F27" s="26">
        <f t="shared" si="1"/>
        <v>0.40115384615384614</v>
      </c>
      <c r="G27" s="30">
        <f t="shared" si="2"/>
        <v>15.57</v>
      </c>
      <c r="H27" s="25">
        <f t="shared" si="3"/>
        <v>26</v>
      </c>
    </row>
    <row r="28" spans="1:8" x14ac:dyDescent="0.25">
      <c r="A28" s="315">
        <f t="shared" si="0"/>
        <v>27</v>
      </c>
      <c r="B28" s="314" t="s">
        <v>1482</v>
      </c>
      <c r="C28" s="8">
        <v>1</v>
      </c>
      <c r="D28" s="15">
        <v>15.57</v>
      </c>
      <c r="E28" s="7">
        <v>26</v>
      </c>
      <c r="F28" s="26">
        <f t="shared" si="1"/>
        <v>0.40115384615384614</v>
      </c>
      <c r="G28" s="30">
        <f t="shared" si="2"/>
        <v>15.57</v>
      </c>
      <c r="H28" s="25">
        <f t="shared" si="3"/>
        <v>26</v>
      </c>
    </row>
    <row r="29" spans="1:8" x14ac:dyDescent="0.25">
      <c r="A29" s="315">
        <f t="shared" si="0"/>
        <v>28</v>
      </c>
      <c r="B29" s="314" t="s">
        <v>212</v>
      </c>
      <c r="C29" s="8">
        <v>5</v>
      </c>
      <c r="D29" s="15">
        <v>19.18</v>
      </c>
      <c r="E29" s="7">
        <v>32</v>
      </c>
      <c r="F29" s="26">
        <f t="shared" si="1"/>
        <v>0.40062500000000001</v>
      </c>
      <c r="G29" s="30">
        <f t="shared" si="2"/>
        <v>95.9</v>
      </c>
      <c r="H29" s="25">
        <f t="shared" si="3"/>
        <v>160</v>
      </c>
    </row>
    <row r="30" spans="1:8" x14ac:dyDescent="0.25">
      <c r="A30" s="315">
        <f t="shared" si="0"/>
        <v>29</v>
      </c>
      <c r="B30" s="314" t="s">
        <v>1485</v>
      </c>
      <c r="C30" s="8">
        <v>6</v>
      </c>
      <c r="D30" s="15">
        <v>13.94</v>
      </c>
      <c r="E30" s="7">
        <v>23</v>
      </c>
      <c r="F30" s="26">
        <f t="shared" si="1"/>
        <v>0.39391304347826089</v>
      </c>
      <c r="G30" s="30">
        <f t="shared" si="2"/>
        <v>83.64</v>
      </c>
      <c r="H30" s="25">
        <f t="shared" si="3"/>
        <v>138</v>
      </c>
    </row>
    <row r="31" spans="1:8" x14ac:dyDescent="0.25">
      <c r="A31" s="315">
        <f t="shared" si="0"/>
        <v>30</v>
      </c>
      <c r="B31" s="314"/>
      <c r="C31" s="8"/>
      <c r="D31" s="15"/>
      <c r="E31" s="7"/>
      <c r="G31" s="30"/>
      <c r="H31" s="25"/>
    </row>
    <row r="32" spans="1:8" x14ac:dyDescent="0.25">
      <c r="A32" s="315">
        <f t="shared" si="0"/>
        <v>31</v>
      </c>
      <c r="B32" s="314"/>
      <c r="C32" s="8"/>
      <c r="D32" s="15"/>
      <c r="E32" s="7"/>
      <c r="G32" s="30"/>
      <c r="H32" s="25"/>
    </row>
    <row r="33" spans="1:8" x14ac:dyDescent="0.25">
      <c r="A33" s="315">
        <f t="shared" si="0"/>
        <v>32</v>
      </c>
      <c r="B33" s="314"/>
      <c r="C33" s="8"/>
      <c r="D33" s="15"/>
      <c r="E33" s="7"/>
      <c r="G33" s="30"/>
      <c r="H33" s="25"/>
    </row>
    <row r="34" spans="1:8" x14ac:dyDescent="0.25">
      <c r="A34" s="315">
        <f t="shared" si="0"/>
        <v>33</v>
      </c>
      <c r="C34" s="47"/>
      <c r="D34" s="15"/>
      <c r="E34" s="7"/>
      <c r="G34" s="30">
        <f>SUM(G2:G33)</f>
        <v>1102.636</v>
      </c>
      <c r="H34" s="25">
        <f>SUM(H2:H33)</f>
        <v>2026.4</v>
      </c>
    </row>
    <row r="35" spans="1:8" x14ac:dyDescent="0.25">
      <c r="A35" s="315">
        <f t="shared" si="0"/>
        <v>34</v>
      </c>
      <c r="C35" s="47"/>
      <c r="D35" s="15"/>
      <c r="E35" s="7"/>
      <c r="G35" s="30"/>
      <c r="H35" s="25"/>
    </row>
    <row r="36" spans="1:8" x14ac:dyDescent="0.25">
      <c r="A36" s="315">
        <f t="shared" si="0"/>
        <v>35</v>
      </c>
      <c r="C36" s="47"/>
      <c r="D36" s="15"/>
      <c r="E36" s="7"/>
      <c r="G36" s="30"/>
      <c r="H36" s="25">
        <f>H34-G34</f>
        <v>923.76400000000012</v>
      </c>
    </row>
    <row r="37" spans="1:8" x14ac:dyDescent="0.25">
      <c r="A37" s="315">
        <f t="shared" si="0"/>
        <v>36</v>
      </c>
      <c r="C37" s="47"/>
      <c r="D37" s="10"/>
      <c r="E37" s="7"/>
      <c r="G37" s="30"/>
      <c r="H37" s="29">
        <f>H36/H34</f>
        <v>0.45586458744571656</v>
      </c>
    </row>
    <row r="38" spans="1:8" x14ac:dyDescent="0.25">
      <c r="A38" s="315">
        <f t="shared" si="0"/>
        <v>37</v>
      </c>
      <c r="C38" s="47"/>
      <c r="D38" s="10"/>
      <c r="E38" s="7"/>
      <c r="G38" s="30"/>
      <c r="H38" s="25"/>
    </row>
    <row r="39" spans="1:8" x14ac:dyDescent="0.25">
      <c r="A39" s="315">
        <f t="shared" si="0"/>
        <v>38</v>
      </c>
      <c r="C39" s="47"/>
      <c r="D39" s="15"/>
      <c r="E39" s="7"/>
      <c r="G39" s="30"/>
      <c r="H39" s="25"/>
    </row>
    <row r="40" spans="1:8" x14ac:dyDescent="0.25">
      <c r="A40" s="315">
        <f t="shared" si="0"/>
        <v>39</v>
      </c>
      <c r="C40" s="47"/>
      <c r="D40" s="15"/>
      <c r="E40" s="7"/>
      <c r="G40" s="30"/>
      <c r="H40" s="25"/>
    </row>
    <row r="41" spans="1:8" x14ac:dyDescent="0.25">
      <c r="A41" s="315">
        <f t="shared" si="0"/>
        <v>40</v>
      </c>
      <c r="C41" s="47"/>
      <c r="D41" s="15"/>
      <c r="E41" s="7"/>
      <c r="G41" s="30"/>
      <c r="H41" s="25"/>
    </row>
    <row r="42" spans="1:8" x14ac:dyDescent="0.25">
      <c r="A42" s="315">
        <f t="shared" si="0"/>
        <v>41</v>
      </c>
      <c r="C42" s="47"/>
      <c r="D42" s="15"/>
      <c r="E42" s="7"/>
      <c r="G42" s="30"/>
      <c r="H42" s="25"/>
    </row>
    <row r="43" spans="1:8" x14ac:dyDescent="0.25">
      <c r="C43" s="47"/>
      <c r="D43" s="15"/>
      <c r="E43" s="7"/>
      <c r="G43" s="30"/>
      <c r="H43" s="25"/>
    </row>
    <row r="44" spans="1:8" x14ac:dyDescent="0.25">
      <c r="B44" s="4"/>
      <c r="C44" s="47"/>
      <c r="D44" s="15"/>
      <c r="E44" s="7"/>
      <c r="G44" s="30"/>
      <c r="H44" s="25"/>
    </row>
    <row r="45" spans="1:8" x14ac:dyDescent="0.25">
      <c r="B45" s="4"/>
      <c r="C45" s="47"/>
      <c r="D45" s="15"/>
      <c r="E45" s="7"/>
      <c r="G45" s="30"/>
      <c r="H45" s="25"/>
    </row>
    <row r="46" spans="1:8" x14ac:dyDescent="0.25">
      <c r="B46" s="4"/>
      <c r="C46" s="47"/>
      <c r="D46" s="15"/>
      <c r="E46" s="7"/>
      <c r="G46" s="30"/>
      <c r="H46" s="25"/>
    </row>
    <row r="47" spans="1:8" x14ac:dyDescent="0.25">
      <c r="B47" s="4"/>
      <c r="C47" s="47"/>
      <c r="D47" s="15"/>
      <c r="E47" s="7"/>
      <c r="G47" s="30"/>
      <c r="H47" s="25"/>
    </row>
    <row r="48" spans="1:8" x14ac:dyDescent="0.25">
      <c r="B48" s="4"/>
      <c r="C48" s="47"/>
      <c r="D48" s="15"/>
      <c r="E48" s="7"/>
      <c r="G48" s="30"/>
      <c r="H48" s="25"/>
    </row>
    <row r="49" spans="2:17" x14ac:dyDescent="0.25">
      <c r="B49" s="4"/>
      <c r="C49" s="47"/>
      <c r="D49" s="15"/>
      <c r="E49" s="7"/>
      <c r="G49" s="30"/>
      <c r="H49" s="25"/>
    </row>
    <row r="50" spans="2:17" x14ac:dyDescent="0.25">
      <c r="B50" s="4"/>
      <c r="C50" s="47"/>
      <c r="D50" s="15"/>
      <c r="E50" s="7"/>
      <c r="G50" s="30"/>
      <c r="H50" s="25"/>
    </row>
    <row r="51" spans="2:17" x14ac:dyDescent="0.25">
      <c r="B51" s="4"/>
      <c r="C51" s="8"/>
      <c r="D51" s="15"/>
      <c r="E51" s="7"/>
      <c r="G51" s="30"/>
      <c r="H51" s="25"/>
    </row>
    <row r="52" spans="2:17" x14ac:dyDescent="0.25">
      <c r="B52" s="4"/>
      <c r="C52" s="9"/>
      <c r="D52" s="15"/>
      <c r="E52" s="7"/>
      <c r="G52" s="30"/>
      <c r="H52" s="25"/>
    </row>
    <row r="53" spans="2:17" x14ac:dyDescent="0.25">
      <c r="B53" s="4"/>
      <c r="C53" s="9"/>
      <c r="D53" s="15"/>
      <c r="E53" s="7"/>
      <c r="G53" s="30"/>
      <c r="H53" s="25"/>
    </row>
    <row r="54" spans="2:17" x14ac:dyDescent="0.25">
      <c r="B54" s="4"/>
      <c r="C54" s="9"/>
      <c r="D54" s="15"/>
      <c r="E54" s="7"/>
      <c r="G54" s="30"/>
      <c r="H54" s="25"/>
    </row>
    <row r="55" spans="2:17" x14ac:dyDescent="0.25">
      <c r="B55" s="4"/>
      <c r="C55" s="8"/>
      <c r="D55" s="15"/>
      <c r="E55" s="7"/>
      <c r="G55" s="30"/>
      <c r="H55" s="29"/>
    </row>
    <row r="56" spans="2:17" x14ac:dyDescent="0.25">
      <c r="B56" s="4"/>
      <c r="C56" s="8"/>
      <c r="D56" s="15"/>
      <c r="E56" s="7"/>
      <c r="G56" s="30"/>
      <c r="H56" s="25"/>
    </row>
    <row r="57" spans="2:17" x14ac:dyDescent="0.25">
      <c r="B57" s="4"/>
      <c r="C57" s="8"/>
      <c r="D57" s="15"/>
      <c r="E57" s="7"/>
      <c r="G57" s="30"/>
      <c r="H57" s="25"/>
    </row>
    <row r="58" spans="2:17" x14ac:dyDescent="0.25">
      <c r="B58" s="4"/>
      <c r="C58" s="9"/>
      <c r="D58" s="15"/>
      <c r="E58" s="7"/>
      <c r="G58" s="30"/>
      <c r="H58" s="25"/>
    </row>
    <row r="59" spans="2:17" x14ac:dyDescent="0.25">
      <c r="B59" s="4"/>
      <c r="C59" s="9"/>
      <c r="D59" s="15"/>
      <c r="E59" s="7"/>
      <c r="G59" s="30"/>
      <c r="H59" s="25"/>
    </row>
    <row r="60" spans="2:17" x14ac:dyDescent="0.25">
      <c r="B60" s="4"/>
      <c r="C60" s="9"/>
      <c r="D60" s="15"/>
      <c r="E60" s="7"/>
      <c r="G60" s="30"/>
      <c r="H60" s="25"/>
    </row>
    <row r="61" spans="2:17" x14ac:dyDescent="0.25">
      <c r="B61" s="4"/>
      <c r="C61" s="8"/>
      <c r="D61" s="15"/>
      <c r="E61" s="7"/>
      <c r="G61" s="30"/>
      <c r="H61" s="25"/>
    </row>
    <row r="62" spans="2:17" x14ac:dyDescent="0.25">
      <c r="B62" s="4"/>
      <c r="C62" s="9"/>
      <c r="D62" s="15"/>
      <c r="E62" s="7"/>
      <c r="G62" s="30"/>
      <c r="H62" s="25"/>
    </row>
    <row r="63" spans="2:17" x14ac:dyDescent="0.25">
      <c r="B63" s="4"/>
      <c r="C63" s="9"/>
      <c r="D63" s="15"/>
      <c r="E63" s="7"/>
      <c r="G63" s="30"/>
      <c r="H63" s="25"/>
      <c r="J63" s="38"/>
      <c r="K63" s="38"/>
      <c r="L63" s="37"/>
      <c r="M63" s="36"/>
      <c r="N63" s="36"/>
      <c r="O63" s="35"/>
      <c r="P63" s="34"/>
      <c r="Q63" s="33"/>
    </row>
    <row r="64" spans="2:17" x14ac:dyDescent="0.25">
      <c r="B64" s="4"/>
      <c r="C64" s="8"/>
      <c r="D64" s="15"/>
      <c r="E64" s="7"/>
      <c r="G64" s="30"/>
      <c r="H64" s="25"/>
    </row>
    <row r="65" spans="2:8" x14ac:dyDescent="0.25">
      <c r="B65" s="4"/>
      <c r="C65" s="9"/>
      <c r="D65" s="15"/>
      <c r="E65" s="7"/>
      <c r="G65" s="30"/>
      <c r="H65" s="25"/>
    </row>
    <row r="66" spans="2:8" x14ac:dyDescent="0.25">
      <c r="B66" s="4"/>
      <c r="C66" s="8"/>
      <c r="D66" s="15"/>
      <c r="E66" s="7"/>
      <c r="G66" s="30"/>
      <c r="H66" s="25"/>
    </row>
    <row r="67" spans="2:8" x14ac:dyDescent="0.25">
      <c r="B67" s="4"/>
      <c r="C67" s="8"/>
      <c r="D67" s="15"/>
      <c r="E67" s="7"/>
      <c r="G67" s="30"/>
      <c r="H67" s="25"/>
    </row>
    <row r="68" spans="2:8" x14ac:dyDescent="0.25">
      <c r="B68" s="4"/>
      <c r="C68" s="8"/>
      <c r="D68" s="15"/>
      <c r="E68" s="7"/>
      <c r="G68" s="30"/>
      <c r="H68" s="25"/>
    </row>
    <row r="69" spans="2:8" x14ac:dyDescent="0.25">
      <c r="B69" s="4"/>
      <c r="C69" s="9"/>
      <c r="D69" s="15"/>
      <c r="E69" s="7"/>
      <c r="G69" s="30"/>
      <c r="H69" s="25"/>
    </row>
    <row r="70" spans="2:8" x14ac:dyDescent="0.25">
      <c r="B70" s="4"/>
      <c r="C70" s="9"/>
      <c r="D70" s="15"/>
      <c r="E70" s="7"/>
      <c r="G70" s="30"/>
      <c r="H70" s="25"/>
    </row>
    <row r="71" spans="2:8" x14ac:dyDescent="0.25">
      <c r="B71" s="4"/>
      <c r="C71" s="9"/>
      <c r="D71" s="15"/>
      <c r="E71" s="7"/>
      <c r="H71" s="25"/>
    </row>
    <row r="72" spans="2:8" x14ac:dyDescent="0.25">
      <c r="B72" s="4"/>
      <c r="C72" s="9"/>
      <c r="D72" s="15"/>
      <c r="E72" s="7"/>
      <c r="G72" s="30"/>
      <c r="H72" s="25"/>
    </row>
    <row r="73" spans="2:8" x14ac:dyDescent="0.25">
      <c r="B73" s="4"/>
      <c r="C73" s="9"/>
      <c r="D73" s="15"/>
      <c r="E73" s="7"/>
      <c r="G73" s="30"/>
      <c r="H73" s="25"/>
    </row>
    <row r="74" spans="2:8" x14ac:dyDescent="0.25">
      <c r="B74" s="4"/>
      <c r="C74" s="9"/>
      <c r="D74" s="15"/>
      <c r="E74" s="7"/>
      <c r="G74" s="30"/>
      <c r="H74" s="25"/>
    </row>
    <row r="75" spans="2:8" x14ac:dyDescent="0.25">
      <c r="B75" s="4"/>
      <c r="C75" s="8"/>
      <c r="D75" s="15"/>
      <c r="E75" s="7"/>
      <c r="G75" s="30"/>
      <c r="H75" s="25"/>
    </row>
    <row r="76" spans="2:8" x14ac:dyDescent="0.25">
      <c r="B76" s="4"/>
      <c r="C76" s="9"/>
      <c r="D76" s="15"/>
      <c r="E76" s="7"/>
      <c r="G76" s="30"/>
      <c r="H76" s="25"/>
    </row>
    <row r="77" spans="2:8" x14ac:dyDescent="0.25">
      <c r="B77" s="4"/>
      <c r="C77" s="9"/>
      <c r="D77" s="10"/>
      <c r="E77" s="7"/>
      <c r="G77" s="30"/>
      <c r="H77" s="25"/>
    </row>
    <row r="78" spans="2:8" x14ac:dyDescent="0.25">
      <c r="B78" s="4"/>
      <c r="C78" s="9"/>
      <c r="D78" s="15"/>
      <c r="E78" s="7"/>
      <c r="G78" s="30"/>
      <c r="H78" s="25"/>
    </row>
    <row r="79" spans="2:8" x14ac:dyDescent="0.25">
      <c r="B79" s="4"/>
      <c r="C79" s="9"/>
      <c r="D79" s="15"/>
      <c r="E79" s="7"/>
      <c r="G79" s="30"/>
      <c r="H79" s="25"/>
    </row>
    <row r="80" spans="2:8" x14ac:dyDescent="0.25">
      <c r="B80" s="4"/>
      <c r="C80" s="9"/>
      <c r="D80" s="15"/>
      <c r="E80" s="7"/>
      <c r="G80" s="30"/>
      <c r="H80" s="25"/>
    </row>
    <row r="81" spans="2:8" x14ac:dyDescent="0.25">
      <c r="B81" s="4"/>
      <c r="C81" s="9"/>
      <c r="D81" s="15"/>
      <c r="E81" s="7"/>
      <c r="G81" s="30"/>
      <c r="H81" s="25"/>
    </row>
    <row r="82" spans="2:8" x14ac:dyDescent="0.25">
      <c r="B82" s="4"/>
      <c r="C82" s="9"/>
      <c r="D82" s="15"/>
      <c r="E82" s="7"/>
      <c r="G82" s="30"/>
      <c r="H82" s="25"/>
    </row>
    <row r="83" spans="2:8" x14ac:dyDescent="0.25">
      <c r="B83" s="4"/>
      <c r="C83" s="9"/>
      <c r="D83" s="15"/>
      <c r="E83" s="7"/>
      <c r="G83" s="30"/>
      <c r="H83" s="25"/>
    </row>
    <row r="84" spans="2:8" x14ac:dyDescent="0.25">
      <c r="B84" s="4"/>
      <c r="C84" s="9"/>
      <c r="D84" s="15"/>
      <c r="E84" s="7"/>
      <c r="G84" s="30"/>
      <c r="H84" s="25"/>
    </row>
    <row r="85" spans="2:8" x14ac:dyDescent="0.25">
      <c r="B85" s="4"/>
      <c r="C85" s="9"/>
      <c r="D85" s="15"/>
      <c r="E85" s="7"/>
      <c r="G85" s="30"/>
      <c r="H85" s="25"/>
    </row>
    <row r="86" spans="2:8" x14ac:dyDescent="0.25">
      <c r="B86" s="4"/>
      <c r="C86" s="9"/>
      <c r="D86" s="15"/>
      <c r="E86" s="7"/>
      <c r="G86" s="30"/>
      <c r="H86" s="25"/>
    </row>
    <row r="87" spans="2:8" x14ac:dyDescent="0.25">
      <c r="B87" s="3"/>
      <c r="C87" s="9"/>
      <c r="D87" s="15"/>
      <c r="E87" s="7"/>
      <c r="G87" s="30"/>
      <c r="H87" s="25"/>
    </row>
    <row r="88" spans="2:8" x14ac:dyDescent="0.25">
      <c r="B88" s="4"/>
      <c r="C88" s="9"/>
      <c r="D88" s="15"/>
      <c r="E88" s="7"/>
      <c r="G88" s="30"/>
      <c r="H88" s="25"/>
    </row>
    <row r="89" spans="2:8" x14ac:dyDescent="0.25">
      <c r="B89" s="4"/>
      <c r="C89" s="9"/>
      <c r="D89" s="15"/>
      <c r="E89" s="7"/>
      <c r="G89" s="30"/>
      <c r="H89" s="25"/>
    </row>
    <row r="90" spans="2:8" ht="14.25" customHeight="1" x14ac:dyDescent="0.25">
      <c r="B90" s="4"/>
      <c r="C90" s="9"/>
      <c r="D90" s="15"/>
      <c r="E90" s="7"/>
      <c r="G90" s="30"/>
      <c r="H90" s="25"/>
    </row>
    <row r="91" spans="2:8" x14ac:dyDescent="0.25">
      <c r="B91" s="4"/>
      <c r="C91" s="9"/>
      <c r="D91" s="15"/>
      <c r="E91" s="7"/>
      <c r="G91" s="30"/>
      <c r="H91" s="25"/>
    </row>
    <row r="92" spans="2:8" x14ac:dyDescent="0.25">
      <c r="B92" s="4"/>
      <c r="C92" s="9"/>
      <c r="D92" s="15"/>
      <c r="E92" s="7"/>
      <c r="G92" s="30"/>
      <c r="H92" s="25"/>
    </row>
    <row r="93" spans="2:8" x14ac:dyDescent="0.25">
      <c r="B93" s="4"/>
      <c r="C93" s="9"/>
      <c r="D93" s="15"/>
      <c r="E93" s="7"/>
      <c r="G93" s="30"/>
      <c r="H93" s="25"/>
    </row>
    <row r="94" spans="2:8" x14ac:dyDescent="0.25">
      <c r="B94" s="4"/>
      <c r="C94" s="9"/>
      <c r="D94" s="15"/>
      <c r="E94" s="7"/>
      <c r="G94" s="30"/>
      <c r="H94" s="25"/>
    </row>
    <row r="95" spans="2:8" x14ac:dyDescent="0.25">
      <c r="B95" s="4"/>
      <c r="C95" s="9"/>
      <c r="D95" s="15"/>
      <c r="E95" s="7"/>
      <c r="G95" s="30"/>
      <c r="H95" s="25"/>
    </row>
    <row r="96" spans="2:8" x14ac:dyDescent="0.25">
      <c r="B96" s="4"/>
      <c r="C96" s="9"/>
      <c r="D96" s="15"/>
      <c r="E96" s="7"/>
      <c r="G96" s="30"/>
      <c r="H96" s="25"/>
    </row>
    <row r="97" spans="2:9" x14ac:dyDescent="0.25">
      <c r="B97" s="4"/>
      <c r="C97" s="9"/>
      <c r="D97" s="15"/>
      <c r="E97" s="7"/>
      <c r="G97" s="30"/>
      <c r="H97" s="25"/>
      <c r="I97" s="32"/>
    </row>
    <row r="98" spans="2:9" x14ac:dyDescent="0.25">
      <c r="B98" s="4"/>
      <c r="C98" s="9"/>
      <c r="D98" s="15"/>
      <c r="E98" s="7"/>
      <c r="G98" s="30"/>
      <c r="H98" s="25"/>
      <c r="I98" s="31"/>
    </row>
    <row r="99" spans="2:9" x14ac:dyDescent="0.25">
      <c r="B99" s="4"/>
      <c r="C99" s="9"/>
      <c r="D99" s="15"/>
      <c r="E99" s="7"/>
      <c r="G99" s="30"/>
      <c r="H99" s="25"/>
      <c r="I99" s="32"/>
    </row>
    <row r="100" spans="2:9" x14ac:dyDescent="0.25">
      <c r="B100" s="4"/>
      <c r="C100" s="9"/>
      <c r="D100" s="15"/>
      <c r="E100" s="7"/>
      <c r="G100" s="30"/>
      <c r="H100" s="25"/>
      <c r="I100" s="32"/>
    </row>
    <row r="101" spans="2:9" ht="14.25" customHeight="1" x14ac:dyDescent="0.25">
      <c r="B101" s="4"/>
      <c r="C101" s="9"/>
      <c r="D101" s="15"/>
      <c r="E101" s="7"/>
      <c r="G101" s="30"/>
      <c r="H101" s="25"/>
    </row>
    <row r="102" spans="2:9" x14ac:dyDescent="0.25">
      <c r="B102" s="4"/>
      <c r="C102" s="8"/>
      <c r="D102" s="15"/>
      <c r="E102" s="7"/>
      <c r="G102" s="30"/>
      <c r="H102" s="29"/>
    </row>
    <row r="103" spans="2:9" x14ac:dyDescent="0.25">
      <c r="B103" s="4"/>
      <c r="C103" s="8"/>
      <c r="D103" s="15"/>
      <c r="E103" s="7"/>
      <c r="G103" s="30"/>
      <c r="H103" s="25"/>
      <c r="I103" s="31"/>
    </row>
    <row r="104" spans="2:9" x14ac:dyDescent="0.25">
      <c r="B104" s="4"/>
      <c r="C104" s="8"/>
      <c r="D104" s="15"/>
      <c r="E104" s="7"/>
      <c r="G104" s="30"/>
      <c r="H104" s="25"/>
    </row>
    <row r="105" spans="2:9" x14ac:dyDescent="0.25">
      <c r="B105" s="4"/>
      <c r="C105" s="9"/>
      <c r="D105" s="15"/>
      <c r="E105" s="7"/>
      <c r="G105" s="30"/>
      <c r="H105" s="25"/>
    </row>
    <row r="106" spans="2:9" x14ac:dyDescent="0.25">
      <c r="B106" s="3"/>
      <c r="C106" s="9"/>
      <c r="D106" s="15"/>
      <c r="E106" s="7"/>
      <c r="G106" s="30"/>
      <c r="H106" s="25"/>
    </row>
    <row r="107" spans="2:9" x14ac:dyDescent="0.25">
      <c r="B107" s="4"/>
      <c r="C107" s="9"/>
      <c r="D107" s="15"/>
      <c r="E107" s="7"/>
      <c r="G107" s="30"/>
      <c r="H107" s="25"/>
    </row>
    <row r="108" spans="2:9" x14ac:dyDescent="0.25">
      <c r="B108" s="4"/>
      <c r="C108" s="9"/>
      <c r="D108" s="15"/>
      <c r="E108" s="7"/>
      <c r="G108" s="30"/>
      <c r="H108" s="25"/>
    </row>
    <row r="109" spans="2:9" x14ac:dyDescent="0.25">
      <c r="B109" s="4"/>
      <c r="C109" s="8"/>
      <c r="D109" s="15"/>
      <c r="E109" s="7"/>
      <c r="G109" s="30"/>
      <c r="H109" s="25"/>
    </row>
    <row r="110" spans="2:9" x14ac:dyDescent="0.25">
      <c r="B110" s="4"/>
      <c r="C110" s="9"/>
      <c r="D110" s="10"/>
      <c r="E110" s="7"/>
      <c r="G110" s="30"/>
      <c r="H110" s="25"/>
    </row>
    <row r="111" spans="2:9" x14ac:dyDescent="0.25">
      <c r="B111" s="4"/>
      <c r="C111" s="9"/>
      <c r="D111" s="15"/>
      <c r="E111" s="7"/>
      <c r="G111" s="30"/>
      <c r="H111" s="25"/>
    </row>
    <row r="112" spans="2:9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8"/>
      <c r="D115" s="15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5"/>
      <c r="E117" s="7"/>
      <c r="G117" s="30"/>
      <c r="H117" s="25"/>
    </row>
    <row r="118" spans="2:8" x14ac:dyDescent="0.25">
      <c r="B118" s="3"/>
      <c r="C118" s="9"/>
      <c r="D118" s="15"/>
      <c r="E118" s="7"/>
      <c r="G118" s="30"/>
      <c r="H118" s="25"/>
    </row>
    <row r="119" spans="2:8" x14ac:dyDescent="0.25">
      <c r="B119" s="4"/>
      <c r="C119" s="8"/>
      <c r="D119" s="15"/>
      <c r="E119" s="7"/>
      <c r="G119" s="30"/>
      <c r="H119" s="25"/>
    </row>
    <row r="120" spans="2:8" x14ac:dyDescent="0.25">
      <c r="B120" s="4"/>
      <c r="C120" s="8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3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8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9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9"/>
      <c r="D138" s="15"/>
      <c r="E138" s="7"/>
      <c r="G138" s="30"/>
      <c r="H138" s="25"/>
    </row>
    <row r="139" spans="2:8" x14ac:dyDescent="0.25">
      <c r="B139" s="4"/>
      <c r="C139" s="9"/>
      <c r="D139" s="10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9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8"/>
      <c r="D158" s="15"/>
      <c r="E158" s="7"/>
      <c r="G158" s="30"/>
      <c r="H158" s="25"/>
    </row>
    <row r="159" spans="2:8" x14ac:dyDescent="0.25">
      <c r="B159" s="4"/>
      <c r="C159" s="9"/>
      <c r="D159" s="15"/>
      <c r="E159" s="7"/>
      <c r="G159" s="30"/>
      <c r="H159" s="25"/>
    </row>
    <row r="160" spans="2:8" x14ac:dyDescent="0.25">
      <c r="B160" s="4"/>
      <c r="C160" s="8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8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0"/>
      <c r="E176" s="7"/>
      <c r="G176" s="30"/>
      <c r="H176" s="25"/>
    </row>
    <row r="177" spans="2:8" x14ac:dyDescent="0.25">
      <c r="B177" s="3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3"/>
      <c r="C181" s="9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9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9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8"/>
      <c r="D203" s="15"/>
      <c r="E203" s="7"/>
      <c r="G203" s="30"/>
      <c r="H203" s="25"/>
    </row>
    <row r="204" spans="2:8" x14ac:dyDescent="0.25">
      <c r="B204" s="4"/>
      <c r="C204" s="9"/>
      <c r="D204" s="15"/>
      <c r="E204" s="7"/>
      <c r="G204" s="30"/>
      <c r="H204" s="25"/>
    </row>
    <row r="205" spans="2:8" x14ac:dyDescent="0.25">
      <c r="B205" s="4"/>
      <c r="C205" s="8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8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8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9"/>
      <c r="D216" s="15"/>
      <c r="E216" s="7"/>
      <c r="G216" s="30"/>
      <c r="H216" s="25"/>
    </row>
    <row r="217" spans="2:8" x14ac:dyDescent="0.25">
      <c r="B217" s="3"/>
      <c r="C217" s="8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8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9"/>
      <c r="D224" s="15"/>
      <c r="E224" s="7"/>
      <c r="G224" s="30"/>
      <c r="H224" s="25"/>
    </row>
    <row r="225" spans="2:8" x14ac:dyDescent="0.25">
      <c r="B225" s="4"/>
      <c r="C225" s="8"/>
      <c r="D225" s="15"/>
      <c r="E225" s="7"/>
      <c r="G225" s="30"/>
      <c r="H225" s="25"/>
    </row>
    <row r="226" spans="2:8" x14ac:dyDescent="0.25">
      <c r="B226" s="4"/>
      <c r="C226" s="8"/>
      <c r="D226" s="15"/>
      <c r="E226" s="7"/>
      <c r="G226" s="30"/>
      <c r="H226" s="25"/>
    </row>
    <row r="227" spans="2:8" x14ac:dyDescent="0.25">
      <c r="B227" s="4"/>
      <c r="C227" s="9"/>
      <c r="D227" s="15"/>
      <c r="E227" s="7"/>
      <c r="G227" s="30"/>
      <c r="H227" s="25"/>
    </row>
    <row r="228" spans="2:8" x14ac:dyDescent="0.25">
      <c r="B228" s="4"/>
      <c r="C228" s="8"/>
      <c r="D228" s="15"/>
      <c r="E228" s="7"/>
      <c r="G228" s="30"/>
      <c r="H228" s="25"/>
    </row>
    <row r="229" spans="2:8" x14ac:dyDescent="0.25">
      <c r="B229" s="4"/>
      <c r="C229" s="9"/>
      <c r="D229" s="15"/>
      <c r="E229" s="7"/>
      <c r="G229" s="30"/>
      <c r="H229" s="25"/>
    </row>
    <row r="230" spans="2:8" x14ac:dyDescent="0.25">
      <c r="B230" s="4"/>
      <c r="C230" s="9"/>
      <c r="D230" s="15"/>
      <c r="E230" s="7"/>
      <c r="G230" s="30"/>
      <c r="H230" s="25"/>
    </row>
    <row r="231" spans="2:8" x14ac:dyDescent="0.25">
      <c r="B231" s="4"/>
      <c r="C231" s="9"/>
      <c r="D231" s="15"/>
      <c r="E231" s="7"/>
      <c r="G231" s="30"/>
      <c r="H231" s="25"/>
    </row>
    <row r="232" spans="2:8" x14ac:dyDescent="0.25">
      <c r="B232" s="4"/>
      <c r="C232" s="9"/>
      <c r="D232" s="15"/>
      <c r="E232" s="7"/>
      <c r="G232" s="30"/>
      <c r="H232" s="25"/>
    </row>
    <row r="233" spans="2:8" x14ac:dyDescent="0.25">
      <c r="B233" s="4"/>
      <c r="C233" s="9"/>
      <c r="D233" s="15"/>
      <c r="E233" s="7"/>
      <c r="G233" s="30"/>
      <c r="H233" s="25"/>
    </row>
    <row r="234" spans="2:8" x14ac:dyDescent="0.25">
      <c r="B234" s="4"/>
      <c r="C234" s="8"/>
      <c r="D234" s="15"/>
      <c r="E234" s="7"/>
      <c r="G234" s="30"/>
      <c r="H234" s="25"/>
    </row>
    <row r="235" spans="2:8" x14ac:dyDescent="0.25">
      <c r="B235" s="4"/>
      <c r="C235" s="9"/>
      <c r="D235" s="15"/>
      <c r="E235" s="7"/>
      <c r="G235" s="30"/>
      <c r="H235" s="25"/>
    </row>
    <row r="236" spans="2:8" x14ac:dyDescent="0.25">
      <c r="B236" s="4"/>
      <c r="C236" s="9"/>
      <c r="D236" s="15"/>
      <c r="E236" s="7"/>
      <c r="G236" s="30"/>
      <c r="H236" s="25"/>
    </row>
    <row r="237" spans="2:8" x14ac:dyDescent="0.25">
      <c r="B237" s="4"/>
      <c r="C237" s="9"/>
      <c r="D237" s="15"/>
      <c r="E237" s="7"/>
      <c r="G237" s="30"/>
      <c r="H237" s="25"/>
    </row>
    <row r="238" spans="2:8" x14ac:dyDescent="0.25">
      <c r="B238" s="3"/>
      <c r="C238" s="8"/>
      <c r="D238" s="15"/>
      <c r="E238" s="7"/>
      <c r="G238" s="30"/>
      <c r="H238" s="25"/>
    </row>
    <row r="239" spans="2:8" x14ac:dyDescent="0.25">
      <c r="B239" s="4"/>
      <c r="C239" s="9"/>
      <c r="D239" s="15"/>
      <c r="E239" s="7"/>
      <c r="G239" s="30"/>
      <c r="H239" s="25"/>
    </row>
    <row r="240" spans="2:8" x14ac:dyDescent="0.25">
      <c r="B240" s="4"/>
      <c r="C240" s="9"/>
      <c r="D240" s="15"/>
      <c r="E240" s="7"/>
      <c r="G240" s="30"/>
      <c r="H240" s="25"/>
    </row>
    <row r="241" spans="2:8" x14ac:dyDescent="0.25">
      <c r="B241" s="4"/>
      <c r="C241" s="9"/>
      <c r="D241" s="15"/>
      <c r="E241" s="7"/>
      <c r="G241" s="30"/>
      <c r="H241" s="25"/>
    </row>
    <row r="242" spans="2:8" x14ac:dyDescent="0.25">
      <c r="B242" s="4"/>
      <c r="C242" s="9"/>
      <c r="D242" s="15"/>
      <c r="E242" s="7"/>
      <c r="G242" s="30"/>
      <c r="H242" s="25"/>
    </row>
    <row r="243" spans="2:8" x14ac:dyDescent="0.25">
      <c r="B243" s="4"/>
      <c r="C243" s="9"/>
      <c r="D243" s="15"/>
      <c r="E243" s="7"/>
      <c r="G243" s="30"/>
      <c r="H243" s="25"/>
    </row>
    <row r="244" spans="2:8" x14ac:dyDescent="0.25">
      <c r="B244" s="4"/>
      <c r="C244" s="9"/>
      <c r="D244" s="15"/>
      <c r="E244" s="7"/>
      <c r="G244" s="30"/>
      <c r="H244" s="25"/>
    </row>
    <row r="245" spans="2:8" x14ac:dyDescent="0.25">
      <c r="B245" s="4"/>
      <c r="C245" s="9"/>
      <c r="D245" s="15"/>
      <c r="E245" s="7"/>
      <c r="G245" s="30"/>
      <c r="H245" s="25"/>
    </row>
    <row r="246" spans="2:8" x14ac:dyDescent="0.25">
      <c r="B246" s="4"/>
      <c r="C246" s="8"/>
      <c r="D246" s="15"/>
      <c r="E246" s="7"/>
      <c r="G246" s="30"/>
      <c r="H246" s="25"/>
    </row>
    <row r="247" spans="2:8" x14ac:dyDescent="0.25">
      <c r="B247" s="4"/>
      <c r="C247" s="9"/>
      <c r="D247" s="15"/>
      <c r="E247" s="7"/>
      <c r="G247" s="30"/>
      <c r="H247" s="25"/>
    </row>
    <row r="248" spans="2:8" x14ac:dyDescent="0.25">
      <c r="B248" s="4"/>
      <c r="C248" s="9"/>
      <c r="D248" s="15"/>
      <c r="E248" s="7"/>
      <c r="G248" s="30"/>
      <c r="H248" s="25"/>
    </row>
    <row r="249" spans="2:8" ht="13.5" customHeight="1" x14ac:dyDescent="0.25">
      <c r="B249" s="4"/>
      <c r="C249" s="9"/>
      <c r="D249" s="15"/>
      <c r="E249" s="7"/>
      <c r="G249" s="30"/>
      <c r="H249" s="25"/>
    </row>
    <row r="250" spans="2:8" ht="13.5" customHeight="1" x14ac:dyDescent="0.25">
      <c r="B250" s="4"/>
      <c r="C250" s="9"/>
      <c r="D250" s="15"/>
      <c r="E250" s="7"/>
      <c r="G250" s="30"/>
      <c r="H250" s="25"/>
    </row>
    <row r="251" spans="2:8" ht="13.5" customHeight="1" x14ac:dyDescent="0.25">
      <c r="B251" s="4"/>
      <c r="C251" s="8"/>
      <c r="D251" s="15"/>
      <c r="E251" s="7"/>
      <c r="G251" s="30"/>
      <c r="H251" s="25"/>
    </row>
    <row r="252" spans="2:8" ht="13.5" customHeight="1" x14ac:dyDescent="0.25">
      <c r="B252" s="4"/>
      <c r="C252" s="9"/>
      <c r="D252" s="15"/>
      <c r="E252" s="7"/>
      <c r="G252" s="30"/>
      <c r="H252" s="25"/>
    </row>
    <row r="253" spans="2:8" ht="13.5" customHeight="1" x14ac:dyDescent="0.25">
      <c r="B253" s="4"/>
      <c r="C253" s="9"/>
      <c r="D253" s="15"/>
      <c r="E253" s="7"/>
      <c r="G253" s="30"/>
      <c r="H253" s="25"/>
    </row>
    <row r="254" spans="2:8" ht="13.5" customHeight="1" x14ac:dyDescent="0.25">
      <c r="B254" s="4"/>
      <c r="C254" s="9"/>
      <c r="D254" s="15"/>
      <c r="E254" s="7"/>
      <c r="G254" s="30"/>
      <c r="H254" s="25"/>
    </row>
    <row r="255" spans="2:8" ht="13.5" customHeight="1" x14ac:dyDescent="0.25">
      <c r="B255" s="4"/>
      <c r="C255" s="9"/>
      <c r="D255" s="15"/>
      <c r="E255" s="7"/>
      <c r="G255" s="30"/>
      <c r="H255" s="25"/>
    </row>
    <row r="256" spans="2:8" ht="13.5" customHeight="1" x14ac:dyDescent="0.25">
      <c r="B256" s="4"/>
      <c r="C256" s="9"/>
      <c r="D256" s="15"/>
      <c r="E256" s="7"/>
      <c r="G256" s="30"/>
      <c r="H256" s="25"/>
    </row>
    <row r="257" spans="2:8" ht="13.5" customHeight="1" x14ac:dyDescent="0.25">
      <c r="B257" s="4"/>
      <c r="C257" s="9"/>
      <c r="D257" s="15"/>
      <c r="E257" s="7"/>
      <c r="G257" s="30"/>
      <c r="H257" s="25"/>
    </row>
    <row r="258" spans="2:8" ht="13.5" customHeight="1" x14ac:dyDescent="0.25">
      <c r="B258" s="4"/>
      <c r="C258" s="8"/>
      <c r="D258" s="15"/>
      <c r="E258" s="7"/>
      <c r="G258" s="30"/>
      <c r="H258" s="25"/>
    </row>
    <row r="259" spans="2:8" ht="13.5" customHeight="1" x14ac:dyDescent="0.25">
      <c r="B259" s="4"/>
      <c r="C259" s="9"/>
      <c r="D259" s="15"/>
      <c r="E259" s="7"/>
      <c r="G259" s="30"/>
      <c r="H259" s="25"/>
    </row>
    <row r="260" spans="2:8" ht="13.5" customHeight="1" x14ac:dyDescent="0.25">
      <c r="B260" s="4"/>
      <c r="C260" s="9"/>
      <c r="D260" s="15"/>
      <c r="E260" s="7"/>
      <c r="G260" s="30"/>
      <c r="H260" s="25"/>
    </row>
    <row r="261" spans="2:8" ht="13.5" customHeight="1" x14ac:dyDescent="0.25">
      <c r="B261" s="4"/>
      <c r="C261" s="9"/>
      <c r="D261" s="15"/>
      <c r="E261" s="7"/>
      <c r="G261" s="30"/>
      <c r="H261" s="25"/>
    </row>
    <row r="262" spans="2:8" ht="13.5" customHeight="1" x14ac:dyDescent="0.25">
      <c r="B262" s="4"/>
      <c r="C262" s="9"/>
      <c r="D262" s="10"/>
      <c r="E262" s="7"/>
      <c r="G262" s="30"/>
      <c r="H262" s="25"/>
    </row>
    <row r="263" spans="2:8" ht="13.5" customHeight="1" x14ac:dyDescent="0.25">
      <c r="B263" s="4"/>
      <c r="C263" s="9"/>
      <c r="D263" s="15"/>
      <c r="E263" s="7"/>
      <c r="G263" s="30"/>
      <c r="H263" s="25"/>
    </row>
    <row r="264" spans="2:8" ht="13.5" customHeight="1" x14ac:dyDescent="0.25">
      <c r="B264" s="4"/>
      <c r="C264" s="9"/>
      <c r="D264" s="15"/>
      <c r="E264" s="7"/>
      <c r="G264" s="30"/>
      <c r="H264" s="25"/>
    </row>
    <row r="265" spans="2:8" ht="13.5" customHeight="1" x14ac:dyDescent="0.25">
      <c r="B265" s="4"/>
      <c r="C265" s="9"/>
      <c r="D265" s="10"/>
      <c r="E265" s="7"/>
      <c r="G265" s="30"/>
      <c r="H265" s="25"/>
    </row>
    <row r="266" spans="2:8" ht="13.5" customHeight="1" x14ac:dyDescent="0.25">
      <c r="B266" s="4"/>
      <c r="C266" s="9"/>
      <c r="D266" s="10"/>
      <c r="E266" s="7"/>
      <c r="G266" s="30"/>
      <c r="H266" s="25"/>
    </row>
    <row r="267" spans="2:8" ht="13.5" customHeight="1" x14ac:dyDescent="0.25">
      <c r="B267" s="4"/>
      <c r="C267" s="8"/>
      <c r="D267" s="15"/>
      <c r="E267" s="7"/>
      <c r="G267" s="30"/>
      <c r="H267" s="25"/>
    </row>
    <row r="268" spans="2:8" ht="13.5" customHeight="1" x14ac:dyDescent="0.25">
      <c r="G268" s="30"/>
      <c r="H268" s="25"/>
    </row>
    <row r="269" spans="2:8" ht="13.5" customHeight="1" x14ac:dyDescent="0.25">
      <c r="G269" s="30"/>
      <c r="H269" s="25"/>
    </row>
    <row r="270" spans="2:8" ht="13.5" customHeight="1" x14ac:dyDescent="0.25">
      <c r="G270" s="30"/>
      <c r="H270" s="25"/>
    </row>
    <row r="271" spans="2:8" ht="13.5" customHeight="1" x14ac:dyDescent="0.25">
      <c r="G271" s="30"/>
      <c r="H271" s="25"/>
    </row>
    <row r="272" spans="2:8" x14ac:dyDescent="0.25">
      <c r="B272" s="4"/>
      <c r="C272" s="9"/>
      <c r="D272" s="15"/>
      <c r="E272" s="7"/>
      <c r="G272" s="30"/>
      <c r="H272" s="25"/>
    </row>
    <row r="273" spans="2:8" x14ac:dyDescent="0.25">
      <c r="B273" s="4"/>
      <c r="C273" s="9"/>
      <c r="D273" s="10"/>
      <c r="E273" s="7"/>
      <c r="H273" s="25"/>
    </row>
    <row r="274" spans="2:8" x14ac:dyDescent="0.25">
      <c r="B274" s="4"/>
      <c r="C274" s="9"/>
      <c r="D274" s="10"/>
      <c r="E274" s="7"/>
      <c r="H274" s="25"/>
    </row>
    <row r="275" spans="2:8" x14ac:dyDescent="0.25">
      <c r="B275" s="4"/>
      <c r="C275" s="8"/>
      <c r="D275" s="10"/>
      <c r="E275" s="7"/>
      <c r="H275" s="25"/>
    </row>
    <row r="276" spans="2:8" x14ac:dyDescent="0.25">
      <c r="B276" s="4"/>
      <c r="C276" s="8"/>
      <c r="D276" s="15"/>
      <c r="E276" s="7"/>
      <c r="H276" s="25"/>
    </row>
    <row r="277" spans="2:8" x14ac:dyDescent="0.25">
      <c r="B277" s="4"/>
      <c r="C277" s="8"/>
      <c r="D277" s="10"/>
      <c r="E277" s="7"/>
      <c r="H277" s="25"/>
    </row>
    <row r="278" spans="2:8" x14ac:dyDescent="0.25">
      <c r="B278" s="4"/>
      <c r="C278" s="8"/>
      <c r="D278" s="10"/>
      <c r="E278" s="7"/>
      <c r="H278" s="25"/>
    </row>
    <row r="279" spans="2:8" x14ac:dyDescent="0.25">
      <c r="B279" s="4"/>
      <c r="C279" s="9"/>
      <c r="D279" s="10"/>
      <c r="E279" s="7"/>
      <c r="H279" s="25"/>
    </row>
    <row r="280" spans="2:8" x14ac:dyDescent="0.25">
      <c r="B280" s="4"/>
      <c r="C280" s="9"/>
      <c r="D280" s="15"/>
      <c r="E280" s="7"/>
      <c r="H280" s="25"/>
    </row>
    <row r="281" spans="2:8" x14ac:dyDescent="0.25">
      <c r="B281" s="4"/>
      <c r="C281" s="8"/>
      <c r="D281" s="15"/>
      <c r="E281" s="7"/>
      <c r="H281" s="25"/>
    </row>
    <row r="282" spans="2:8" x14ac:dyDescent="0.25">
      <c r="B282" s="4"/>
      <c r="C282" s="8"/>
      <c r="D282" s="10"/>
      <c r="E282" s="7"/>
      <c r="H282" s="25"/>
    </row>
    <row r="283" spans="2:8" x14ac:dyDescent="0.25">
      <c r="B283" s="4"/>
      <c r="C283" s="9"/>
      <c r="D283" s="10"/>
      <c r="E283" s="7"/>
      <c r="H283" s="25"/>
    </row>
    <row r="284" spans="2:8" x14ac:dyDescent="0.25">
      <c r="B284" s="4"/>
      <c r="C284" s="9"/>
      <c r="D284" s="15"/>
      <c r="E284" s="7"/>
      <c r="H284" s="25"/>
    </row>
    <row r="285" spans="2:8" x14ac:dyDescent="0.25">
      <c r="B285" s="4"/>
      <c r="C285" s="9"/>
      <c r="D285" s="10"/>
      <c r="E285" s="7"/>
      <c r="H285" s="25"/>
    </row>
    <row r="286" spans="2:8" x14ac:dyDescent="0.25">
      <c r="B286" s="4"/>
      <c r="C286" s="9"/>
      <c r="D286" s="15"/>
      <c r="E286" s="7"/>
      <c r="H286" s="25"/>
    </row>
    <row r="287" spans="2:8" x14ac:dyDescent="0.25">
      <c r="B287" s="4"/>
      <c r="C287" s="9"/>
      <c r="D287" s="10"/>
      <c r="E287" s="7"/>
      <c r="H287" s="25"/>
    </row>
    <row r="288" spans="2:8" x14ac:dyDescent="0.25">
      <c r="B288" s="4"/>
      <c r="C288" s="8"/>
      <c r="D288" s="15"/>
      <c r="E288" s="7"/>
      <c r="H288" s="25"/>
    </row>
    <row r="289" spans="2:8" x14ac:dyDescent="0.25">
      <c r="B289" s="4"/>
      <c r="C289" s="9"/>
      <c r="D289" s="15"/>
      <c r="E289" s="7"/>
      <c r="H289" s="25"/>
    </row>
    <row r="290" spans="2:8" x14ac:dyDescent="0.25">
      <c r="B290" s="4"/>
      <c r="C290" s="9"/>
      <c r="D290" s="10"/>
      <c r="E290" s="7"/>
      <c r="H290" s="25"/>
    </row>
    <row r="291" spans="2:8" x14ac:dyDescent="0.25">
      <c r="B291" s="4"/>
      <c r="C291" s="9"/>
      <c r="D291" s="15"/>
      <c r="E291" s="7"/>
      <c r="H291" s="25"/>
    </row>
    <row r="292" spans="2:8" x14ac:dyDescent="0.25">
      <c r="B292" s="4"/>
      <c r="C292" s="9"/>
      <c r="D292" s="15"/>
      <c r="E292" s="7"/>
      <c r="H292" s="25"/>
    </row>
    <row r="293" spans="2:8" x14ac:dyDescent="0.25">
      <c r="B293" s="4"/>
      <c r="C293" s="9"/>
      <c r="D293" s="10"/>
      <c r="E293" s="7"/>
      <c r="H293" s="25"/>
    </row>
    <row r="294" spans="2:8" x14ac:dyDescent="0.25">
      <c r="B294" s="4"/>
      <c r="C294" s="9"/>
      <c r="D294" s="15"/>
      <c r="E294" s="7"/>
      <c r="H294" s="25"/>
    </row>
    <row r="295" spans="2:8" x14ac:dyDescent="0.25">
      <c r="B295" s="4"/>
      <c r="C295" s="9"/>
      <c r="D295" s="10"/>
      <c r="E295" s="7"/>
      <c r="H295" s="25"/>
    </row>
    <row r="296" spans="2:8" x14ac:dyDescent="0.25">
      <c r="B296" s="4"/>
      <c r="C296" s="9"/>
      <c r="D296" s="10"/>
      <c r="E296" s="7"/>
      <c r="H296" s="25"/>
    </row>
    <row r="297" spans="2:8" x14ac:dyDescent="0.25">
      <c r="B297" s="4"/>
      <c r="C297" s="9"/>
      <c r="D297" s="15"/>
      <c r="E297" s="7"/>
      <c r="H297" s="25"/>
    </row>
    <row r="298" spans="2:8" x14ac:dyDescent="0.25">
      <c r="B298" s="4"/>
      <c r="C298" s="9"/>
      <c r="D298" s="10"/>
      <c r="E298" s="7"/>
      <c r="H298" s="25"/>
    </row>
    <row r="299" spans="2:8" x14ac:dyDescent="0.25">
      <c r="B299" s="4"/>
      <c r="C299" s="8"/>
      <c r="D299" s="10"/>
      <c r="E299" s="7"/>
      <c r="H299" s="25"/>
    </row>
    <row r="300" spans="2:8" x14ac:dyDescent="0.25">
      <c r="B300" s="4"/>
      <c r="C300" s="8"/>
      <c r="D300" s="10"/>
      <c r="E300" s="7"/>
      <c r="H300" s="25"/>
    </row>
    <row r="301" spans="2:8" x14ac:dyDescent="0.25">
      <c r="B301" s="4"/>
      <c r="C301" s="8"/>
      <c r="D301" s="10"/>
      <c r="E301" s="7"/>
      <c r="H301" s="25"/>
    </row>
    <row r="302" spans="2:8" x14ac:dyDescent="0.25">
      <c r="B302" s="4"/>
      <c r="C302" s="9"/>
      <c r="D302" s="10"/>
      <c r="E302" s="7"/>
      <c r="H302" s="25"/>
    </row>
    <row r="303" spans="2:8" x14ac:dyDescent="0.25">
      <c r="B303" s="4"/>
      <c r="C303" s="9"/>
      <c r="D303" s="15"/>
      <c r="E303" s="7"/>
      <c r="H303" s="25"/>
    </row>
    <row r="304" spans="2:8" x14ac:dyDescent="0.25">
      <c r="B304" s="4"/>
      <c r="C304" s="8"/>
      <c r="D304" s="15"/>
      <c r="E304" s="7"/>
      <c r="H304" s="25"/>
    </row>
    <row r="305" spans="2:8" x14ac:dyDescent="0.25">
      <c r="B305" s="4"/>
      <c r="C305" s="9"/>
      <c r="D305" s="10"/>
      <c r="E305" s="7"/>
      <c r="H305" s="25"/>
    </row>
    <row r="306" spans="2:8" x14ac:dyDescent="0.25">
      <c r="B306" s="4"/>
      <c r="C306" s="9"/>
      <c r="D306" s="10"/>
      <c r="E306" s="7"/>
      <c r="H306" s="25"/>
    </row>
    <row r="307" spans="2:8" x14ac:dyDescent="0.25">
      <c r="B307" s="4"/>
      <c r="C307" s="9"/>
      <c r="D307" s="10"/>
      <c r="E307" s="7"/>
      <c r="H307" s="25"/>
    </row>
    <row r="308" spans="2:8" x14ac:dyDescent="0.25">
      <c r="B308" s="4"/>
      <c r="C308" s="9"/>
      <c r="D308" s="15"/>
      <c r="E308" s="7"/>
      <c r="H308" s="25"/>
    </row>
    <row r="309" spans="2:8" x14ac:dyDescent="0.25">
      <c r="B309" s="4"/>
      <c r="C309" s="9"/>
      <c r="D309" s="15"/>
      <c r="E309" s="7"/>
      <c r="H309" s="25"/>
    </row>
    <row r="310" spans="2:8" x14ac:dyDescent="0.25">
      <c r="B310" s="4"/>
      <c r="C310" s="8"/>
      <c r="D310" s="15"/>
      <c r="E310" s="7"/>
      <c r="H310" s="25"/>
    </row>
    <row r="311" spans="2:8" x14ac:dyDescent="0.25">
      <c r="B311" s="4"/>
      <c r="C311" s="9"/>
      <c r="D311" s="10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9"/>
      <c r="D313" s="10"/>
      <c r="E313" s="7"/>
      <c r="H313" s="25"/>
    </row>
    <row r="314" spans="2:8" x14ac:dyDescent="0.25">
      <c r="B314" s="4"/>
      <c r="C314" s="9"/>
      <c r="D314" s="10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9"/>
      <c r="D316" s="10"/>
      <c r="E316" s="7"/>
      <c r="H316" s="25"/>
    </row>
    <row r="317" spans="2:8" x14ac:dyDescent="0.25">
      <c r="B317" s="4"/>
      <c r="C317" s="9"/>
      <c r="D317" s="15"/>
      <c r="E317" s="7"/>
      <c r="H317" s="25"/>
    </row>
    <row r="318" spans="2:8" x14ac:dyDescent="0.25">
      <c r="B318" s="4"/>
      <c r="C318" s="9"/>
      <c r="D318" s="10"/>
      <c r="E318" s="7"/>
      <c r="H318" s="25"/>
    </row>
    <row r="319" spans="2:8" x14ac:dyDescent="0.25">
      <c r="B319" s="4"/>
      <c r="C319" s="9"/>
      <c r="D319" s="10"/>
      <c r="E319" s="7"/>
      <c r="H319" s="25"/>
    </row>
    <row r="320" spans="2:8" x14ac:dyDescent="0.25">
      <c r="B320" s="4"/>
      <c r="C320" s="8"/>
      <c r="D320" s="15"/>
      <c r="E320" s="7"/>
      <c r="H320" s="25"/>
    </row>
    <row r="321" spans="2:8" x14ac:dyDescent="0.25">
      <c r="B321" s="4"/>
      <c r="C321" s="9"/>
      <c r="D321" s="10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8"/>
      <c r="D323" s="10"/>
      <c r="E323" s="7"/>
      <c r="H323" s="25"/>
    </row>
    <row r="324" spans="2:8" x14ac:dyDescent="0.25">
      <c r="B324" s="4"/>
      <c r="C324" s="8"/>
      <c r="D324" s="10"/>
      <c r="E324" s="7"/>
      <c r="H324" s="25"/>
    </row>
    <row r="325" spans="2:8" x14ac:dyDescent="0.25">
      <c r="B325" s="4"/>
      <c r="C325" s="9"/>
      <c r="D325" s="10"/>
      <c r="E325" s="7"/>
      <c r="H325" s="25"/>
    </row>
    <row r="326" spans="2:8" x14ac:dyDescent="0.25">
      <c r="B326" s="4"/>
      <c r="C326" s="9"/>
      <c r="D326" s="10"/>
      <c r="E326" s="7"/>
      <c r="H326" s="25"/>
    </row>
    <row r="327" spans="2:8" x14ac:dyDescent="0.25">
      <c r="B327" s="4"/>
      <c r="C327" s="9"/>
      <c r="D327" s="10"/>
      <c r="E327" s="7"/>
      <c r="H327" s="25"/>
    </row>
    <row r="328" spans="2:8" x14ac:dyDescent="0.25">
      <c r="B328" s="4"/>
      <c r="C328" s="9"/>
      <c r="D328" s="10"/>
      <c r="E328" s="7"/>
      <c r="H328" s="25"/>
    </row>
    <row r="329" spans="2:8" x14ac:dyDescent="0.25">
      <c r="B329" s="4"/>
      <c r="C329" s="8"/>
      <c r="D329" s="10"/>
      <c r="E329" s="7"/>
      <c r="H329" s="25"/>
    </row>
    <row r="330" spans="2:8" x14ac:dyDescent="0.25">
      <c r="B330" s="4"/>
      <c r="C330" s="9"/>
      <c r="D330" s="10"/>
      <c r="E330" s="7"/>
      <c r="H330" s="25"/>
    </row>
    <row r="331" spans="2:8" x14ac:dyDescent="0.25">
      <c r="B331" s="4"/>
      <c r="C331" s="9"/>
      <c r="D331" s="15"/>
      <c r="E331" s="7"/>
      <c r="H331" s="25"/>
    </row>
    <row r="332" spans="2:8" x14ac:dyDescent="0.25">
      <c r="B332" s="4"/>
      <c r="C332" s="8"/>
      <c r="D332" s="15"/>
      <c r="E332" s="7"/>
      <c r="H332" s="25"/>
    </row>
    <row r="333" spans="2:8" x14ac:dyDescent="0.25">
      <c r="B333" s="4"/>
      <c r="C333" s="9"/>
      <c r="D333" s="10"/>
      <c r="E333" s="7"/>
      <c r="H333" s="25"/>
    </row>
    <row r="334" spans="2:8" x14ac:dyDescent="0.25">
      <c r="B334" s="4"/>
      <c r="C334" s="9"/>
      <c r="D334" s="10"/>
      <c r="E334" s="7"/>
      <c r="H334" s="25"/>
    </row>
    <row r="335" spans="2:8" x14ac:dyDescent="0.25">
      <c r="B335" s="4"/>
      <c r="C335" s="8"/>
      <c r="D335" s="10"/>
      <c r="E335" s="7"/>
      <c r="H335" s="25"/>
    </row>
    <row r="336" spans="2:8" x14ac:dyDescent="0.25">
      <c r="B336" s="4"/>
      <c r="C336" s="9"/>
      <c r="D336" s="10"/>
      <c r="E336" s="7"/>
      <c r="H336" s="25"/>
    </row>
    <row r="337" spans="2:8" x14ac:dyDescent="0.25">
      <c r="B337" s="4"/>
      <c r="C337" s="9"/>
      <c r="D337" s="10"/>
      <c r="E337" s="7"/>
      <c r="H337" s="25"/>
    </row>
    <row r="338" spans="2:8" x14ac:dyDescent="0.25">
      <c r="B338" s="4"/>
      <c r="C338" s="8"/>
      <c r="D338" s="15"/>
      <c r="E338" s="7"/>
      <c r="H338" s="25"/>
    </row>
    <row r="339" spans="2:8" x14ac:dyDescent="0.25">
      <c r="B339" s="4"/>
      <c r="C339" s="9"/>
      <c r="D339" s="15"/>
      <c r="E339" s="7"/>
      <c r="H339" s="25"/>
    </row>
    <row r="340" spans="2:8" x14ac:dyDescent="0.25">
      <c r="B340" s="4"/>
      <c r="C340" s="9"/>
      <c r="D340" s="10"/>
      <c r="E340" s="7"/>
      <c r="H340" s="25"/>
    </row>
    <row r="341" spans="2:8" x14ac:dyDescent="0.25">
      <c r="B341" s="4"/>
      <c r="C341" s="9"/>
      <c r="D341" s="15"/>
      <c r="E341" s="7"/>
      <c r="H341" s="25"/>
    </row>
    <row r="342" spans="2:8" x14ac:dyDescent="0.25">
      <c r="B342" s="4"/>
      <c r="C342" s="8"/>
      <c r="D342" s="10"/>
      <c r="E342" s="7"/>
      <c r="H342" s="25"/>
    </row>
    <row r="343" spans="2:8" x14ac:dyDescent="0.25">
      <c r="B343" s="4"/>
      <c r="C343" s="9"/>
      <c r="D343" s="15"/>
      <c r="E343" s="7"/>
      <c r="H343" s="25"/>
    </row>
    <row r="344" spans="2:8" x14ac:dyDescent="0.25">
      <c r="B344" s="4"/>
      <c r="C344" s="9"/>
      <c r="D344" s="10"/>
      <c r="E344" s="7"/>
      <c r="H344" s="25"/>
    </row>
    <row r="345" spans="2:8" x14ac:dyDescent="0.25">
      <c r="B345" s="4"/>
      <c r="C345" s="9"/>
      <c r="D345" s="15"/>
      <c r="E345" s="7"/>
      <c r="H345" s="25"/>
    </row>
    <row r="346" spans="2:8" x14ac:dyDescent="0.25">
      <c r="B346" s="4"/>
      <c r="C346" s="9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5"/>
      <c r="E348" s="7"/>
      <c r="H348" s="25"/>
    </row>
    <row r="349" spans="2:8" x14ac:dyDescent="0.25">
      <c r="B349" s="4"/>
      <c r="C349" s="9"/>
      <c r="D349" s="15"/>
      <c r="E349" s="7"/>
      <c r="H349" s="25"/>
    </row>
    <row r="350" spans="2:8" x14ac:dyDescent="0.25">
      <c r="B350" s="4"/>
      <c r="C350" s="9"/>
      <c r="D350" s="15"/>
      <c r="E350" s="7"/>
      <c r="H350" s="25"/>
    </row>
    <row r="351" spans="2:8" x14ac:dyDescent="0.25">
      <c r="B351" s="4"/>
      <c r="C351" s="9"/>
      <c r="D351" s="15"/>
      <c r="E351" s="7"/>
      <c r="H351" s="25"/>
    </row>
    <row r="352" spans="2:8" x14ac:dyDescent="0.25">
      <c r="B352" s="4"/>
      <c r="C352" s="8"/>
      <c r="D352" s="10"/>
      <c r="E352" s="7"/>
      <c r="H352" s="25"/>
    </row>
    <row r="353" spans="2:8" x14ac:dyDescent="0.25">
      <c r="B353" s="4"/>
      <c r="C353" s="9"/>
      <c r="D353" s="15"/>
      <c r="E353" s="7"/>
      <c r="H353" s="25"/>
    </row>
    <row r="354" spans="2:8" x14ac:dyDescent="0.25">
      <c r="B354" s="4"/>
      <c r="C354" s="9"/>
      <c r="D354" s="15"/>
      <c r="E354" s="7"/>
      <c r="H354" s="25"/>
    </row>
    <row r="355" spans="2:8" x14ac:dyDescent="0.25">
      <c r="B355" s="4"/>
      <c r="C355" s="9"/>
      <c r="D355" s="10"/>
      <c r="E355" s="7"/>
      <c r="H355" s="25"/>
    </row>
    <row r="356" spans="2:8" x14ac:dyDescent="0.25">
      <c r="B356" s="4"/>
      <c r="C356" s="9"/>
      <c r="D356" s="15"/>
      <c r="E356" s="7"/>
      <c r="H356" s="25"/>
    </row>
    <row r="357" spans="2:8" x14ac:dyDescent="0.25">
      <c r="B357" s="4"/>
      <c r="C357" s="8"/>
      <c r="D357" s="15"/>
      <c r="E357" s="7"/>
      <c r="H357" s="25"/>
    </row>
    <row r="358" spans="2:8" x14ac:dyDescent="0.25">
      <c r="B358" s="4"/>
      <c r="C358" s="9"/>
      <c r="D358" s="10"/>
      <c r="E358" s="7"/>
      <c r="H358" s="25"/>
    </row>
    <row r="359" spans="2:8" x14ac:dyDescent="0.25">
      <c r="B359" s="4"/>
      <c r="C359" s="9"/>
      <c r="D359" s="10"/>
      <c r="E359" s="7"/>
      <c r="H359" s="25"/>
    </row>
    <row r="360" spans="2:8" x14ac:dyDescent="0.25">
      <c r="B360" s="4"/>
      <c r="C360" s="9"/>
      <c r="D360" s="10"/>
      <c r="E360" s="7"/>
      <c r="H360" s="25"/>
    </row>
    <row r="361" spans="2:8" x14ac:dyDescent="0.25">
      <c r="B361" s="4"/>
      <c r="C361" s="8"/>
      <c r="D361" s="15"/>
      <c r="E361" s="7"/>
      <c r="H361" s="25"/>
    </row>
    <row r="362" spans="2:8" x14ac:dyDescent="0.25">
      <c r="B362" s="4"/>
      <c r="C362" s="9"/>
      <c r="D362" s="10"/>
      <c r="E362" s="7"/>
      <c r="H362" s="25"/>
    </row>
    <row r="363" spans="2:8" x14ac:dyDescent="0.25">
      <c r="B363" s="4"/>
      <c r="C363" s="9"/>
      <c r="D363" s="15"/>
      <c r="E363" s="7"/>
      <c r="H363" s="25"/>
    </row>
    <row r="364" spans="2:8" x14ac:dyDescent="0.25">
      <c r="B364" s="4"/>
      <c r="C364" s="9"/>
      <c r="D364" s="10"/>
      <c r="E364" s="7"/>
      <c r="H364" s="25"/>
    </row>
    <row r="365" spans="2:8" x14ac:dyDescent="0.25">
      <c r="B365" s="4"/>
      <c r="C365" s="9"/>
      <c r="D365" s="10"/>
      <c r="E365" s="7"/>
      <c r="H365" s="25"/>
    </row>
    <row r="366" spans="2:8" x14ac:dyDescent="0.25">
      <c r="B366" s="4"/>
      <c r="C366" s="9"/>
      <c r="D366" s="10"/>
      <c r="E366" s="7"/>
      <c r="H366" s="25"/>
    </row>
    <row r="367" spans="2:8" x14ac:dyDescent="0.25">
      <c r="B367" s="4"/>
      <c r="C367" s="9"/>
      <c r="D367" s="15"/>
      <c r="E367" s="7"/>
      <c r="H367" s="25"/>
    </row>
    <row r="368" spans="2:8" x14ac:dyDescent="0.25">
      <c r="B368" s="4"/>
      <c r="C368" s="9"/>
      <c r="D368" s="10"/>
      <c r="E368" s="7"/>
      <c r="H368" s="25"/>
    </row>
    <row r="369" spans="2:8" x14ac:dyDescent="0.25">
      <c r="B369" s="4"/>
      <c r="C369" s="9"/>
      <c r="D369" s="10"/>
      <c r="E369" s="7"/>
      <c r="H369" s="25"/>
    </row>
    <row r="370" spans="2:8" x14ac:dyDescent="0.25">
      <c r="B370" s="4"/>
      <c r="C370" s="9"/>
      <c r="D370" s="10"/>
      <c r="E370" s="7"/>
      <c r="H370" s="25"/>
    </row>
    <row r="371" spans="2:8" x14ac:dyDescent="0.25">
      <c r="B371" s="4"/>
      <c r="C371" s="8"/>
      <c r="D371" s="10"/>
      <c r="E371" s="7"/>
      <c r="H371" s="25"/>
    </row>
    <row r="372" spans="2:8" x14ac:dyDescent="0.25">
      <c r="B372" s="4"/>
      <c r="C372" s="9"/>
      <c r="D372" s="15"/>
      <c r="E372" s="7"/>
      <c r="H372" s="25"/>
    </row>
    <row r="373" spans="2:8" x14ac:dyDescent="0.25">
      <c r="B373" s="4"/>
      <c r="C373" s="9"/>
      <c r="D373" s="10"/>
      <c r="E373" s="7"/>
      <c r="H373" s="25"/>
    </row>
    <row r="374" spans="2:8" x14ac:dyDescent="0.25">
      <c r="H374" s="25"/>
    </row>
    <row r="375" spans="2:8" x14ac:dyDescent="0.25">
      <c r="H375" s="25"/>
    </row>
    <row r="376" spans="2:8" x14ac:dyDescent="0.25">
      <c r="H376" s="25"/>
    </row>
    <row r="377" spans="2:8" x14ac:dyDescent="0.25">
      <c r="H377" s="29"/>
    </row>
  </sheetData>
  <autoFilter ref="A1:Q42"/>
  <sortState ref="B3:H30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8"/>
  <dimension ref="A1:AE353"/>
  <sheetViews>
    <sheetView zoomScaleNormal="100" workbookViewId="0">
      <pane ySplit="1" topLeftCell="A2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28515625" style="23" customWidth="1"/>
    <col min="2" max="2" width="46" style="20" customWidth="1"/>
    <col min="3" max="3" width="4" style="21" bestFit="1" customWidth="1"/>
    <col min="4" max="4" width="3.5703125" style="375" customWidth="1"/>
    <col min="5" max="5" width="3.28515625" style="492" customWidth="1"/>
    <col min="6" max="6" width="3.42578125" style="375" customWidth="1"/>
    <col min="7" max="7" width="3.42578125" style="492" customWidth="1"/>
    <col min="8" max="8" width="4" style="375" customWidth="1"/>
    <col min="9" max="9" width="3.7109375" style="492" customWidth="1"/>
    <col min="10" max="10" width="3.85546875" style="375" customWidth="1"/>
    <col min="11" max="11" width="3.7109375" style="492" customWidth="1"/>
    <col min="12" max="12" width="3.140625" style="375" customWidth="1"/>
    <col min="13" max="13" width="3.7109375" style="492" customWidth="1"/>
    <col min="14" max="14" width="3.7109375" style="567" bestFit="1" customWidth="1"/>
    <col min="15" max="15" width="3.7109375" style="52" customWidth="1"/>
    <col min="16" max="16" width="4.7109375" style="119" bestFit="1" customWidth="1"/>
    <col min="17" max="17" width="7.85546875" style="18" bestFit="1" customWidth="1"/>
    <col min="18" max="18" width="9" style="150" customWidth="1"/>
    <col min="19" max="19" width="7.42578125" style="14" bestFit="1" customWidth="1"/>
    <col min="20" max="20" width="4.85546875" style="14" customWidth="1"/>
    <col min="21" max="21" width="3.7109375" style="14" bestFit="1" customWidth="1"/>
    <col min="22" max="22" width="7.42578125" style="14" bestFit="1" customWidth="1"/>
    <col min="23" max="25" width="4" style="14" bestFit="1" customWidth="1"/>
    <col min="26" max="26" width="3.7109375" style="28" bestFit="1" customWidth="1"/>
    <col min="27" max="27" width="3.7109375" style="135" bestFit="1" customWidth="1"/>
    <col min="28" max="28" width="5" style="135" customWidth="1"/>
    <col min="29" max="29" width="3.7109375" style="132" bestFit="1" customWidth="1"/>
    <col min="30" max="30" width="3.7109375" style="135" bestFit="1" customWidth="1"/>
  </cols>
  <sheetData>
    <row r="1" spans="1:31" ht="87" customHeight="1" x14ac:dyDescent="0.25">
      <c r="A1" s="116" t="s">
        <v>0</v>
      </c>
      <c r="B1" s="1" t="s">
        <v>1</v>
      </c>
      <c r="C1" s="226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90" t="s">
        <v>4</v>
      </c>
      <c r="P1" s="226" t="s">
        <v>110</v>
      </c>
      <c r="Q1" s="267" t="s">
        <v>5</v>
      </c>
      <c r="R1" s="268" t="s">
        <v>111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1" ht="14.25" customHeight="1" x14ac:dyDescent="0.25">
      <c r="A2" s="13">
        <v>1</v>
      </c>
      <c r="B2" s="314" t="s">
        <v>1087</v>
      </c>
      <c r="C2" s="462">
        <v>8</v>
      </c>
      <c r="D2" s="359"/>
      <c r="E2" s="478"/>
      <c r="F2" s="359"/>
      <c r="G2" s="478">
        <v>2</v>
      </c>
      <c r="H2" s="359"/>
      <c r="I2" s="478"/>
      <c r="J2" s="359"/>
      <c r="K2" s="478"/>
      <c r="L2" s="359"/>
      <c r="M2" s="478"/>
      <c r="N2" s="561"/>
      <c r="O2" s="338">
        <f t="shared" ref="O2:O30" si="0">SUM(C2-D2-E2-F2-G2-H2-I2-J2-K2-L2-M2-N2)</f>
        <v>6</v>
      </c>
      <c r="P2" s="695">
        <f t="shared" ref="P2:P30" si="1">AD2-O2</f>
        <v>32</v>
      </c>
      <c r="Q2" s="7">
        <v>8</v>
      </c>
      <c r="R2" s="63" t="s">
        <v>743</v>
      </c>
      <c r="S2" s="344">
        <v>46266</v>
      </c>
      <c r="T2" s="120">
        <v>1</v>
      </c>
      <c r="U2" s="120"/>
      <c r="V2" s="175">
        <v>45658</v>
      </c>
      <c r="W2" s="122">
        <v>5</v>
      </c>
      <c r="X2" s="122">
        <v>8</v>
      </c>
      <c r="Y2" s="122">
        <v>3</v>
      </c>
      <c r="Z2" s="309">
        <v>3</v>
      </c>
      <c r="AA2" s="184">
        <f t="shared" ref="AA2:AA30" si="2">W2+X2+Y2+Z2</f>
        <v>19</v>
      </c>
      <c r="AB2" s="184">
        <f t="shared" ref="AB2:AB30" si="3">AA2/4</f>
        <v>4.75</v>
      </c>
      <c r="AC2" s="185">
        <f t="shared" ref="AC2:AC30" si="4">AB2*4</f>
        <v>19</v>
      </c>
      <c r="AD2" s="185">
        <f t="shared" ref="AD2:AD30" si="5">AC2*2</f>
        <v>38</v>
      </c>
    </row>
    <row r="3" spans="1:31" x14ac:dyDescent="0.25">
      <c r="A3" s="13">
        <f t="shared" ref="A3:A35" si="6">A2+1</f>
        <v>2</v>
      </c>
      <c r="B3" s="4" t="s">
        <v>661</v>
      </c>
      <c r="C3" s="349">
        <v>96</v>
      </c>
      <c r="D3" s="359"/>
      <c r="E3" s="478"/>
      <c r="F3" s="359"/>
      <c r="G3" s="478"/>
      <c r="H3" s="359"/>
      <c r="I3" s="478"/>
      <c r="J3" s="359"/>
      <c r="K3" s="478"/>
      <c r="L3" s="359"/>
      <c r="M3" s="478"/>
      <c r="N3" s="561"/>
      <c r="O3" s="338">
        <f t="shared" si="0"/>
        <v>96</v>
      </c>
      <c r="P3" s="340">
        <f t="shared" si="1"/>
        <v>-44</v>
      </c>
      <c r="Q3" s="10">
        <v>0.5</v>
      </c>
      <c r="R3" s="63"/>
      <c r="V3" s="81">
        <v>45323</v>
      </c>
      <c r="W3" s="14">
        <v>6</v>
      </c>
      <c r="X3" s="14">
        <v>4</v>
      </c>
      <c r="Y3" s="14">
        <v>4</v>
      </c>
      <c r="Z3" s="28">
        <v>12</v>
      </c>
      <c r="AA3" s="184">
        <f t="shared" si="2"/>
        <v>26</v>
      </c>
      <c r="AB3" s="184">
        <f t="shared" si="3"/>
        <v>6.5</v>
      </c>
      <c r="AC3" s="185">
        <f t="shared" si="4"/>
        <v>26</v>
      </c>
      <c r="AD3" s="185">
        <f t="shared" si="5"/>
        <v>52</v>
      </c>
      <c r="AE3" s="97"/>
    </row>
    <row r="4" spans="1:31" x14ac:dyDescent="0.25">
      <c r="A4" s="315">
        <f t="shared" si="6"/>
        <v>3</v>
      </c>
      <c r="B4" s="314" t="s">
        <v>256</v>
      </c>
      <c r="C4" s="349">
        <v>3</v>
      </c>
      <c r="D4" s="359"/>
      <c r="E4" s="478"/>
      <c r="F4" s="359"/>
      <c r="G4" s="478"/>
      <c r="H4" s="359"/>
      <c r="I4" s="478"/>
      <c r="J4" s="359">
        <v>1</v>
      </c>
      <c r="K4" s="478"/>
      <c r="L4" s="359"/>
      <c r="M4" s="478"/>
      <c r="N4" s="561"/>
      <c r="O4" s="338">
        <f t="shared" si="0"/>
        <v>2</v>
      </c>
      <c r="P4" s="438">
        <f t="shared" si="1"/>
        <v>8</v>
      </c>
      <c r="Q4" s="7">
        <v>17</v>
      </c>
      <c r="R4" s="708" t="s">
        <v>87</v>
      </c>
      <c r="S4" s="344">
        <v>45962</v>
      </c>
      <c r="T4" s="120">
        <v>3</v>
      </c>
      <c r="U4" s="318"/>
      <c r="V4" s="344">
        <v>45413</v>
      </c>
      <c r="W4" s="318">
        <v>1</v>
      </c>
      <c r="X4" s="309">
        <v>1</v>
      </c>
      <c r="Y4" s="309">
        <v>1</v>
      </c>
      <c r="Z4" s="309">
        <v>2</v>
      </c>
      <c r="AA4" s="184">
        <f t="shared" si="2"/>
        <v>5</v>
      </c>
      <c r="AB4" s="184">
        <f t="shared" si="3"/>
        <v>1.25</v>
      </c>
      <c r="AC4" s="185">
        <f t="shared" si="4"/>
        <v>5</v>
      </c>
      <c r="AD4" s="185">
        <f t="shared" si="5"/>
        <v>10</v>
      </c>
      <c r="AE4" s="97"/>
    </row>
    <row r="5" spans="1:31" s="113" customFormat="1" ht="17.25" customHeight="1" x14ac:dyDescent="0.25">
      <c r="A5" s="315">
        <f t="shared" si="6"/>
        <v>4</v>
      </c>
      <c r="B5" s="314" t="s">
        <v>303</v>
      </c>
      <c r="C5" s="349">
        <v>1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38">
        <f t="shared" si="0"/>
        <v>1</v>
      </c>
      <c r="P5" s="695">
        <f t="shared" si="1"/>
        <v>13</v>
      </c>
      <c r="Q5" s="7">
        <v>12</v>
      </c>
      <c r="R5" s="709" t="s">
        <v>87</v>
      </c>
      <c r="S5" s="309"/>
      <c r="T5" s="318">
        <v>0</v>
      </c>
      <c r="U5" s="318"/>
      <c r="V5" s="344">
        <v>45474</v>
      </c>
      <c r="W5" s="309">
        <v>2</v>
      </c>
      <c r="X5" s="309">
        <v>1</v>
      </c>
      <c r="Y5" s="309">
        <v>1</v>
      </c>
      <c r="Z5" s="309">
        <v>3</v>
      </c>
      <c r="AA5" s="184">
        <f t="shared" si="2"/>
        <v>7</v>
      </c>
      <c r="AB5" s="184">
        <f t="shared" si="3"/>
        <v>1.75</v>
      </c>
      <c r="AC5" s="185">
        <f t="shared" si="4"/>
        <v>7</v>
      </c>
      <c r="AD5" s="185">
        <f t="shared" si="5"/>
        <v>14</v>
      </c>
      <c r="AE5" s="97"/>
    </row>
    <row r="6" spans="1:31" x14ac:dyDescent="0.25">
      <c r="A6" s="315">
        <f t="shared" si="6"/>
        <v>5</v>
      </c>
      <c r="B6" s="3" t="s">
        <v>414</v>
      </c>
      <c r="C6" s="8">
        <v>1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38">
        <f t="shared" si="0"/>
        <v>1</v>
      </c>
      <c r="P6" s="438">
        <f t="shared" si="1"/>
        <v>1</v>
      </c>
      <c r="Q6" s="10">
        <v>80</v>
      </c>
      <c r="R6" s="63"/>
      <c r="V6" s="81">
        <v>45717</v>
      </c>
      <c r="X6" s="14">
        <v>1</v>
      </c>
      <c r="AA6" s="184">
        <f t="shared" si="2"/>
        <v>1</v>
      </c>
      <c r="AB6" s="184">
        <f t="shared" si="3"/>
        <v>0.25</v>
      </c>
      <c r="AC6" s="185">
        <f t="shared" si="4"/>
        <v>1</v>
      </c>
      <c r="AD6" s="185">
        <f t="shared" si="5"/>
        <v>2</v>
      </c>
      <c r="AE6" s="97"/>
    </row>
    <row r="7" spans="1:31" x14ac:dyDescent="0.25">
      <c r="A7" s="315">
        <f t="shared" si="6"/>
        <v>6</v>
      </c>
      <c r="B7" s="3" t="s">
        <v>1462</v>
      </c>
      <c r="C7" s="349">
        <v>93</v>
      </c>
      <c r="D7" s="359"/>
      <c r="E7" s="478"/>
      <c r="F7" s="359">
        <v>3</v>
      </c>
      <c r="G7" s="478">
        <v>1</v>
      </c>
      <c r="H7" s="359"/>
      <c r="I7" s="478">
        <v>3</v>
      </c>
      <c r="J7" s="359"/>
      <c r="K7" s="478"/>
      <c r="L7" s="359"/>
      <c r="M7" s="478">
        <v>2</v>
      </c>
      <c r="N7" s="561"/>
      <c r="O7" s="338">
        <f t="shared" si="0"/>
        <v>84</v>
      </c>
      <c r="P7" s="438">
        <f t="shared" si="1"/>
        <v>16</v>
      </c>
      <c r="Q7" s="7">
        <v>0.8</v>
      </c>
      <c r="R7" s="64" t="s">
        <v>1372</v>
      </c>
      <c r="S7" s="344">
        <v>46784</v>
      </c>
      <c r="T7" s="318">
        <v>5</v>
      </c>
      <c r="U7" s="318"/>
      <c r="V7" s="344">
        <v>45658</v>
      </c>
      <c r="W7" s="309">
        <v>8</v>
      </c>
      <c r="X7" s="309">
        <v>17</v>
      </c>
      <c r="Y7" s="309">
        <v>7</v>
      </c>
      <c r="Z7" s="309">
        <v>18</v>
      </c>
      <c r="AA7" s="184">
        <f t="shared" si="2"/>
        <v>50</v>
      </c>
      <c r="AB7" s="184">
        <f t="shared" si="3"/>
        <v>12.5</v>
      </c>
      <c r="AC7" s="185">
        <f t="shared" si="4"/>
        <v>50</v>
      </c>
      <c r="AD7" s="185">
        <f t="shared" si="5"/>
        <v>100</v>
      </c>
      <c r="AE7" s="97"/>
    </row>
    <row r="8" spans="1:31" s="113" customFormat="1" x14ac:dyDescent="0.25">
      <c r="A8" s="315">
        <f t="shared" si="6"/>
        <v>7</v>
      </c>
      <c r="B8" s="3" t="s">
        <v>750</v>
      </c>
      <c r="C8" s="349">
        <v>1</v>
      </c>
      <c r="D8" s="359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38">
        <f t="shared" si="0"/>
        <v>1</v>
      </c>
      <c r="P8" s="438">
        <f t="shared" si="1"/>
        <v>7</v>
      </c>
      <c r="Q8" s="7">
        <v>115</v>
      </c>
      <c r="R8" s="63"/>
      <c r="S8" s="344">
        <v>46113</v>
      </c>
      <c r="T8" s="318">
        <v>2</v>
      </c>
      <c r="U8" s="318"/>
      <c r="V8" s="344">
        <v>45566</v>
      </c>
      <c r="W8" s="309">
        <v>1</v>
      </c>
      <c r="X8" s="309">
        <v>1</v>
      </c>
      <c r="Y8" s="309">
        <v>1</v>
      </c>
      <c r="Z8" s="309">
        <v>1</v>
      </c>
      <c r="AA8" s="184">
        <f t="shared" si="2"/>
        <v>4</v>
      </c>
      <c r="AB8" s="184">
        <f t="shared" si="3"/>
        <v>1</v>
      </c>
      <c r="AC8" s="185">
        <f t="shared" si="4"/>
        <v>4</v>
      </c>
      <c r="AD8" s="185">
        <f t="shared" si="5"/>
        <v>8</v>
      </c>
      <c r="AE8" s="97"/>
    </row>
    <row r="9" spans="1:31" x14ac:dyDescent="0.25">
      <c r="A9" s="315">
        <f t="shared" si="6"/>
        <v>8</v>
      </c>
      <c r="B9" s="3" t="s">
        <v>1373</v>
      </c>
      <c r="C9" s="8">
        <v>32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38">
        <f t="shared" si="0"/>
        <v>32</v>
      </c>
      <c r="P9" s="695">
        <f t="shared" si="1"/>
        <v>16</v>
      </c>
      <c r="Q9" s="10">
        <v>6.5</v>
      </c>
      <c r="R9" s="63"/>
      <c r="S9" s="81">
        <v>45931</v>
      </c>
      <c r="V9" s="81">
        <v>45658</v>
      </c>
      <c r="W9" s="14">
        <v>1</v>
      </c>
      <c r="X9" s="14">
        <v>13</v>
      </c>
      <c r="Y9" s="14">
        <v>4</v>
      </c>
      <c r="Z9" s="28">
        <v>6</v>
      </c>
      <c r="AA9" s="184">
        <f t="shared" si="2"/>
        <v>24</v>
      </c>
      <c r="AB9" s="184">
        <f t="shared" si="3"/>
        <v>6</v>
      </c>
      <c r="AC9" s="185">
        <f t="shared" si="4"/>
        <v>24</v>
      </c>
      <c r="AD9" s="185">
        <f t="shared" si="5"/>
        <v>48</v>
      </c>
      <c r="AE9" s="97"/>
    </row>
    <row r="10" spans="1:31" x14ac:dyDescent="0.25">
      <c r="A10" s="315">
        <f t="shared" si="6"/>
        <v>9</v>
      </c>
      <c r="B10" s="3" t="s">
        <v>1375</v>
      </c>
      <c r="C10" s="8">
        <v>18</v>
      </c>
      <c r="D10" s="359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38">
        <f t="shared" si="0"/>
        <v>18</v>
      </c>
      <c r="P10" s="340">
        <f t="shared" si="1"/>
        <v>-6</v>
      </c>
      <c r="Q10" s="10">
        <v>8</v>
      </c>
      <c r="R10" s="63"/>
      <c r="S10" s="81">
        <v>46905</v>
      </c>
      <c r="V10" s="81">
        <v>45658</v>
      </c>
      <c r="X10" s="14">
        <v>1</v>
      </c>
      <c r="Z10" s="28">
        <v>5</v>
      </c>
      <c r="AA10" s="184">
        <f t="shared" si="2"/>
        <v>6</v>
      </c>
      <c r="AB10" s="184">
        <f t="shared" si="3"/>
        <v>1.5</v>
      </c>
      <c r="AC10" s="185">
        <f t="shared" si="4"/>
        <v>6</v>
      </c>
      <c r="AD10" s="185">
        <f t="shared" si="5"/>
        <v>12</v>
      </c>
      <c r="AE10" s="97"/>
    </row>
    <row r="11" spans="1:31" ht="16.5" customHeight="1" x14ac:dyDescent="0.25">
      <c r="A11" s="315">
        <f t="shared" si="6"/>
        <v>10</v>
      </c>
      <c r="B11" s="3" t="s">
        <v>418</v>
      </c>
      <c r="C11" s="349">
        <v>1</v>
      </c>
      <c r="D11" s="359"/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338">
        <f t="shared" si="0"/>
        <v>1</v>
      </c>
      <c r="P11" s="438">
        <f t="shared" si="1"/>
        <v>1</v>
      </c>
      <c r="Q11" s="7">
        <v>17</v>
      </c>
      <c r="R11" s="207"/>
      <c r="S11" s="344">
        <v>45962</v>
      </c>
      <c r="T11" s="120">
        <v>2</v>
      </c>
      <c r="U11" s="120"/>
      <c r="V11" s="330">
        <v>44348</v>
      </c>
      <c r="W11" s="122"/>
      <c r="X11" s="122"/>
      <c r="Y11" s="122">
        <v>1</v>
      </c>
      <c r="Z11" s="309"/>
      <c r="AA11" s="184">
        <f t="shared" si="2"/>
        <v>1</v>
      </c>
      <c r="AB11" s="184">
        <f t="shared" si="3"/>
        <v>0.25</v>
      </c>
      <c r="AC11" s="185">
        <f t="shared" si="4"/>
        <v>1</v>
      </c>
      <c r="AD11" s="185">
        <f t="shared" si="5"/>
        <v>2</v>
      </c>
      <c r="AE11" s="97"/>
    </row>
    <row r="12" spans="1:31" x14ac:dyDescent="0.25">
      <c r="A12" s="315">
        <f t="shared" si="6"/>
        <v>11</v>
      </c>
      <c r="B12" s="314" t="s">
        <v>419</v>
      </c>
      <c r="C12" s="349">
        <v>2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338">
        <f t="shared" si="0"/>
        <v>2</v>
      </c>
      <c r="P12" s="340">
        <f t="shared" si="1"/>
        <v>-2</v>
      </c>
      <c r="Q12" s="7">
        <v>17</v>
      </c>
      <c r="R12" s="63"/>
      <c r="S12" s="344">
        <v>45962</v>
      </c>
      <c r="T12" s="120">
        <v>2</v>
      </c>
      <c r="U12" s="120"/>
      <c r="V12" s="330">
        <v>44348</v>
      </c>
      <c r="W12" s="122"/>
      <c r="X12" s="122"/>
      <c r="Y12" s="122"/>
      <c r="Z12" s="309"/>
      <c r="AA12" s="184">
        <f t="shared" si="2"/>
        <v>0</v>
      </c>
      <c r="AB12" s="184">
        <f t="shared" si="3"/>
        <v>0</v>
      </c>
      <c r="AC12" s="185">
        <f t="shared" si="4"/>
        <v>0</v>
      </c>
      <c r="AD12" s="185">
        <f t="shared" si="5"/>
        <v>0</v>
      </c>
      <c r="AE12" s="97"/>
    </row>
    <row r="13" spans="1:31" x14ac:dyDescent="0.25">
      <c r="A13" s="315">
        <f t="shared" si="6"/>
        <v>12</v>
      </c>
      <c r="B13" s="651" t="s">
        <v>420</v>
      </c>
      <c r="C13" s="665">
        <v>1</v>
      </c>
      <c r="D13" s="359"/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338">
        <f t="shared" si="0"/>
        <v>1</v>
      </c>
      <c r="P13" s="438">
        <f t="shared" si="1"/>
        <v>7</v>
      </c>
      <c r="Q13" s="7">
        <v>17</v>
      </c>
      <c r="R13" s="63"/>
      <c r="S13" s="655">
        <v>45870</v>
      </c>
      <c r="T13" s="120">
        <v>5</v>
      </c>
      <c r="U13" s="120"/>
      <c r="V13" s="330">
        <v>44348</v>
      </c>
      <c r="W13" s="122">
        <v>1</v>
      </c>
      <c r="X13" s="122">
        <v>1</v>
      </c>
      <c r="Y13" s="122">
        <v>1</v>
      </c>
      <c r="Z13" s="309">
        <v>1</v>
      </c>
      <c r="AA13" s="184">
        <f t="shared" si="2"/>
        <v>4</v>
      </c>
      <c r="AB13" s="184">
        <f t="shared" si="3"/>
        <v>1</v>
      </c>
      <c r="AC13" s="185">
        <f t="shared" si="4"/>
        <v>4</v>
      </c>
      <c r="AD13" s="185">
        <f t="shared" si="5"/>
        <v>8</v>
      </c>
      <c r="AE13" s="97"/>
    </row>
    <row r="14" spans="1:31" x14ac:dyDescent="0.25">
      <c r="A14" s="315">
        <f t="shared" si="6"/>
        <v>13</v>
      </c>
      <c r="B14" s="314" t="s">
        <v>429</v>
      </c>
      <c r="C14" s="349">
        <v>2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38">
        <f t="shared" si="0"/>
        <v>2</v>
      </c>
      <c r="P14" s="438">
        <f t="shared" si="1"/>
        <v>6</v>
      </c>
      <c r="Q14" s="7">
        <v>17</v>
      </c>
      <c r="R14" s="63"/>
      <c r="S14" s="344"/>
      <c r="T14" s="120">
        <v>7</v>
      </c>
      <c r="U14" s="120"/>
      <c r="V14" s="330">
        <v>44348</v>
      </c>
      <c r="W14" s="122">
        <v>1</v>
      </c>
      <c r="X14" s="122">
        <v>1</v>
      </c>
      <c r="Y14" s="122">
        <v>1</v>
      </c>
      <c r="Z14" s="309">
        <v>1</v>
      </c>
      <c r="AA14" s="184">
        <f t="shared" si="2"/>
        <v>4</v>
      </c>
      <c r="AB14" s="184">
        <f t="shared" si="3"/>
        <v>1</v>
      </c>
      <c r="AC14" s="185">
        <f t="shared" si="4"/>
        <v>4</v>
      </c>
      <c r="AD14" s="185">
        <f t="shared" si="5"/>
        <v>8</v>
      </c>
      <c r="AE14" s="97"/>
    </row>
    <row r="15" spans="1:31" x14ac:dyDescent="0.25">
      <c r="A15" s="315">
        <f t="shared" si="6"/>
        <v>14</v>
      </c>
      <c r="B15" s="651" t="s">
        <v>421</v>
      </c>
      <c r="C15" s="665">
        <v>2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38">
        <f t="shared" si="0"/>
        <v>2</v>
      </c>
      <c r="P15" s="438">
        <f t="shared" si="1"/>
        <v>4</v>
      </c>
      <c r="Q15" s="7">
        <v>17</v>
      </c>
      <c r="R15" s="63"/>
      <c r="S15" s="655">
        <v>45870</v>
      </c>
      <c r="T15" s="120">
        <v>5</v>
      </c>
      <c r="U15" s="120"/>
      <c r="V15" s="331">
        <v>44593</v>
      </c>
      <c r="W15" s="122">
        <v>1</v>
      </c>
      <c r="X15" s="122"/>
      <c r="Y15" s="122">
        <v>1</v>
      </c>
      <c r="Z15" s="309">
        <v>1</v>
      </c>
      <c r="AA15" s="184">
        <f t="shared" si="2"/>
        <v>3</v>
      </c>
      <c r="AB15" s="184">
        <f t="shared" si="3"/>
        <v>0.75</v>
      </c>
      <c r="AC15" s="185">
        <f t="shared" si="4"/>
        <v>3</v>
      </c>
      <c r="AD15" s="185">
        <f t="shared" si="5"/>
        <v>6</v>
      </c>
      <c r="AE15" s="97"/>
    </row>
    <row r="16" spans="1:31" x14ac:dyDescent="0.25">
      <c r="A16" s="315">
        <f t="shared" si="6"/>
        <v>15</v>
      </c>
      <c r="B16" s="651" t="s">
        <v>423</v>
      </c>
      <c r="C16" s="665">
        <v>1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38">
        <f t="shared" si="0"/>
        <v>1</v>
      </c>
      <c r="P16" s="438">
        <f t="shared" si="1"/>
        <v>1</v>
      </c>
      <c r="Q16" s="7">
        <v>17</v>
      </c>
      <c r="R16" s="63"/>
      <c r="S16" s="655">
        <v>45809</v>
      </c>
      <c r="T16" s="120">
        <v>2</v>
      </c>
      <c r="U16" s="120"/>
      <c r="V16" s="330">
        <v>44348</v>
      </c>
      <c r="W16" s="122"/>
      <c r="X16" s="122"/>
      <c r="Y16" s="122"/>
      <c r="Z16" s="309">
        <v>1</v>
      </c>
      <c r="AA16" s="184">
        <f t="shared" si="2"/>
        <v>1</v>
      </c>
      <c r="AB16" s="184">
        <f t="shared" si="3"/>
        <v>0.25</v>
      </c>
      <c r="AC16" s="185">
        <f t="shared" si="4"/>
        <v>1</v>
      </c>
      <c r="AD16" s="185">
        <f t="shared" si="5"/>
        <v>2</v>
      </c>
      <c r="AE16" s="97"/>
    </row>
    <row r="17" spans="1:31" x14ac:dyDescent="0.25">
      <c r="A17" s="315">
        <f t="shared" si="6"/>
        <v>16</v>
      </c>
      <c r="B17" s="3" t="s">
        <v>422</v>
      </c>
      <c r="C17" s="349">
        <v>1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38">
        <f t="shared" si="0"/>
        <v>1</v>
      </c>
      <c r="P17" s="438">
        <f t="shared" si="1"/>
        <v>3</v>
      </c>
      <c r="Q17" s="7">
        <v>17</v>
      </c>
      <c r="R17" s="63"/>
      <c r="S17" s="175">
        <v>45962</v>
      </c>
      <c r="T17" s="120"/>
      <c r="U17" s="120"/>
      <c r="V17" s="330">
        <v>44348</v>
      </c>
      <c r="W17" s="122">
        <v>1</v>
      </c>
      <c r="X17" s="122"/>
      <c r="Y17" s="122"/>
      <c r="Z17" s="309">
        <v>1</v>
      </c>
      <c r="AA17" s="184">
        <f t="shared" si="2"/>
        <v>2</v>
      </c>
      <c r="AB17" s="184">
        <f t="shared" si="3"/>
        <v>0.5</v>
      </c>
      <c r="AC17" s="185">
        <f t="shared" si="4"/>
        <v>2</v>
      </c>
      <c r="AD17" s="185">
        <f t="shared" si="5"/>
        <v>4</v>
      </c>
      <c r="AE17" s="97"/>
    </row>
    <row r="18" spans="1:31" x14ac:dyDescent="0.25">
      <c r="A18" s="315">
        <f t="shared" si="6"/>
        <v>17</v>
      </c>
      <c r="B18" s="3" t="s">
        <v>424</v>
      </c>
      <c r="C18" s="349">
        <v>1</v>
      </c>
      <c r="D18" s="359"/>
      <c r="E18" s="478"/>
      <c r="F18" s="359"/>
      <c r="G18" s="478"/>
      <c r="H18" s="359"/>
      <c r="I18" s="478"/>
      <c r="J18" s="380"/>
      <c r="K18" s="515"/>
      <c r="L18" s="359"/>
      <c r="M18" s="478"/>
      <c r="N18" s="561"/>
      <c r="O18" s="338">
        <f t="shared" si="0"/>
        <v>1</v>
      </c>
      <c r="P18" s="438">
        <f t="shared" si="1"/>
        <v>5</v>
      </c>
      <c r="Q18" s="7">
        <v>17</v>
      </c>
      <c r="R18" s="63"/>
      <c r="S18" s="175">
        <v>47300</v>
      </c>
      <c r="T18" s="120">
        <v>4</v>
      </c>
      <c r="U18" s="120"/>
      <c r="V18" s="344">
        <v>45658</v>
      </c>
      <c r="W18" s="122"/>
      <c r="X18" s="122">
        <v>1</v>
      </c>
      <c r="Y18" s="122">
        <v>1</v>
      </c>
      <c r="Z18" s="309">
        <v>1</v>
      </c>
      <c r="AA18" s="184">
        <f t="shared" si="2"/>
        <v>3</v>
      </c>
      <c r="AB18" s="184">
        <f t="shared" si="3"/>
        <v>0.75</v>
      </c>
      <c r="AC18" s="185">
        <f t="shared" si="4"/>
        <v>3</v>
      </c>
      <c r="AD18" s="185">
        <f t="shared" si="5"/>
        <v>6</v>
      </c>
      <c r="AE18" s="97"/>
    </row>
    <row r="19" spans="1:31" x14ac:dyDescent="0.25">
      <c r="A19" s="315">
        <f t="shared" si="6"/>
        <v>18</v>
      </c>
      <c r="B19" s="3" t="s">
        <v>425</v>
      </c>
      <c r="C19" s="349">
        <v>2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38">
        <f t="shared" si="0"/>
        <v>2</v>
      </c>
      <c r="P19" s="438">
        <f t="shared" si="1"/>
        <v>16</v>
      </c>
      <c r="Q19" s="7">
        <v>17</v>
      </c>
      <c r="R19" s="63"/>
      <c r="S19" s="344">
        <v>47239</v>
      </c>
      <c r="T19" s="120">
        <v>5</v>
      </c>
      <c r="U19" s="120"/>
      <c r="V19" s="344">
        <v>45627</v>
      </c>
      <c r="W19" s="122">
        <v>3</v>
      </c>
      <c r="X19" s="122">
        <v>2</v>
      </c>
      <c r="Y19" s="122">
        <v>1</v>
      </c>
      <c r="Z19" s="309">
        <v>3</v>
      </c>
      <c r="AA19" s="184">
        <f t="shared" si="2"/>
        <v>9</v>
      </c>
      <c r="AB19" s="184">
        <f t="shared" si="3"/>
        <v>2.25</v>
      </c>
      <c r="AC19" s="185">
        <f t="shared" si="4"/>
        <v>9</v>
      </c>
      <c r="AD19" s="185">
        <f t="shared" si="5"/>
        <v>18</v>
      </c>
    </row>
    <row r="20" spans="1:31" x14ac:dyDescent="0.25">
      <c r="A20" s="315">
        <f t="shared" si="6"/>
        <v>19</v>
      </c>
      <c r="B20" s="314" t="s">
        <v>426</v>
      </c>
      <c r="C20" s="349">
        <v>2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38">
        <f t="shared" si="0"/>
        <v>2</v>
      </c>
      <c r="P20" s="438">
        <f t="shared" si="1"/>
        <v>2</v>
      </c>
      <c r="Q20" s="7">
        <v>17</v>
      </c>
      <c r="R20" s="63"/>
      <c r="S20" s="344">
        <v>45962</v>
      </c>
      <c r="T20" s="120">
        <v>0</v>
      </c>
      <c r="U20" s="120"/>
      <c r="V20" s="330">
        <v>44501</v>
      </c>
      <c r="W20" s="122"/>
      <c r="X20" s="122"/>
      <c r="Y20" s="122">
        <v>1</v>
      </c>
      <c r="Z20" s="309">
        <v>1</v>
      </c>
      <c r="AA20" s="184">
        <f t="shared" si="2"/>
        <v>2</v>
      </c>
      <c r="AB20" s="184">
        <f t="shared" si="3"/>
        <v>0.5</v>
      </c>
      <c r="AC20" s="185">
        <f t="shared" si="4"/>
        <v>2</v>
      </c>
      <c r="AD20" s="185">
        <f t="shared" si="5"/>
        <v>4</v>
      </c>
    </row>
    <row r="21" spans="1:31" x14ac:dyDescent="0.25">
      <c r="A21" s="315">
        <f t="shared" si="6"/>
        <v>20</v>
      </c>
      <c r="B21" s="651" t="s">
        <v>427</v>
      </c>
      <c r="C21" s="665">
        <v>1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38">
        <f t="shared" si="0"/>
        <v>1</v>
      </c>
      <c r="P21" s="438">
        <f t="shared" si="1"/>
        <v>3</v>
      </c>
      <c r="Q21" s="7">
        <v>17</v>
      </c>
      <c r="R21" s="63"/>
      <c r="S21" s="655">
        <v>45809</v>
      </c>
      <c r="T21" s="318">
        <v>3</v>
      </c>
      <c r="U21" s="318"/>
      <c r="V21" s="331">
        <v>44593</v>
      </c>
      <c r="W21" s="309">
        <v>1</v>
      </c>
      <c r="X21" s="309"/>
      <c r="Y21" s="309">
        <v>1</v>
      </c>
      <c r="Z21" s="309"/>
      <c r="AA21" s="184">
        <f t="shared" si="2"/>
        <v>2</v>
      </c>
      <c r="AB21" s="184">
        <f t="shared" si="3"/>
        <v>0.5</v>
      </c>
      <c r="AC21" s="185">
        <f t="shared" si="4"/>
        <v>2</v>
      </c>
      <c r="AD21" s="185">
        <f t="shared" si="5"/>
        <v>4</v>
      </c>
    </row>
    <row r="22" spans="1:31" x14ac:dyDescent="0.25">
      <c r="A22" s="315">
        <f>A21+1</f>
        <v>21</v>
      </c>
      <c r="B22" s="651" t="s">
        <v>428</v>
      </c>
      <c r="C22" s="665">
        <v>1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38">
        <f t="shared" si="0"/>
        <v>1</v>
      </c>
      <c r="P22" s="438">
        <f t="shared" si="1"/>
        <v>3</v>
      </c>
      <c r="Q22" s="7">
        <v>17</v>
      </c>
      <c r="R22" s="63"/>
      <c r="S22" s="655">
        <v>45809</v>
      </c>
      <c r="T22" s="318">
        <v>2</v>
      </c>
      <c r="U22" s="318"/>
      <c r="V22" s="331">
        <v>44593</v>
      </c>
      <c r="W22" s="309"/>
      <c r="X22" s="309"/>
      <c r="Y22" s="309">
        <v>1</v>
      </c>
      <c r="Z22" s="309">
        <v>1</v>
      </c>
      <c r="AA22" s="184">
        <f t="shared" si="2"/>
        <v>2</v>
      </c>
      <c r="AB22" s="184">
        <f t="shared" si="3"/>
        <v>0.5</v>
      </c>
      <c r="AC22" s="185">
        <f t="shared" si="4"/>
        <v>2</v>
      </c>
      <c r="AD22" s="185">
        <f t="shared" si="5"/>
        <v>4</v>
      </c>
    </row>
    <row r="23" spans="1:31" x14ac:dyDescent="0.25">
      <c r="A23" s="315">
        <f t="shared" si="6"/>
        <v>22</v>
      </c>
      <c r="B23" s="314" t="s">
        <v>1066</v>
      </c>
      <c r="C23" s="8">
        <v>1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38">
        <f t="shared" si="0"/>
        <v>1</v>
      </c>
      <c r="P23" s="438">
        <f t="shared" si="1"/>
        <v>5</v>
      </c>
      <c r="Q23" s="10">
        <v>235</v>
      </c>
      <c r="R23" s="63"/>
      <c r="S23" s="81">
        <v>46023</v>
      </c>
      <c r="V23" s="81">
        <v>45658</v>
      </c>
      <c r="X23" s="14">
        <v>1</v>
      </c>
      <c r="Y23" s="14">
        <v>1</v>
      </c>
      <c r="Z23" s="28">
        <v>1</v>
      </c>
      <c r="AA23" s="184">
        <f t="shared" si="2"/>
        <v>3</v>
      </c>
      <c r="AB23" s="184">
        <f t="shared" si="3"/>
        <v>0.75</v>
      </c>
      <c r="AC23" s="185">
        <f t="shared" si="4"/>
        <v>3</v>
      </c>
      <c r="AD23" s="185">
        <f t="shared" si="5"/>
        <v>6</v>
      </c>
    </row>
    <row r="24" spans="1:31" x14ac:dyDescent="0.25">
      <c r="A24" s="315">
        <f t="shared" si="6"/>
        <v>23</v>
      </c>
      <c r="B24" s="314" t="s">
        <v>1371</v>
      </c>
      <c r="C24" s="349">
        <v>66</v>
      </c>
      <c r="D24" s="359"/>
      <c r="E24" s="478"/>
      <c r="F24" s="359">
        <v>6</v>
      </c>
      <c r="G24" s="478">
        <v>1</v>
      </c>
      <c r="H24" s="359"/>
      <c r="I24" s="478">
        <v>3</v>
      </c>
      <c r="J24" s="359"/>
      <c r="K24" s="478"/>
      <c r="L24" s="359"/>
      <c r="M24" s="478">
        <v>2</v>
      </c>
      <c r="N24" s="561"/>
      <c r="O24" s="338">
        <f t="shared" si="0"/>
        <v>54</v>
      </c>
      <c r="P24" s="438">
        <f t="shared" si="1"/>
        <v>56</v>
      </c>
      <c r="Q24" s="7">
        <v>4.5</v>
      </c>
      <c r="R24" s="63" t="s">
        <v>619</v>
      </c>
      <c r="S24" s="344">
        <v>46113</v>
      </c>
      <c r="T24" s="318">
        <v>5</v>
      </c>
      <c r="U24" s="318"/>
      <c r="V24" s="344">
        <v>45597</v>
      </c>
      <c r="W24" s="309">
        <v>11</v>
      </c>
      <c r="X24" s="309">
        <v>15</v>
      </c>
      <c r="Y24" s="309">
        <v>9</v>
      </c>
      <c r="Z24" s="309">
        <v>20</v>
      </c>
      <c r="AA24" s="184">
        <f t="shared" si="2"/>
        <v>55</v>
      </c>
      <c r="AB24" s="184">
        <f t="shared" si="3"/>
        <v>13.75</v>
      </c>
      <c r="AC24" s="185">
        <f t="shared" si="4"/>
        <v>55</v>
      </c>
      <c r="AD24" s="185">
        <f t="shared" si="5"/>
        <v>110</v>
      </c>
    </row>
    <row r="25" spans="1:31" x14ac:dyDescent="0.25">
      <c r="A25" s="315">
        <f t="shared" si="6"/>
        <v>24</v>
      </c>
      <c r="B25" s="314" t="s">
        <v>1484</v>
      </c>
      <c r="C25" s="8">
        <v>1</v>
      </c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338">
        <f t="shared" si="0"/>
        <v>1</v>
      </c>
      <c r="P25" s="438">
        <f t="shared" si="1"/>
        <v>-1</v>
      </c>
      <c r="Q25" s="7">
        <v>26</v>
      </c>
      <c r="R25" s="63"/>
      <c r="S25" s="81">
        <v>45839</v>
      </c>
      <c r="U25" s="14">
        <v>1</v>
      </c>
      <c r="V25" s="81">
        <v>45717</v>
      </c>
      <c r="AA25" s="184">
        <f t="shared" si="2"/>
        <v>0</v>
      </c>
      <c r="AB25" s="184">
        <f t="shared" si="3"/>
        <v>0</v>
      </c>
      <c r="AC25" s="185">
        <f t="shared" si="4"/>
        <v>0</v>
      </c>
      <c r="AD25" s="185">
        <f t="shared" si="5"/>
        <v>0</v>
      </c>
    </row>
    <row r="26" spans="1:31" x14ac:dyDescent="0.25">
      <c r="A26" s="315">
        <f t="shared" si="6"/>
        <v>25</v>
      </c>
      <c r="B26" s="314" t="s">
        <v>1483</v>
      </c>
      <c r="C26" s="8">
        <v>2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38">
        <f t="shared" si="0"/>
        <v>2</v>
      </c>
      <c r="P26" s="438">
        <f t="shared" si="1"/>
        <v>-2</v>
      </c>
      <c r="Q26" s="7">
        <v>26</v>
      </c>
      <c r="R26" s="63"/>
      <c r="S26" s="81">
        <v>47058</v>
      </c>
      <c r="U26" s="14">
        <v>2</v>
      </c>
      <c r="V26" s="81">
        <v>45717</v>
      </c>
      <c r="AA26" s="184">
        <f t="shared" si="2"/>
        <v>0</v>
      </c>
      <c r="AB26" s="184">
        <f t="shared" si="3"/>
        <v>0</v>
      </c>
      <c r="AC26" s="185">
        <f t="shared" si="4"/>
        <v>0</v>
      </c>
      <c r="AD26" s="185">
        <f t="shared" si="5"/>
        <v>0</v>
      </c>
    </row>
    <row r="27" spans="1:31" x14ac:dyDescent="0.25">
      <c r="A27" s="315">
        <f t="shared" si="6"/>
        <v>26</v>
      </c>
      <c r="B27" s="314" t="s">
        <v>1481</v>
      </c>
      <c r="C27" s="8">
        <v>1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38">
        <f t="shared" si="0"/>
        <v>1</v>
      </c>
      <c r="P27" s="438">
        <f t="shared" si="1"/>
        <v>-1</v>
      </c>
      <c r="Q27" s="7">
        <v>26</v>
      </c>
      <c r="R27" s="63"/>
      <c r="S27" s="81">
        <v>46388</v>
      </c>
      <c r="U27" s="14">
        <v>1</v>
      </c>
      <c r="V27" s="81">
        <v>45717</v>
      </c>
      <c r="AA27" s="184">
        <f t="shared" si="2"/>
        <v>0</v>
      </c>
      <c r="AB27" s="184">
        <f t="shared" si="3"/>
        <v>0</v>
      </c>
      <c r="AC27" s="185">
        <f t="shared" si="4"/>
        <v>0</v>
      </c>
      <c r="AD27" s="185">
        <f t="shared" si="5"/>
        <v>0</v>
      </c>
    </row>
    <row r="28" spans="1:31" x14ac:dyDescent="0.25">
      <c r="A28" s="315">
        <f t="shared" si="6"/>
        <v>27</v>
      </c>
      <c r="B28" s="314" t="s">
        <v>1482</v>
      </c>
      <c r="C28" s="8">
        <v>1</v>
      </c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338">
        <f t="shared" si="0"/>
        <v>1</v>
      </c>
      <c r="P28" s="438">
        <f t="shared" si="1"/>
        <v>-1</v>
      </c>
      <c r="Q28" s="7">
        <v>26</v>
      </c>
      <c r="R28" s="63"/>
      <c r="S28" s="81">
        <v>46054</v>
      </c>
      <c r="U28" s="14">
        <v>1</v>
      </c>
      <c r="V28" s="81">
        <v>45717</v>
      </c>
      <c r="AA28" s="184">
        <f t="shared" si="2"/>
        <v>0</v>
      </c>
      <c r="AB28" s="184">
        <f t="shared" si="3"/>
        <v>0</v>
      </c>
      <c r="AC28" s="185">
        <f t="shared" si="4"/>
        <v>0</v>
      </c>
      <c r="AD28" s="185">
        <f t="shared" si="5"/>
        <v>0</v>
      </c>
    </row>
    <row r="29" spans="1:31" x14ac:dyDescent="0.25">
      <c r="A29" s="315">
        <f t="shared" si="6"/>
        <v>28</v>
      </c>
      <c r="B29" s="314" t="s">
        <v>212</v>
      </c>
      <c r="C29" s="8">
        <v>5</v>
      </c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338">
        <f t="shared" si="0"/>
        <v>5</v>
      </c>
      <c r="P29" s="438">
        <f t="shared" si="1"/>
        <v>7</v>
      </c>
      <c r="Q29" s="7">
        <v>32</v>
      </c>
      <c r="R29" s="63"/>
      <c r="S29" s="344">
        <v>45992</v>
      </c>
      <c r="T29" s="318">
        <v>11</v>
      </c>
      <c r="U29" s="318"/>
      <c r="V29" s="344">
        <v>45474</v>
      </c>
      <c r="W29" s="309">
        <v>1</v>
      </c>
      <c r="X29" s="309">
        <v>1</v>
      </c>
      <c r="Y29" s="309">
        <v>1</v>
      </c>
      <c r="Z29" s="309">
        <v>3</v>
      </c>
      <c r="AA29" s="184">
        <f t="shared" si="2"/>
        <v>6</v>
      </c>
      <c r="AB29" s="184">
        <f t="shared" si="3"/>
        <v>1.5</v>
      </c>
      <c r="AC29" s="185">
        <f t="shared" si="4"/>
        <v>6</v>
      </c>
      <c r="AD29" s="185">
        <f t="shared" si="5"/>
        <v>12</v>
      </c>
    </row>
    <row r="30" spans="1:31" x14ac:dyDescent="0.25">
      <c r="A30" s="315">
        <f t="shared" si="6"/>
        <v>29</v>
      </c>
      <c r="B30" s="314" t="s">
        <v>1485</v>
      </c>
      <c r="C30" s="8">
        <v>6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38">
        <f t="shared" si="0"/>
        <v>6</v>
      </c>
      <c r="P30" s="438">
        <f t="shared" si="1"/>
        <v>-6</v>
      </c>
      <c r="Q30" s="7">
        <v>23</v>
      </c>
      <c r="R30" s="63"/>
      <c r="S30" s="81">
        <v>46204</v>
      </c>
      <c r="T30" s="14">
        <v>4</v>
      </c>
      <c r="U30" s="14">
        <v>6</v>
      </c>
      <c r="V30" s="81">
        <v>45717</v>
      </c>
      <c r="AA30" s="184">
        <f t="shared" si="2"/>
        <v>0</v>
      </c>
      <c r="AB30" s="184">
        <f t="shared" si="3"/>
        <v>0</v>
      </c>
      <c r="AC30" s="185">
        <f t="shared" si="4"/>
        <v>0</v>
      </c>
      <c r="AD30" s="185">
        <f t="shared" si="5"/>
        <v>0</v>
      </c>
    </row>
    <row r="31" spans="1:31" x14ac:dyDescent="0.25">
      <c r="A31" s="315">
        <f t="shared" si="6"/>
        <v>30</v>
      </c>
      <c r="B31" s="4"/>
      <c r="C31" s="8"/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338">
        <f>SUM(C31-D31-E31-F31-G31-H31-I31-J31-K31-L31-M31-N31)</f>
        <v>0</v>
      </c>
      <c r="P31" s="438">
        <f>AD31-O31</f>
        <v>0</v>
      </c>
      <c r="Q31" s="10"/>
      <c r="R31" s="63"/>
      <c r="AA31" s="184">
        <f>W31+X31+Y31+Z31</f>
        <v>0</v>
      </c>
      <c r="AB31" s="184">
        <f>AA31/4</f>
        <v>0</v>
      </c>
      <c r="AC31" s="185">
        <f>AB31*4</f>
        <v>0</v>
      </c>
      <c r="AD31" s="185">
        <f>AC31*2</f>
        <v>0</v>
      </c>
    </row>
    <row r="32" spans="1:31" x14ac:dyDescent="0.25">
      <c r="A32" s="315">
        <f t="shared" si="6"/>
        <v>31</v>
      </c>
      <c r="B32" s="4"/>
      <c r="C32" s="9"/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338">
        <f>SUM(C32-D32-E32-F32-G32-H32-I32-J32-K32-L32-M32-N32)</f>
        <v>0</v>
      </c>
      <c r="P32" s="438">
        <f>AD32-O32</f>
        <v>0</v>
      </c>
      <c r="Q32" s="10"/>
      <c r="R32" s="63"/>
    </row>
    <row r="33" spans="1:18" x14ac:dyDescent="0.25">
      <c r="A33" s="315">
        <f t="shared" si="6"/>
        <v>32</v>
      </c>
      <c r="B33" s="4"/>
      <c r="C33" s="9"/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47"/>
      <c r="P33" s="338"/>
      <c r="Q33" s="10"/>
      <c r="R33" s="63"/>
    </row>
    <row r="34" spans="1:18" x14ac:dyDescent="0.25">
      <c r="A34" s="315">
        <f t="shared" si="6"/>
        <v>33</v>
      </c>
      <c r="B34" s="4"/>
      <c r="C34" s="8"/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47"/>
      <c r="P34" s="338"/>
      <c r="Q34" s="10"/>
      <c r="R34" s="63"/>
    </row>
    <row r="35" spans="1:18" x14ac:dyDescent="0.25">
      <c r="A35" s="315">
        <f t="shared" si="6"/>
        <v>34</v>
      </c>
      <c r="B35" s="4"/>
      <c r="C35" s="9"/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47"/>
      <c r="P35" s="338"/>
      <c r="Q35" s="10"/>
      <c r="R35" s="63"/>
    </row>
    <row r="36" spans="1:18" x14ac:dyDescent="0.25">
      <c r="A36" s="3"/>
      <c r="B36" s="4"/>
      <c r="C36" s="8"/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47"/>
      <c r="P36" s="338"/>
      <c r="Q36" s="10"/>
      <c r="R36" s="63"/>
    </row>
    <row r="37" spans="1:18" x14ac:dyDescent="0.25">
      <c r="A37" s="3"/>
      <c r="B37" s="4"/>
      <c r="C37" s="8"/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47"/>
      <c r="P37" s="338"/>
      <c r="Q37" s="10"/>
      <c r="R37" s="63"/>
    </row>
    <row r="38" spans="1:18" x14ac:dyDescent="0.25">
      <c r="A38" s="3"/>
      <c r="B38" s="4"/>
      <c r="C38" s="8"/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47"/>
      <c r="P38" s="338"/>
      <c r="Q38" s="10"/>
      <c r="R38" s="63"/>
    </row>
    <row r="39" spans="1:18" x14ac:dyDescent="0.25">
      <c r="A39" s="3"/>
      <c r="B39" s="4"/>
      <c r="C39" s="9"/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47"/>
      <c r="P39" s="338"/>
      <c r="Q39" s="10"/>
      <c r="R39" s="63"/>
    </row>
    <row r="40" spans="1:18" x14ac:dyDescent="0.25">
      <c r="A40" s="3"/>
      <c r="B40" s="4"/>
      <c r="C40" s="9"/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47"/>
      <c r="P40" s="338"/>
      <c r="Q40" s="10"/>
      <c r="R40" s="63"/>
    </row>
    <row r="41" spans="1:18" x14ac:dyDescent="0.25">
      <c r="A41" s="3"/>
      <c r="B41" s="4"/>
      <c r="C41" s="9"/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47"/>
      <c r="P41" s="338"/>
      <c r="Q41" s="10"/>
      <c r="R41" s="63"/>
    </row>
    <row r="42" spans="1:18" x14ac:dyDescent="0.25">
      <c r="A42" s="3"/>
      <c r="B42" s="4"/>
      <c r="C42" s="9"/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47"/>
      <c r="P42" s="338"/>
      <c r="Q42" s="10"/>
      <c r="R42" s="63"/>
    </row>
    <row r="43" spans="1:18" x14ac:dyDescent="0.25">
      <c r="A43" s="3"/>
      <c r="B43" s="4"/>
      <c r="C43" s="9"/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47"/>
      <c r="P43" s="338"/>
      <c r="Q43" s="10"/>
      <c r="R43" s="63"/>
    </row>
    <row r="44" spans="1:18" x14ac:dyDescent="0.25">
      <c r="A44" s="3"/>
      <c r="B44" s="4"/>
      <c r="C44" s="9"/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47"/>
      <c r="P44" s="338"/>
      <c r="Q44" s="10"/>
      <c r="R44" s="63"/>
    </row>
    <row r="45" spans="1:18" x14ac:dyDescent="0.25">
      <c r="A45" s="3"/>
      <c r="B45" s="4"/>
      <c r="C45" s="8"/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47"/>
      <c r="P45" s="338"/>
      <c r="Q45" s="10"/>
      <c r="R45" s="63"/>
    </row>
    <row r="46" spans="1:18" x14ac:dyDescent="0.25">
      <c r="A46" s="3"/>
      <c r="B46" s="4"/>
      <c r="C46" s="9"/>
      <c r="D46" s="359"/>
      <c r="E46" s="478"/>
      <c r="F46" s="359"/>
      <c r="G46" s="478"/>
      <c r="H46" s="359"/>
      <c r="I46" s="478"/>
      <c r="J46" s="359"/>
      <c r="K46" s="478"/>
      <c r="L46" s="359"/>
      <c r="M46" s="478"/>
      <c r="N46" s="561"/>
      <c r="O46" s="47"/>
      <c r="P46" s="338"/>
      <c r="Q46" s="10"/>
      <c r="R46" s="63"/>
    </row>
    <row r="47" spans="1:18" x14ac:dyDescent="0.25">
      <c r="A47" s="3"/>
      <c r="B47" s="4"/>
      <c r="C47" s="9"/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47"/>
      <c r="P47" s="338"/>
      <c r="Q47" s="10"/>
      <c r="R47" s="63"/>
    </row>
    <row r="48" spans="1:18" x14ac:dyDescent="0.25">
      <c r="A48" s="3"/>
      <c r="B48" s="4"/>
      <c r="C48" s="9"/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47"/>
      <c r="P48" s="338"/>
      <c r="Q48" s="10"/>
      <c r="R48" s="63"/>
    </row>
    <row r="49" spans="1:18" x14ac:dyDescent="0.25">
      <c r="A49" s="3"/>
      <c r="B49" s="4"/>
      <c r="C49" s="9"/>
      <c r="D49" s="359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47"/>
      <c r="P49" s="338"/>
      <c r="Q49" s="10"/>
      <c r="R49" s="63"/>
    </row>
    <row r="50" spans="1:18" x14ac:dyDescent="0.25">
      <c r="A50" s="3"/>
      <c r="B50" s="4"/>
      <c r="C50" s="9"/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47"/>
      <c r="P50" s="338"/>
      <c r="Q50" s="10"/>
      <c r="R50" s="63"/>
    </row>
    <row r="51" spans="1:18" x14ac:dyDescent="0.25">
      <c r="A51" s="3"/>
      <c r="B51" s="4"/>
      <c r="C51" s="9"/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47"/>
      <c r="P51" s="338"/>
      <c r="Q51" s="10"/>
      <c r="R51" s="63"/>
    </row>
    <row r="52" spans="1:18" x14ac:dyDescent="0.25">
      <c r="A52" s="3"/>
      <c r="B52" s="4"/>
      <c r="C52" s="9"/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47"/>
      <c r="P52" s="338"/>
      <c r="Q52" s="10"/>
      <c r="R52" s="63"/>
    </row>
    <row r="53" spans="1:18" x14ac:dyDescent="0.25">
      <c r="A53" s="3"/>
      <c r="B53" s="4"/>
      <c r="C53" s="9"/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47"/>
      <c r="P53" s="338"/>
      <c r="Q53" s="10"/>
      <c r="R53" s="63"/>
    </row>
    <row r="54" spans="1:18" x14ac:dyDescent="0.25">
      <c r="A54" s="3"/>
      <c r="B54" s="4"/>
      <c r="C54" s="9"/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47"/>
      <c r="P54" s="338"/>
      <c r="Q54" s="10"/>
      <c r="R54" s="63"/>
    </row>
    <row r="55" spans="1:18" x14ac:dyDescent="0.25">
      <c r="A55" s="3"/>
      <c r="B55" s="4"/>
      <c r="C55" s="9"/>
      <c r="D55" s="359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47"/>
      <c r="P55" s="338"/>
      <c r="Q55" s="10"/>
      <c r="R55" s="63"/>
    </row>
    <row r="56" spans="1:18" x14ac:dyDescent="0.25">
      <c r="A56" s="3"/>
      <c r="B56" s="4"/>
      <c r="C56" s="9"/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47"/>
      <c r="P56" s="338"/>
      <c r="Q56" s="10"/>
      <c r="R56" s="63"/>
    </row>
    <row r="57" spans="1:18" x14ac:dyDescent="0.25">
      <c r="A57" s="3"/>
      <c r="B57" s="3"/>
      <c r="C57" s="9"/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47"/>
      <c r="P57" s="338"/>
      <c r="Q57" s="10"/>
      <c r="R57" s="63"/>
    </row>
    <row r="58" spans="1:18" x14ac:dyDescent="0.25">
      <c r="A58" s="3"/>
      <c r="B58" s="4"/>
      <c r="C58" s="9"/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47"/>
      <c r="P58" s="338"/>
      <c r="Q58" s="10"/>
      <c r="R58" s="63"/>
    </row>
    <row r="59" spans="1:18" x14ac:dyDescent="0.25">
      <c r="A59" s="3"/>
      <c r="B59" s="4"/>
      <c r="C59" s="9"/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47"/>
      <c r="P59" s="338"/>
      <c r="Q59" s="10"/>
      <c r="R59" s="63"/>
    </row>
    <row r="60" spans="1:18" x14ac:dyDescent="0.25">
      <c r="A60" s="3"/>
      <c r="B60" s="4"/>
      <c r="C60" s="9"/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47"/>
      <c r="P60" s="338"/>
      <c r="Q60" s="10"/>
      <c r="R60" s="63"/>
    </row>
    <row r="61" spans="1:18" x14ac:dyDescent="0.25">
      <c r="A61" s="3"/>
      <c r="B61" s="4"/>
      <c r="C61" s="9"/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47"/>
      <c r="P61" s="338"/>
      <c r="Q61" s="10"/>
      <c r="R61" s="64"/>
    </row>
    <row r="62" spans="1:18" x14ac:dyDescent="0.25">
      <c r="A62" s="3"/>
      <c r="B62" s="4"/>
      <c r="C62" s="9"/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47"/>
      <c r="P62" s="338"/>
      <c r="Q62" s="10"/>
      <c r="R62" s="63"/>
    </row>
    <row r="63" spans="1:18" x14ac:dyDescent="0.25">
      <c r="A63" s="3"/>
      <c r="B63" s="4"/>
      <c r="C63" s="9"/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47"/>
      <c r="P63" s="338"/>
      <c r="Q63" s="10"/>
      <c r="R63" s="63"/>
    </row>
    <row r="64" spans="1:18" x14ac:dyDescent="0.25">
      <c r="A64" s="3"/>
      <c r="B64" s="4"/>
      <c r="C64" s="9"/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47"/>
      <c r="P64" s="338"/>
      <c r="Q64" s="10"/>
      <c r="R64" s="63"/>
    </row>
    <row r="65" spans="1:18" x14ac:dyDescent="0.25">
      <c r="A65" s="3"/>
      <c r="B65" s="4"/>
      <c r="C65" s="9"/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47"/>
      <c r="P65" s="338"/>
      <c r="Q65" s="10"/>
      <c r="R65" s="63"/>
    </row>
    <row r="66" spans="1:18" x14ac:dyDescent="0.25">
      <c r="A66" s="3"/>
      <c r="B66" s="4"/>
      <c r="C66" s="9"/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47"/>
      <c r="P66" s="338"/>
      <c r="Q66" s="10"/>
      <c r="R66" s="63"/>
    </row>
    <row r="67" spans="1:18" x14ac:dyDescent="0.25">
      <c r="A67" s="3"/>
      <c r="B67" s="4"/>
      <c r="C67" s="9"/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47"/>
      <c r="P67" s="338"/>
      <c r="Q67" s="10"/>
      <c r="R67" s="63"/>
    </row>
    <row r="68" spans="1:18" x14ac:dyDescent="0.25">
      <c r="A68" s="3"/>
      <c r="B68" s="4"/>
      <c r="C68" s="9"/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47"/>
      <c r="P68" s="338"/>
      <c r="Q68" s="10"/>
      <c r="R68" s="63"/>
    </row>
    <row r="69" spans="1:18" x14ac:dyDescent="0.25">
      <c r="A69" s="3"/>
      <c r="B69" s="4"/>
      <c r="C69" s="9"/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47"/>
      <c r="P69" s="338"/>
      <c r="Q69" s="10"/>
      <c r="R69" s="63"/>
    </row>
    <row r="70" spans="1:18" x14ac:dyDescent="0.25">
      <c r="A70" s="3"/>
      <c r="B70" s="4"/>
      <c r="C70" s="9"/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47"/>
      <c r="P70" s="338"/>
      <c r="Q70" s="10"/>
      <c r="R70" s="63"/>
    </row>
    <row r="71" spans="1:18" x14ac:dyDescent="0.25">
      <c r="A71" s="3"/>
      <c r="B71" s="4"/>
      <c r="C71" s="9"/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47"/>
      <c r="P71" s="338"/>
      <c r="Q71" s="10"/>
      <c r="R71" s="63"/>
    </row>
    <row r="72" spans="1:18" x14ac:dyDescent="0.25">
      <c r="A72" s="3"/>
      <c r="B72" s="4"/>
      <c r="C72" s="8"/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47"/>
      <c r="P72" s="338"/>
      <c r="Q72" s="10"/>
      <c r="R72" s="63"/>
    </row>
    <row r="73" spans="1:18" x14ac:dyDescent="0.25">
      <c r="A73" s="3"/>
      <c r="B73" s="4"/>
      <c r="C73" s="8"/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47"/>
      <c r="P73" s="338"/>
      <c r="Q73" s="10"/>
      <c r="R73" s="63"/>
    </row>
    <row r="74" spans="1:18" x14ac:dyDescent="0.25">
      <c r="A74" s="3"/>
      <c r="B74" s="4"/>
      <c r="C74" s="8"/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47"/>
      <c r="P74" s="338"/>
      <c r="Q74" s="10"/>
      <c r="R74" s="63"/>
    </row>
    <row r="75" spans="1:18" x14ac:dyDescent="0.25">
      <c r="A75" s="3"/>
      <c r="B75" s="4"/>
      <c r="C75" s="9"/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47"/>
      <c r="P75" s="338"/>
      <c r="Q75" s="10"/>
      <c r="R75" s="63"/>
    </row>
    <row r="76" spans="1:18" x14ac:dyDescent="0.25">
      <c r="A76" s="3"/>
      <c r="B76" s="4"/>
      <c r="C76" s="9"/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47"/>
      <c r="P76" s="338"/>
      <c r="Q76" s="10"/>
      <c r="R76" s="63"/>
    </row>
    <row r="77" spans="1:18" x14ac:dyDescent="0.25">
      <c r="A77" s="3"/>
      <c r="B77" s="4"/>
      <c r="C77" s="9"/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47"/>
      <c r="P77" s="338"/>
      <c r="Q77" s="10"/>
      <c r="R77" s="63"/>
    </row>
    <row r="78" spans="1:18" x14ac:dyDescent="0.25">
      <c r="A78" s="3"/>
      <c r="B78" s="4"/>
      <c r="C78" s="9"/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47"/>
      <c r="P78" s="338"/>
      <c r="Q78" s="10"/>
      <c r="R78" s="63"/>
    </row>
    <row r="79" spans="1:18" x14ac:dyDescent="0.25">
      <c r="A79" s="3"/>
      <c r="B79" s="4"/>
      <c r="C79" s="8"/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47"/>
      <c r="P79" s="338"/>
      <c r="Q79" s="10"/>
      <c r="R79" s="63"/>
    </row>
    <row r="80" spans="1:18" x14ac:dyDescent="0.25">
      <c r="A80" s="3"/>
      <c r="B80" s="4"/>
      <c r="C80" s="9"/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47"/>
      <c r="P80" s="338"/>
      <c r="Q80" s="10"/>
      <c r="R80" s="63"/>
    </row>
    <row r="81" spans="1:18" x14ac:dyDescent="0.25">
      <c r="A81" s="3"/>
      <c r="B81" s="4"/>
      <c r="C81" s="9"/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47"/>
      <c r="P81" s="338"/>
      <c r="Q81" s="10"/>
      <c r="R81" s="63"/>
    </row>
    <row r="82" spans="1:18" x14ac:dyDescent="0.25">
      <c r="A82" s="3"/>
      <c r="B82" s="4"/>
      <c r="C82" s="9"/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47"/>
      <c r="P82" s="338"/>
      <c r="Q82" s="10"/>
      <c r="R82" s="63"/>
    </row>
    <row r="83" spans="1:18" x14ac:dyDescent="0.25">
      <c r="A83" s="3"/>
      <c r="B83" s="4"/>
      <c r="C83" s="9"/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47"/>
      <c r="P83" s="338"/>
      <c r="Q83" s="10"/>
      <c r="R83" s="63"/>
    </row>
    <row r="84" spans="1:18" x14ac:dyDescent="0.25">
      <c r="A84" s="3"/>
      <c r="B84" s="4"/>
      <c r="C84" s="9"/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47"/>
      <c r="P84" s="338"/>
      <c r="Q84" s="10"/>
      <c r="R84" s="63"/>
    </row>
    <row r="85" spans="1:18" x14ac:dyDescent="0.25">
      <c r="A85" s="3"/>
      <c r="B85" s="4"/>
      <c r="C85" s="8"/>
      <c r="D85" s="359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47"/>
      <c r="P85" s="338"/>
      <c r="Q85" s="10"/>
      <c r="R85" s="63"/>
    </row>
    <row r="86" spans="1:18" x14ac:dyDescent="0.25">
      <c r="A86" s="3"/>
      <c r="B86" s="4"/>
      <c r="C86" s="9"/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47"/>
      <c r="P86" s="338"/>
      <c r="Q86" s="10"/>
      <c r="R86" s="63"/>
    </row>
    <row r="87" spans="1:18" x14ac:dyDescent="0.25">
      <c r="A87" s="3"/>
      <c r="B87" s="4"/>
      <c r="C87" s="9"/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47"/>
      <c r="P87" s="338"/>
      <c r="Q87" s="10"/>
      <c r="R87" s="63"/>
    </row>
    <row r="88" spans="1:18" x14ac:dyDescent="0.25">
      <c r="A88" s="3"/>
      <c r="B88" s="3"/>
      <c r="C88" s="9"/>
      <c r="D88" s="359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47"/>
      <c r="P88" s="338"/>
      <c r="Q88" s="10"/>
      <c r="R88" s="63"/>
    </row>
    <row r="89" spans="1:18" x14ac:dyDescent="0.25">
      <c r="A89" s="3"/>
      <c r="B89" s="4"/>
      <c r="C89" s="8"/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47"/>
      <c r="P89" s="338"/>
      <c r="Q89" s="10"/>
      <c r="R89" s="63"/>
    </row>
    <row r="90" spans="1:18" x14ac:dyDescent="0.25">
      <c r="A90" s="3"/>
      <c r="B90" s="4"/>
      <c r="C90" s="8"/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47"/>
      <c r="P90" s="338"/>
      <c r="Q90" s="10"/>
      <c r="R90" s="63"/>
    </row>
    <row r="91" spans="1:18" x14ac:dyDescent="0.25">
      <c r="A91" s="3"/>
      <c r="B91" s="4"/>
      <c r="C91" s="9"/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47"/>
      <c r="P91" s="338"/>
      <c r="Q91" s="10"/>
      <c r="R91" s="63"/>
    </row>
    <row r="92" spans="1:18" x14ac:dyDescent="0.25">
      <c r="A92" s="3"/>
      <c r="B92" s="4"/>
      <c r="C92" s="9"/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47"/>
      <c r="P92" s="338"/>
      <c r="Q92" s="10"/>
      <c r="R92" s="63"/>
    </row>
    <row r="93" spans="1:18" x14ac:dyDescent="0.25">
      <c r="A93" s="3"/>
      <c r="B93" s="4"/>
      <c r="C93" s="9"/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47"/>
      <c r="P93" s="338"/>
      <c r="Q93" s="10"/>
      <c r="R93" s="63"/>
    </row>
    <row r="94" spans="1:18" x14ac:dyDescent="0.25">
      <c r="A94" s="3"/>
      <c r="B94" s="4"/>
      <c r="C94" s="9"/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47"/>
      <c r="P94" s="338"/>
      <c r="Q94" s="10"/>
      <c r="R94" s="63"/>
    </row>
    <row r="95" spans="1:18" x14ac:dyDescent="0.25">
      <c r="A95" s="3"/>
      <c r="B95" s="3"/>
      <c r="C95" s="9"/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47"/>
      <c r="P95" s="338"/>
      <c r="Q95" s="10"/>
      <c r="R95" s="63"/>
    </row>
    <row r="96" spans="1:18" x14ac:dyDescent="0.25">
      <c r="A96" s="3"/>
      <c r="B96" s="4"/>
      <c r="C96" s="9"/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47"/>
      <c r="P96" s="338"/>
      <c r="Q96" s="10"/>
      <c r="R96" s="63"/>
    </row>
    <row r="97" spans="1:18" x14ac:dyDescent="0.25">
      <c r="A97" s="3"/>
      <c r="B97" s="4"/>
      <c r="C97" s="9"/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47"/>
      <c r="P97" s="338"/>
      <c r="Q97" s="10"/>
      <c r="R97" s="63"/>
    </row>
    <row r="98" spans="1:18" x14ac:dyDescent="0.25">
      <c r="A98" s="3"/>
      <c r="B98" s="4"/>
      <c r="C98" s="8"/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47"/>
      <c r="P98" s="338"/>
      <c r="Q98" s="10"/>
      <c r="R98" s="63"/>
    </row>
    <row r="99" spans="1:18" x14ac:dyDescent="0.25">
      <c r="A99" s="3"/>
      <c r="B99" s="4"/>
      <c r="C99" s="9"/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47"/>
      <c r="P99" s="338"/>
      <c r="Q99" s="10"/>
      <c r="R99" s="63"/>
    </row>
    <row r="100" spans="1:18" x14ac:dyDescent="0.25">
      <c r="A100" s="3"/>
      <c r="B100" s="4"/>
      <c r="C100" s="9"/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47"/>
      <c r="P100" s="338"/>
      <c r="Q100" s="10"/>
      <c r="R100" s="63"/>
    </row>
    <row r="101" spans="1:18" x14ac:dyDescent="0.25">
      <c r="A101" s="3"/>
      <c r="B101" s="4"/>
      <c r="C101" s="9"/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47"/>
      <c r="P101" s="338"/>
      <c r="Q101" s="10"/>
      <c r="R101" s="63"/>
    </row>
    <row r="102" spans="1:18" x14ac:dyDescent="0.25">
      <c r="A102" s="3"/>
      <c r="B102" s="4"/>
      <c r="C102" s="9"/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47"/>
      <c r="P102" s="338"/>
      <c r="Q102" s="10"/>
      <c r="R102" s="63"/>
    </row>
    <row r="103" spans="1:18" x14ac:dyDescent="0.25">
      <c r="A103" s="3"/>
      <c r="B103" s="4"/>
      <c r="C103" s="9"/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47"/>
      <c r="P103" s="338"/>
      <c r="Q103" s="10"/>
      <c r="R103" s="63"/>
    </row>
    <row r="104" spans="1:18" x14ac:dyDescent="0.25">
      <c r="A104" s="3"/>
      <c r="B104" s="4"/>
      <c r="C104" s="9"/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47"/>
      <c r="P104" s="338"/>
      <c r="Q104" s="10"/>
      <c r="R104" s="63"/>
    </row>
    <row r="105" spans="1:18" x14ac:dyDescent="0.25">
      <c r="A105" s="3"/>
      <c r="B105" s="4"/>
      <c r="C105" s="9"/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47"/>
      <c r="P105" s="338"/>
      <c r="Q105" s="10"/>
      <c r="R105" s="63"/>
    </row>
    <row r="106" spans="1:18" x14ac:dyDescent="0.25">
      <c r="A106" s="3"/>
      <c r="B106" s="4"/>
      <c r="C106" s="9"/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47"/>
      <c r="P106" s="338"/>
      <c r="Q106" s="10"/>
      <c r="R106" s="63"/>
    </row>
    <row r="107" spans="1:18" x14ac:dyDescent="0.25">
      <c r="A107" s="3"/>
      <c r="B107" s="4"/>
      <c r="C107" s="9"/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47"/>
      <c r="P107" s="338"/>
      <c r="Q107" s="10"/>
      <c r="R107" s="63"/>
    </row>
    <row r="108" spans="1:18" x14ac:dyDescent="0.25">
      <c r="A108" s="3"/>
      <c r="B108" s="4"/>
      <c r="C108" s="9"/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47"/>
      <c r="P108" s="338"/>
      <c r="Q108" s="10"/>
      <c r="R108" s="63"/>
    </row>
    <row r="109" spans="1:18" x14ac:dyDescent="0.25">
      <c r="A109" s="3"/>
      <c r="B109" s="4"/>
      <c r="C109" s="9"/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47"/>
      <c r="P109" s="338"/>
      <c r="Q109" s="10"/>
      <c r="R109" s="63"/>
    </row>
    <row r="110" spans="1:18" x14ac:dyDescent="0.25">
      <c r="A110" s="3"/>
      <c r="B110" s="4"/>
      <c r="C110" s="9"/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47"/>
      <c r="P110" s="338"/>
      <c r="Q110" s="10"/>
      <c r="R110" s="63"/>
    </row>
    <row r="111" spans="1:18" x14ac:dyDescent="0.25">
      <c r="A111" s="3"/>
      <c r="B111" s="4"/>
      <c r="C111" s="9"/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47"/>
      <c r="P111" s="338"/>
      <c r="Q111" s="10"/>
      <c r="R111" s="64"/>
    </row>
    <row r="112" spans="1:18" x14ac:dyDescent="0.25">
      <c r="A112" s="3"/>
      <c r="B112" s="4"/>
      <c r="C112" s="9"/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47"/>
      <c r="P112" s="338"/>
      <c r="Q112" s="10"/>
      <c r="R112" s="63"/>
    </row>
    <row r="113" spans="1:18" x14ac:dyDescent="0.25">
      <c r="A113" s="3"/>
      <c r="B113" s="4"/>
      <c r="C113" s="9"/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47"/>
      <c r="P113" s="338"/>
      <c r="Q113" s="10"/>
      <c r="R113" s="63"/>
    </row>
    <row r="114" spans="1:18" x14ac:dyDescent="0.25">
      <c r="A114" s="3"/>
      <c r="B114" s="4"/>
      <c r="C114" s="9"/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47"/>
      <c r="P114" s="338"/>
      <c r="Q114" s="10"/>
      <c r="R114" s="63"/>
    </row>
    <row r="115" spans="1:18" x14ac:dyDescent="0.25">
      <c r="A115" s="3"/>
      <c r="B115" s="4"/>
      <c r="C115" s="9"/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47"/>
      <c r="P115" s="338"/>
      <c r="Q115" s="10"/>
      <c r="R115" s="63"/>
    </row>
    <row r="116" spans="1:18" x14ac:dyDescent="0.25">
      <c r="A116" s="3"/>
      <c r="B116" s="4"/>
      <c r="C116" s="9"/>
      <c r="D116" s="359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47"/>
      <c r="P116" s="338"/>
      <c r="Q116" s="10"/>
      <c r="R116" s="63"/>
    </row>
    <row r="117" spans="1:18" x14ac:dyDescent="0.25">
      <c r="A117" s="3"/>
      <c r="B117" s="4"/>
      <c r="C117" s="9"/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47"/>
      <c r="P117" s="338"/>
      <c r="Q117" s="10"/>
      <c r="R117" s="63"/>
    </row>
    <row r="118" spans="1:18" x14ac:dyDescent="0.25">
      <c r="A118" s="3"/>
      <c r="B118" s="4"/>
      <c r="C118" s="9"/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47"/>
      <c r="P118" s="338"/>
      <c r="Q118" s="10"/>
      <c r="R118" s="63"/>
    </row>
    <row r="119" spans="1:18" x14ac:dyDescent="0.25">
      <c r="A119" s="3"/>
      <c r="B119" s="4"/>
      <c r="C119" s="9"/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47"/>
      <c r="P119" s="338"/>
      <c r="Q119" s="10"/>
      <c r="R119" s="63"/>
    </row>
    <row r="120" spans="1:18" x14ac:dyDescent="0.25">
      <c r="A120" s="3"/>
      <c r="B120" s="4"/>
      <c r="C120" s="9"/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47"/>
      <c r="P120" s="338"/>
      <c r="Q120" s="10"/>
      <c r="R120" s="63"/>
    </row>
    <row r="121" spans="1:18" x14ac:dyDescent="0.25">
      <c r="A121" s="3"/>
      <c r="B121" s="4"/>
      <c r="C121" s="9"/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47"/>
      <c r="P121" s="338"/>
      <c r="Q121" s="10"/>
      <c r="R121" s="63"/>
    </row>
    <row r="122" spans="1:18" x14ac:dyDescent="0.25">
      <c r="A122" s="3"/>
      <c r="B122" s="4"/>
      <c r="C122" s="9"/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47"/>
      <c r="P122" s="338"/>
      <c r="Q122" s="10"/>
      <c r="R122" s="63"/>
    </row>
    <row r="123" spans="1:18" x14ac:dyDescent="0.25">
      <c r="A123" s="3"/>
      <c r="B123" s="4"/>
      <c r="C123" s="9"/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47"/>
      <c r="P123" s="338"/>
      <c r="Q123" s="10"/>
      <c r="R123" s="63"/>
    </row>
    <row r="124" spans="1:18" x14ac:dyDescent="0.25">
      <c r="A124" s="3"/>
      <c r="B124" s="4"/>
      <c r="C124" s="9"/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47"/>
      <c r="P124" s="338"/>
      <c r="Q124" s="10"/>
      <c r="R124" s="63"/>
    </row>
    <row r="125" spans="1:18" x14ac:dyDescent="0.25">
      <c r="A125" s="3"/>
      <c r="B125" s="4"/>
      <c r="C125" s="9"/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47"/>
      <c r="P125" s="338"/>
      <c r="Q125" s="10"/>
      <c r="R125" s="63"/>
    </row>
    <row r="126" spans="1:18" x14ac:dyDescent="0.25">
      <c r="A126" s="3"/>
      <c r="B126" s="4"/>
      <c r="C126" s="9"/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47"/>
      <c r="P126" s="338"/>
      <c r="Q126" s="10"/>
      <c r="R126" s="63"/>
    </row>
    <row r="127" spans="1:18" x14ac:dyDescent="0.25">
      <c r="A127" s="3"/>
      <c r="B127" s="4"/>
      <c r="C127" s="9"/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47"/>
      <c r="P127" s="338"/>
      <c r="Q127" s="10"/>
      <c r="R127" s="63"/>
    </row>
    <row r="128" spans="1:18" x14ac:dyDescent="0.25">
      <c r="A128" s="3"/>
      <c r="B128" s="4"/>
      <c r="C128" s="8"/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47">
        <f t="shared" ref="O128:O138" si="7">SUM(C128:N128)</f>
        <v>0</v>
      </c>
      <c r="P128" s="338"/>
      <c r="Q128" s="10"/>
      <c r="R128" s="63"/>
    </row>
    <row r="129" spans="1:18" x14ac:dyDescent="0.25">
      <c r="A129" s="3"/>
      <c r="B129" s="4"/>
      <c r="C129" s="9"/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47">
        <f t="shared" si="7"/>
        <v>0</v>
      </c>
      <c r="P129" s="338"/>
      <c r="Q129" s="10"/>
      <c r="R129" s="63"/>
    </row>
    <row r="130" spans="1:18" x14ac:dyDescent="0.25">
      <c r="A130" s="3"/>
      <c r="B130" s="4"/>
      <c r="C130" s="8"/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47">
        <f t="shared" si="7"/>
        <v>0</v>
      </c>
      <c r="P130" s="338"/>
      <c r="Q130" s="10"/>
      <c r="R130" s="63"/>
    </row>
    <row r="131" spans="1:18" x14ac:dyDescent="0.25">
      <c r="A131" s="3"/>
      <c r="B131" s="4"/>
      <c r="C131" s="9"/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47">
        <f t="shared" si="7"/>
        <v>0</v>
      </c>
      <c r="P131" s="338"/>
      <c r="Q131" s="10"/>
      <c r="R131" s="63"/>
    </row>
    <row r="132" spans="1:18" x14ac:dyDescent="0.25">
      <c r="A132" s="3"/>
      <c r="B132" s="4"/>
      <c r="C132" s="9"/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47">
        <f t="shared" si="7"/>
        <v>0</v>
      </c>
      <c r="P132" s="338"/>
      <c r="Q132" s="10"/>
      <c r="R132" s="63"/>
    </row>
    <row r="133" spans="1:18" x14ac:dyDescent="0.25">
      <c r="A133" s="3">
        <f t="shared" ref="A133:A168" si="8">A132+1</f>
        <v>1</v>
      </c>
      <c r="B133" s="4"/>
      <c r="C133" s="9"/>
      <c r="D133" s="359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47">
        <f t="shared" si="7"/>
        <v>0</v>
      </c>
      <c r="P133" s="338"/>
      <c r="Q133" s="10"/>
      <c r="R133" s="63"/>
    </row>
    <row r="134" spans="1:18" x14ac:dyDescent="0.25">
      <c r="A134" s="3">
        <f t="shared" si="8"/>
        <v>2</v>
      </c>
      <c r="B134" s="4"/>
      <c r="C134" s="9"/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47">
        <f t="shared" si="7"/>
        <v>0</v>
      </c>
      <c r="P134" s="338"/>
      <c r="Q134" s="10"/>
      <c r="R134" s="63"/>
    </row>
    <row r="135" spans="1:18" x14ac:dyDescent="0.25">
      <c r="A135" s="3">
        <f t="shared" si="8"/>
        <v>3</v>
      </c>
      <c r="B135" s="4"/>
      <c r="C135" s="9"/>
      <c r="D135" s="359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47">
        <f t="shared" si="7"/>
        <v>0</v>
      </c>
      <c r="P135" s="338"/>
      <c r="Q135" s="10"/>
      <c r="R135" s="63"/>
    </row>
    <row r="136" spans="1:18" x14ac:dyDescent="0.25">
      <c r="A136" s="3">
        <f t="shared" si="8"/>
        <v>4</v>
      </c>
      <c r="B136" s="4"/>
      <c r="C136" s="9"/>
      <c r="D136" s="359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47">
        <f t="shared" si="7"/>
        <v>0</v>
      </c>
      <c r="P136" s="338"/>
      <c r="Q136" s="10"/>
      <c r="R136" s="63"/>
    </row>
    <row r="137" spans="1:18" x14ac:dyDescent="0.25">
      <c r="A137" s="3">
        <f t="shared" si="8"/>
        <v>5</v>
      </c>
      <c r="B137" s="4"/>
      <c r="C137" s="9"/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47">
        <f t="shared" si="7"/>
        <v>0</v>
      </c>
      <c r="P137" s="338"/>
      <c r="Q137" s="10"/>
      <c r="R137" s="63"/>
    </row>
    <row r="138" spans="1:18" x14ac:dyDescent="0.25">
      <c r="A138" s="3">
        <f t="shared" si="8"/>
        <v>6</v>
      </c>
      <c r="B138" s="4"/>
      <c r="C138" s="8"/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47">
        <f t="shared" si="7"/>
        <v>0</v>
      </c>
      <c r="P138" s="338"/>
      <c r="Q138" s="10"/>
      <c r="R138" s="63"/>
    </row>
    <row r="139" spans="1:18" x14ac:dyDescent="0.25">
      <c r="A139" s="3">
        <f t="shared" si="8"/>
        <v>7</v>
      </c>
      <c r="B139" s="4"/>
      <c r="C139" s="9"/>
      <c r="D139" s="359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47">
        <f t="shared" ref="O139:O170" si="9">SUM(C139:N139)</f>
        <v>0</v>
      </c>
      <c r="P139" s="338"/>
      <c r="Q139" s="10"/>
      <c r="R139" s="63"/>
    </row>
    <row r="140" spans="1:18" x14ac:dyDescent="0.25">
      <c r="A140" s="3">
        <f t="shared" si="8"/>
        <v>8</v>
      </c>
      <c r="B140" s="4"/>
      <c r="C140" s="9"/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47">
        <f t="shared" si="9"/>
        <v>0</v>
      </c>
      <c r="P140" s="338"/>
      <c r="Q140" s="10"/>
      <c r="R140" s="63"/>
    </row>
    <row r="141" spans="1:18" x14ac:dyDescent="0.25">
      <c r="A141" s="3">
        <f t="shared" si="8"/>
        <v>9</v>
      </c>
      <c r="B141" s="4"/>
      <c r="C141" s="9"/>
      <c r="D141" s="359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47">
        <f t="shared" si="9"/>
        <v>0</v>
      </c>
      <c r="P141" s="338"/>
      <c r="Q141" s="10"/>
      <c r="R141" s="63"/>
    </row>
    <row r="142" spans="1:18" x14ac:dyDescent="0.25">
      <c r="A142" s="3">
        <f t="shared" si="8"/>
        <v>10</v>
      </c>
      <c r="B142" s="4"/>
      <c r="C142" s="9"/>
      <c r="D142" s="359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47">
        <f t="shared" si="9"/>
        <v>0</v>
      </c>
      <c r="P142" s="338"/>
      <c r="Q142" s="10"/>
      <c r="R142" s="63"/>
    </row>
    <row r="143" spans="1:18" x14ac:dyDescent="0.25">
      <c r="A143" s="3">
        <f t="shared" si="8"/>
        <v>11</v>
      </c>
      <c r="B143" s="4"/>
      <c r="C143" s="9"/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47">
        <f t="shared" si="9"/>
        <v>0</v>
      </c>
      <c r="P143" s="338"/>
      <c r="Q143" s="10"/>
      <c r="R143" s="63"/>
    </row>
    <row r="144" spans="1:18" x14ac:dyDescent="0.25">
      <c r="A144" s="3">
        <f t="shared" si="8"/>
        <v>12</v>
      </c>
      <c r="B144" s="4"/>
      <c r="C144" s="9"/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47">
        <f t="shared" si="9"/>
        <v>0</v>
      </c>
      <c r="P144" s="338"/>
      <c r="Q144" s="10"/>
      <c r="R144" s="63"/>
    </row>
    <row r="145" spans="1:18" x14ac:dyDescent="0.25">
      <c r="A145" s="3">
        <f t="shared" si="8"/>
        <v>13</v>
      </c>
      <c r="B145" s="4"/>
      <c r="C145" s="9"/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47">
        <f t="shared" si="9"/>
        <v>0</v>
      </c>
      <c r="P145" s="338"/>
      <c r="Q145" s="10"/>
      <c r="R145" s="63"/>
    </row>
    <row r="146" spans="1:18" x14ac:dyDescent="0.25">
      <c r="A146" s="3">
        <f t="shared" si="8"/>
        <v>14</v>
      </c>
      <c r="B146" s="4"/>
      <c r="C146" s="9"/>
      <c r="D146" s="359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47">
        <f t="shared" si="9"/>
        <v>0</v>
      </c>
      <c r="P146" s="338"/>
      <c r="Q146" s="10"/>
      <c r="R146" s="63"/>
    </row>
    <row r="147" spans="1:18" x14ac:dyDescent="0.25">
      <c r="A147" s="3">
        <f t="shared" si="8"/>
        <v>15</v>
      </c>
      <c r="B147" s="3"/>
      <c r="C147" s="9"/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47">
        <f t="shared" si="9"/>
        <v>0</v>
      </c>
      <c r="P147" s="338"/>
      <c r="Q147" s="10"/>
      <c r="R147" s="63"/>
    </row>
    <row r="148" spans="1:18" x14ac:dyDescent="0.25">
      <c r="A148" s="3">
        <f t="shared" si="8"/>
        <v>16</v>
      </c>
      <c r="B148" s="4"/>
      <c r="C148" s="9"/>
      <c r="D148" s="359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47">
        <f t="shared" si="9"/>
        <v>0</v>
      </c>
      <c r="P148" s="338"/>
      <c r="Q148" s="10"/>
      <c r="R148" s="63"/>
    </row>
    <row r="149" spans="1:18" x14ac:dyDescent="0.25">
      <c r="A149" s="3">
        <f t="shared" si="8"/>
        <v>17</v>
      </c>
      <c r="B149" s="4"/>
      <c r="C149" s="9"/>
      <c r="D149" s="359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47">
        <f t="shared" si="9"/>
        <v>0</v>
      </c>
      <c r="P149" s="338"/>
      <c r="Q149" s="10"/>
      <c r="R149" s="64"/>
    </row>
    <row r="150" spans="1:18" x14ac:dyDescent="0.25">
      <c r="A150" s="3">
        <f t="shared" si="8"/>
        <v>18</v>
      </c>
      <c r="B150" s="4"/>
      <c r="C150" s="9"/>
      <c r="D150" s="359"/>
      <c r="E150" s="478"/>
      <c r="F150" s="359"/>
      <c r="G150" s="478"/>
      <c r="H150" s="359"/>
      <c r="I150" s="478"/>
      <c r="J150" s="359"/>
      <c r="K150" s="478"/>
      <c r="L150" s="359"/>
      <c r="M150" s="478"/>
      <c r="N150" s="561"/>
      <c r="O150" s="47">
        <f t="shared" si="9"/>
        <v>0</v>
      </c>
      <c r="P150" s="338"/>
      <c r="Q150" s="10"/>
      <c r="R150" s="63"/>
    </row>
    <row r="151" spans="1:18" x14ac:dyDescent="0.25">
      <c r="A151" s="3">
        <f t="shared" si="8"/>
        <v>19</v>
      </c>
      <c r="B151" s="3"/>
      <c r="C151" s="9"/>
      <c r="D151" s="359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47">
        <f t="shared" si="9"/>
        <v>0</v>
      </c>
      <c r="P151" s="338"/>
      <c r="Q151" s="10"/>
      <c r="R151" s="63"/>
    </row>
    <row r="152" spans="1:18" x14ac:dyDescent="0.25">
      <c r="A152" s="3">
        <f t="shared" si="8"/>
        <v>20</v>
      </c>
      <c r="B152" s="4"/>
      <c r="C152" s="9"/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47">
        <f t="shared" si="9"/>
        <v>0</v>
      </c>
      <c r="P152" s="338"/>
      <c r="Q152" s="10"/>
      <c r="R152" s="63"/>
    </row>
    <row r="153" spans="1:18" x14ac:dyDescent="0.25">
      <c r="A153" s="3">
        <f t="shared" si="8"/>
        <v>21</v>
      </c>
      <c r="B153" s="4"/>
      <c r="C153" s="9"/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47">
        <f t="shared" si="9"/>
        <v>0</v>
      </c>
      <c r="P153" s="338"/>
      <c r="Q153" s="10"/>
      <c r="R153" s="63"/>
    </row>
    <row r="154" spans="1:18" x14ac:dyDescent="0.25">
      <c r="A154" s="3">
        <f t="shared" si="8"/>
        <v>22</v>
      </c>
      <c r="B154" s="4"/>
      <c r="C154" s="9"/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47">
        <f t="shared" si="9"/>
        <v>0</v>
      </c>
      <c r="P154" s="338"/>
      <c r="Q154" s="10"/>
      <c r="R154" s="63"/>
    </row>
    <row r="155" spans="1:18" x14ac:dyDescent="0.25">
      <c r="A155" s="3">
        <f t="shared" si="8"/>
        <v>23</v>
      </c>
      <c r="B155" s="4"/>
      <c r="C155" s="9"/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47">
        <f t="shared" si="9"/>
        <v>0</v>
      </c>
      <c r="P155" s="338"/>
      <c r="Q155" s="10"/>
      <c r="R155" s="63"/>
    </row>
    <row r="156" spans="1:18" x14ac:dyDescent="0.25">
      <c r="A156" s="3">
        <f t="shared" si="8"/>
        <v>24</v>
      </c>
      <c r="B156" s="4"/>
      <c r="C156" s="9"/>
      <c r="D156" s="359"/>
      <c r="E156" s="478"/>
      <c r="F156" s="359"/>
      <c r="G156" s="478"/>
      <c r="H156" s="359"/>
      <c r="I156" s="478"/>
      <c r="J156" s="359"/>
      <c r="K156" s="478"/>
      <c r="L156" s="359"/>
      <c r="M156" s="478"/>
      <c r="N156" s="561"/>
      <c r="O156" s="47">
        <f t="shared" si="9"/>
        <v>0</v>
      </c>
      <c r="P156" s="338"/>
      <c r="Q156" s="10"/>
      <c r="R156" s="63"/>
    </row>
    <row r="157" spans="1:18" x14ac:dyDescent="0.25">
      <c r="A157" s="3">
        <f t="shared" si="8"/>
        <v>25</v>
      </c>
      <c r="B157" s="4"/>
      <c r="C157" s="9"/>
      <c r="D157" s="359"/>
      <c r="E157" s="478"/>
      <c r="F157" s="359"/>
      <c r="G157" s="478"/>
      <c r="H157" s="359"/>
      <c r="I157" s="478"/>
      <c r="J157" s="359"/>
      <c r="K157" s="478"/>
      <c r="L157" s="359"/>
      <c r="M157" s="478"/>
      <c r="N157" s="561"/>
      <c r="O157" s="47">
        <f t="shared" si="9"/>
        <v>0</v>
      </c>
      <c r="P157" s="338"/>
      <c r="Q157" s="10"/>
      <c r="R157" s="63"/>
    </row>
    <row r="158" spans="1:18" x14ac:dyDescent="0.25">
      <c r="A158" s="3">
        <f t="shared" si="8"/>
        <v>26</v>
      </c>
      <c r="B158" s="4"/>
      <c r="C158" s="9"/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47">
        <f t="shared" si="9"/>
        <v>0</v>
      </c>
      <c r="P158" s="338"/>
      <c r="Q158" s="10"/>
      <c r="R158" s="63"/>
    </row>
    <row r="159" spans="1:18" x14ac:dyDescent="0.25">
      <c r="A159" s="3">
        <f t="shared" si="8"/>
        <v>27</v>
      </c>
      <c r="B159" s="4"/>
      <c r="C159" s="9"/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47">
        <f t="shared" si="9"/>
        <v>0</v>
      </c>
      <c r="P159" s="338"/>
      <c r="Q159" s="10"/>
      <c r="R159" s="64"/>
    </row>
    <row r="160" spans="1:18" x14ac:dyDescent="0.25">
      <c r="A160" s="3">
        <f t="shared" si="8"/>
        <v>28</v>
      </c>
      <c r="B160" s="4"/>
      <c r="C160" s="9"/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47">
        <f t="shared" si="9"/>
        <v>0</v>
      </c>
      <c r="P160" s="338"/>
      <c r="Q160" s="10"/>
      <c r="R160" s="63"/>
    </row>
    <row r="161" spans="1:18" x14ac:dyDescent="0.25">
      <c r="A161" s="3">
        <f t="shared" si="8"/>
        <v>29</v>
      </c>
      <c r="B161" s="4"/>
      <c r="C161" s="9"/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47">
        <f t="shared" si="9"/>
        <v>0</v>
      </c>
      <c r="P161" s="338"/>
      <c r="Q161" s="10"/>
      <c r="R161" s="63"/>
    </row>
    <row r="162" spans="1:18" x14ac:dyDescent="0.25">
      <c r="A162" s="3">
        <f t="shared" si="8"/>
        <v>30</v>
      </c>
      <c r="B162" s="4"/>
      <c r="C162" s="9"/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47">
        <f t="shared" si="9"/>
        <v>0</v>
      </c>
      <c r="P162" s="338"/>
      <c r="Q162" s="10"/>
      <c r="R162" s="63"/>
    </row>
    <row r="163" spans="1:18" x14ac:dyDescent="0.25">
      <c r="A163" s="3">
        <f t="shared" si="8"/>
        <v>31</v>
      </c>
      <c r="B163" s="4"/>
      <c r="C163" s="9"/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47">
        <f t="shared" si="9"/>
        <v>0</v>
      </c>
      <c r="P163" s="338"/>
      <c r="Q163" s="10"/>
      <c r="R163" s="63"/>
    </row>
    <row r="164" spans="1:18" x14ac:dyDescent="0.25">
      <c r="A164" s="3">
        <f t="shared" si="8"/>
        <v>32</v>
      </c>
      <c r="B164" s="4"/>
      <c r="C164" s="9"/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47">
        <f t="shared" si="9"/>
        <v>0</v>
      </c>
      <c r="P164" s="338"/>
      <c r="Q164" s="10"/>
      <c r="R164" s="63"/>
    </row>
    <row r="165" spans="1:18" x14ac:dyDescent="0.25">
      <c r="A165" s="3">
        <f t="shared" si="8"/>
        <v>33</v>
      </c>
      <c r="B165" s="4"/>
      <c r="C165" s="9"/>
      <c r="D165" s="359"/>
      <c r="E165" s="478"/>
      <c r="F165" s="359"/>
      <c r="G165" s="478"/>
      <c r="H165" s="359"/>
      <c r="I165" s="478"/>
      <c r="J165" s="359"/>
      <c r="K165" s="478"/>
      <c r="L165" s="359"/>
      <c r="M165" s="478"/>
      <c r="N165" s="561"/>
      <c r="O165" s="47">
        <f t="shared" si="9"/>
        <v>0</v>
      </c>
      <c r="P165" s="338"/>
      <c r="Q165" s="10"/>
      <c r="R165" s="63"/>
    </row>
    <row r="166" spans="1:18" x14ac:dyDescent="0.25">
      <c r="A166" s="3">
        <f t="shared" si="8"/>
        <v>34</v>
      </c>
      <c r="B166" s="4"/>
      <c r="C166" s="9"/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47">
        <f t="shared" si="9"/>
        <v>0</v>
      </c>
      <c r="P166" s="338"/>
      <c r="Q166" s="10"/>
      <c r="R166" s="63"/>
    </row>
    <row r="167" spans="1:18" x14ac:dyDescent="0.25">
      <c r="A167" s="3">
        <f t="shared" si="8"/>
        <v>35</v>
      </c>
      <c r="B167" s="4"/>
      <c r="C167" s="9"/>
      <c r="D167" s="359"/>
      <c r="E167" s="478"/>
      <c r="F167" s="359"/>
      <c r="G167" s="478"/>
      <c r="H167" s="359"/>
      <c r="I167" s="478"/>
      <c r="J167" s="359"/>
      <c r="K167" s="478"/>
      <c r="L167" s="359"/>
      <c r="M167" s="478"/>
      <c r="N167" s="561"/>
      <c r="O167" s="47">
        <f t="shared" si="9"/>
        <v>0</v>
      </c>
      <c r="P167" s="338"/>
      <c r="Q167" s="10"/>
      <c r="R167" s="63"/>
    </row>
    <row r="168" spans="1:18" x14ac:dyDescent="0.25">
      <c r="A168" s="3">
        <f t="shared" si="8"/>
        <v>36</v>
      </c>
      <c r="B168" s="4"/>
      <c r="C168" s="9"/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47">
        <f t="shared" si="9"/>
        <v>0</v>
      </c>
      <c r="P168" s="338"/>
      <c r="Q168" s="10"/>
      <c r="R168" s="63"/>
    </row>
    <row r="169" spans="1:18" x14ac:dyDescent="0.25">
      <c r="A169" s="3">
        <f t="shared" ref="A169:A232" si="10">A168+1</f>
        <v>37</v>
      </c>
      <c r="B169" s="4"/>
      <c r="C169" s="9"/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47">
        <f t="shared" si="9"/>
        <v>0</v>
      </c>
      <c r="P169" s="338"/>
      <c r="Q169" s="10"/>
      <c r="R169" s="63"/>
    </row>
    <row r="170" spans="1:18" x14ac:dyDescent="0.25">
      <c r="A170" s="3">
        <f t="shared" si="10"/>
        <v>38</v>
      </c>
      <c r="B170" s="4"/>
      <c r="C170" s="9"/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47">
        <f t="shared" si="9"/>
        <v>0</v>
      </c>
      <c r="P170" s="338"/>
      <c r="Q170" s="10"/>
      <c r="R170" s="63"/>
    </row>
    <row r="171" spans="1:18" x14ac:dyDescent="0.25">
      <c r="A171" s="3">
        <f t="shared" si="10"/>
        <v>39</v>
      </c>
      <c r="B171" s="4"/>
      <c r="C171" s="9"/>
      <c r="D171" s="359"/>
      <c r="E171" s="478"/>
      <c r="F171" s="359"/>
      <c r="G171" s="478"/>
      <c r="H171" s="359"/>
      <c r="I171" s="478"/>
      <c r="J171" s="359"/>
      <c r="K171" s="478"/>
      <c r="L171" s="359"/>
      <c r="M171" s="478"/>
      <c r="N171" s="561"/>
      <c r="O171" s="47">
        <f t="shared" ref="O171:O202" si="11">SUM(C171:N171)</f>
        <v>0</v>
      </c>
      <c r="P171" s="338"/>
      <c r="Q171" s="10"/>
      <c r="R171" s="63"/>
    </row>
    <row r="172" spans="1:18" x14ac:dyDescent="0.25">
      <c r="A172" s="3">
        <f t="shared" si="10"/>
        <v>40</v>
      </c>
      <c r="B172" s="4"/>
      <c r="C172" s="9"/>
      <c r="D172" s="359"/>
      <c r="E172" s="478"/>
      <c r="F172" s="359"/>
      <c r="G172" s="478"/>
      <c r="H172" s="359"/>
      <c r="I172" s="478"/>
      <c r="J172" s="359"/>
      <c r="K172" s="478"/>
      <c r="L172" s="359"/>
      <c r="M172" s="478"/>
      <c r="N172" s="561"/>
      <c r="O172" s="47">
        <f t="shared" si="11"/>
        <v>0</v>
      </c>
      <c r="P172" s="338"/>
      <c r="Q172" s="10"/>
      <c r="R172" s="63"/>
    </row>
    <row r="173" spans="1:18" x14ac:dyDescent="0.25">
      <c r="A173" s="3">
        <f t="shared" si="10"/>
        <v>41</v>
      </c>
      <c r="B173" s="4"/>
      <c r="C173" s="8"/>
      <c r="D173" s="359"/>
      <c r="E173" s="478"/>
      <c r="F173" s="359"/>
      <c r="G173" s="478"/>
      <c r="H173" s="359"/>
      <c r="I173" s="478"/>
      <c r="J173" s="359"/>
      <c r="K173" s="478"/>
      <c r="L173" s="359"/>
      <c r="M173" s="478"/>
      <c r="N173" s="561"/>
      <c r="O173" s="47">
        <f t="shared" si="11"/>
        <v>0</v>
      </c>
      <c r="P173" s="338"/>
      <c r="Q173" s="10"/>
      <c r="R173" s="63"/>
    </row>
    <row r="174" spans="1:18" x14ac:dyDescent="0.25">
      <c r="A174" s="3">
        <f t="shared" si="10"/>
        <v>42</v>
      </c>
      <c r="B174" s="4"/>
      <c r="C174" s="9"/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47">
        <f t="shared" si="11"/>
        <v>0</v>
      </c>
      <c r="P174" s="338"/>
      <c r="Q174" s="10"/>
      <c r="R174" s="63"/>
    </row>
    <row r="175" spans="1:18" x14ac:dyDescent="0.25">
      <c r="A175" s="3">
        <f t="shared" si="10"/>
        <v>43</v>
      </c>
      <c r="B175" s="4"/>
      <c r="C175" s="8"/>
      <c r="D175" s="359"/>
      <c r="E175" s="478"/>
      <c r="F175" s="359"/>
      <c r="G175" s="478"/>
      <c r="H175" s="359"/>
      <c r="I175" s="478"/>
      <c r="J175" s="359"/>
      <c r="K175" s="478"/>
      <c r="L175" s="359"/>
      <c r="M175" s="478"/>
      <c r="N175" s="561"/>
      <c r="O175" s="47">
        <f t="shared" si="11"/>
        <v>0</v>
      </c>
      <c r="P175" s="338"/>
      <c r="Q175" s="10"/>
      <c r="R175" s="63"/>
    </row>
    <row r="176" spans="1:18" x14ac:dyDescent="0.25">
      <c r="A176" s="3">
        <f t="shared" si="10"/>
        <v>44</v>
      </c>
      <c r="B176" s="4"/>
      <c r="C176" s="9"/>
      <c r="D176" s="359"/>
      <c r="E176" s="478"/>
      <c r="F176" s="359"/>
      <c r="G176" s="478"/>
      <c r="H176" s="359"/>
      <c r="I176" s="478"/>
      <c r="J176" s="359"/>
      <c r="K176" s="478"/>
      <c r="L176" s="359"/>
      <c r="M176" s="478"/>
      <c r="N176" s="561"/>
      <c r="O176" s="47">
        <f t="shared" si="11"/>
        <v>0</v>
      </c>
      <c r="P176" s="338"/>
      <c r="Q176" s="10"/>
      <c r="R176" s="63"/>
    </row>
    <row r="177" spans="1:18" x14ac:dyDescent="0.25">
      <c r="A177" s="3">
        <f t="shared" si="10"/>
        <v>45</v>
      </c>
      <c r="B177" s="4"/>
      <c r="C177" s="9"/>
      <c r="D177" s="359"/>
      <c r="E177" s="478"/>
      <c r="F177" s="359"/>
      <c r="G177" s="478"/>
      <c r="H177" s="359"/>
      <c r="I177" s="478"/>
      <c r="J177" s="359"/>
      <c r="K177" s="478"/>
      <c r="L177" s="359"/>
      <c r="M177" s="478"/>
      <c r="N177" s="561"/>
      <c r="O177" s="47">
        <f t="shared" si="11"/>
        <v>0</v>
      </c>
      <c r="P177" s="338"/>
      <c r="Q177" s="10"/>
      <c r="R177" s="63"/>
    </row>
    <row r="178" spans="1:18" x14ac:dyDescent="0.25">
      <c r="A178" s="3">
        <f t="shared" si="10"/>
        <v>46</v>
      </c>
      <c r="B178" s="4"/>
      <c r="C178" s="9"/>
      <c r="D178" s="359"/>
      <c r="E178" s="478"/>
      <c r="F178" s="359"/>
      <c r="G178" s="478"/>
      <c r="H178" s="359"/>
      <c r="I178" s="478"/>
      <c r="J178" s="359"/>
      <c r="K178" s="478"/>
      <c r="L178" s="359"/>
      <c r="M178" s="478"/>
      <c r="N178" s="561"/>
      <c r="O178" s="47">
        <f t="shared" si="11"/>
        <v>0</v>
      </c>
      <c r="P178" s="338"/>
      <c r="Q178" s="10"/>
      <c r="R178" s="63"/>
    </row>
    <row r="179" spans="1:18" x14ac:dyDescent="0.25">
      <c r="A179" s="3">
        <f t="shared" si="10"/>
        <v>47</v>
      </c>
      <c r="B179" s="4"/>
      <c r="C179" s="9"/>
      <c r="D179" s="359"/>
      <c r="E179" s="478"/>
      <c r="F179" s="359"/>
      <c r="G179" s="478"/>
      <c r="H179" s="359"/>
      <c r="I179" s="478"/>
      <c r="J179" s="359"/>
      <c r="K179" s="478"/>
      <c r="L179" s="359"/>
      <c r="M179" s="478"/>
      <c r="N179" s="561"/>
      <c r="O179" s="47">
        <f t="shared" si="11"/>
        <v>0</v>
      </c>
      <c r="P179" s="338"/>
      <c r="Q179" s="10"/>
      <c r="R179" s="63"/>
    </row>
    <row r="180" spans="1:18" x14ac:dyDescent="0.25">
      <c r="A180" s="3">
        <f t="shared" si="10"/>
        <v>48</v>
      </c>
      <c r="B180" s="4"/>
      <c r="C180" s="9"/>
      <c r="D180" s="359"/>
      <c r="E180" s="478"/>
      <c r="F180" s="359"/>
      <c r="G180" s="478"/>
      <c r="H180" s="359"/>
      <c r="I180" s="478"/>
      <c r="J180" s="359"/>
      <c r="K180" s="478"/>
      <c r="L180" s="359"/>
      <c r="M180" s="478"/>
      <c r="N180" s="561"/>
      <c r="O180" s="47">
        <f t="shared" si="11"/>
        <v>0</v>
      </c>
      <c r="P180" s="338"/>
      <c r="Q180" s="10"/>
      <c r="R180" s="63"/>
    </row>
    <row r="181" spans="1:18" x14ac:dyDescent="0.25">
      <c r="A181" s="3">
        <f t="shared" si="10"/>
        <v>49</v>
      </c>
      <c r="B181" s="4"/>
      <c r="C181" s="8"/>
      <c r="D181" s="359"/>
      <c r="E181" s="478"/>
      <c r="F181" s="359"/>
      <c r="G181" s="478"/>
      <c r="H181" s="359"/>
      <c r="I181" s="478"/>
      <c r="J181" s="359"/>
      <c r="K181" s="478"/>
      <c r="L181" s="359"/>
      <c r="M181" s="478"/>
      <c r="N181" s="561"/>
      <c r="O181" s="47">
        <f t="shared" si="11"/>
        <v>0</v>
      </c>
      <c r="P181" s="338"/>
      <c r="Q181" s="10"/>
      <c r="R181" s="63"/>
    </row>
    <row r="182" spans="1:18" x14ac:dyDescent="0.25">
      <c r="A182" s="3">
        <f t="shared" si="10"/>
        <v>50</v>
      </c>
      <c r="B182" s="4"/>
      <c r="C182" s="9"/>
      <c r="D182" s="359"/>
      <c r="E182" s="478"/>
      <c r="F182" s="359"/>
      <c r="G182" s="478"/>
      <c r="H182" s="359"/>
      <c r="I182" s="478"/>
      <c r="J182" s="359"/>
      <c r="K182" s="478"/>
      <c r="L182" s="359"/>
      <c r="M182" s="478"/>
      <c r="N182" s="561"/>
      <c r="O182" s="47">
        <f t="shared" si="11"/>
        <v>0</v>
      </c>
      <c r="P182" s="338"/>
      <c r="Q182" s="10"/>
      <c r="R182" s="63"/>
    </row>
    <row r="183" spans="1:18" x14ac:dyDescent="0.25">
      <c r="A183" s="3">
        <f t="shared" si="10"/>
        <v>51</v>
      </c>
      <c r="B183" s="4"/>
      <c r="C183" s="8"/>
      <c r="D183" s="359"/>
      <c r="E183" s="478"/>
      <c r="F183" s="359"/>
      <c r="G183" s="478"/>
      <c r="H183" s="359"/>
      <c r="I183" s="478"/>
      <c r="J183" s="359"/>
      <c r="K183" s="478"/>
      <c r="L183" s="359"/>
      <c r="M183" s="478"/>
      <c r="N183" s="561"/>
      <c r="O183" s="47">
        <f t="shared" si="11"/>
        <v>0</v>
      </c>
      <c r="P183" s="338"/>
      <c r="Q183" s="10"/>
      <c r="R183" s="63"/>
    </row>
    <row r="184" spans="1:18" x14ac:dyDescent="0.25">
      <c r="A184" s="3">
        <f t="shared" si="10"/>
        <v>52</v>
      </c>
      <c r="B184" s="4"/>
      <c r="C184" s="9"/>
      <c r="D184" s="359"/>
      <c r="E184" s="478"/>
      <c r="F184" s="359"/>
      <c r="G184" s="478"/>
      <c r="H184" s="359"/>
      <c r="I184" s="478"/>
      <c r="J184" s="359"/>
      <c r="K184" s="478"/>
      <c r="L184" s="359"/>
      <c r="M184" s="478"/>
      <c r="N184" s="561"/>
      <c r="O184" s="47">
        <f t="shared" si="11"/>
        <v>0</v>
      </c>
      <c r="P184" s="338"/>
      <c r="Q184" s="10"/>
      <c r="R184" s="63"/>
    </row>
    <row r="185" spans="1:18" x14ac:dyDescent="0.25">
      <c r="A185" s="3">
        <f t="shared" si="10"/>
        <v>53</v>
      </c>
      <c r="B185" s="4"/>
      <c r="C185" s="9"/>
      <c r="D185" s="359"/>
      <c r="E185" s="478"/>
      <c r="F185" s="359"/>
      <c r="G185" s="478"/>
      <c r="H185" s="359"/>
      <c r="I185" s="478"/>
      <c r="J185" s="359"/>
      <c r="K185" s="478"/>
      <c r="L185" s="359"/>
      <c r="M185" s="478"/>
      <c r="N185" s="561"/>
      <c r="O185" s="47">
        <f t="shared" si="11"/>
        <v>0</v>
      </c>
      <c r="P185" s="338"/>
      <c r="Q185" s="10"/>
      <c r="R185" s="63"/>
    </row>
    <row r="186" spans="1:18" x14ac:dyDescent="0.25">
      <c r="A186" s="3">
        <f t="shared" si="10"/>
        <v>54</v>
      </c>
      <c r="B186" s="4"/>
      <c r="C186" s="9"/>
      <c r="D186" s="359"/>
      <c r="E186" s="478"/>
      <c r="F186" s="359"/>
      <c r="G186" s="478"/>
      <c r="H186" s="359"/>
      <c r="I186" s="478"/>
      <c r="J186" s="359"/>
      <c r="K186" s="478"/>
      <c r="L186" s="359"/>
      <c r="M186" s="478"/>
      <c r="N186" s="561"/>
      <c r="O186" s="47">
        <f t="shared" si="11"/>
        <v>0</v>
      </c>
      <c r="P186" s="338"/>
      <c r="Q186" s="10"/>
      <c r="R186" s="63"/>
    </row>
    <row r="187" spans="1:18" x14ac:dyDescent="0.25">
      <c r="A187" s="3">
        <f t="shared" si="10"/>
        <v>55</v>
      </c>
      <c r="B187" s="3"/>
      <c r="C187" s="8"/>
      <c r="D187" s="359"/>
      <c r="E187" s="478"/>
      <c r="F187" s="359"/>
      <c r="G187" s="478"/>
      <c r="H187" s="359"/>
      <c r="I187" s="478"/>
      <c r="J187" s="359"/>
      <c r="K187" s="478"/>
      <c r="L187" s="359"/>
      <c r="M187" s="478"/>
      <c r="N187" s="561"/>
      <c r="O187" s="47">
        <f t="shared" si="11"/>
        <v>0</v>
      </c>
      <c r="P187" s="338"/>
      <c r="Q187" s="10"/>
      <c r="R187" s="63"/>
    </row>
    <row r="188" spans="1:18" x14ac:dyDescent="0.25">
      <c r="A188" s="3">
        <f t="shared" si="10"/>
        <v>56</v>
      </c>
      <c r="B188" s="4"/>
      <c r="C188" s="9"/>
      <c r="D188" s="359"/>
      <c r="E188" s="478"/>
      <c r="F188" s="359"/>
      <c r="G188" s="478"/>
      <c r="H188" s="359"/>
      <c r="I188" s="478"/>
      <c r="J188" s="359"/>
      <c r="K188" s="478"/>
      <c r="L188" s="359"/>
      <c r="M188" s="478"/>
      <c r="N188" s="561"/>
      <c r="O188" s="47">
        <f t="shared" si="11"/>
        <v>0</v>
      </c>
      <c r="P188" s="338"/>
      <c r="Q188" s="10"/>
      <c r="R188" s="63"/>
    </row>
    <row r="189" spans="1:18" x14ac:dyDescent="0.25">
      <c r="A189" s="3">
        <f t="shared" si="10"/>
        <v>57</v>
      </c>
      <c r="B189" s="4"/>
      <c r="C189" s="9"/>
      <c r="D189" s="359"/>
      <c r="E189" s="478"/>
      <c r="F189" s="359"/>
      <c r="G189" s="478"/>
      <c r="H189" s="359"/>
      <c r="I189" s="478"/>
      <c r="J189" s="359"/>
      <c r="K189" s="478"/>
      <c r="L189" s="359"/>
      <c r="M189" s="478"/>
      <c r="N189" s="561"/>
      <c r="O189" s="47">
        <f t="shared" si="11"/>
        <v>0</v>
      </c>
      <c r="P189" s="338"/>
      <c r="Q189" s="10"/>
      <c r="R189" s="63"/>
    </row>
    <row r="190" spans="1:18" x14ac:dyDescent="0.25">
      <c r="A190" s="3">
        <f t="shared" si="10"/>
        <v>58</v>
      </c>
      <c r="B190" s="4"/>
      <c r="C190" s="9"/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47">
        <f t="shared" si="11"/>
        <v>0</v>
      </c>
      <c r="P190" s="338"/>
      <c r="Q190" s="10"/>
      <c r="R190" s="64"/>
    </row>
    <row r="191" spans="1:18" x14ac:dyDescent="0.25">
      <c r="A191" s="3">
        <f t="shared" si="10"/>
        <v>59</v>
      </c>
      <c r="B191" s="4"/>
      <c r="C191" s="9"/>
      <c r="D191" s="359"/>
      <c r="E191" s="478"/>
      <c r="F191" s="359"/>
      <c r="G191" s="478"/>
      <c r="H191" s="359"/>
      <c r="I191" s="478"/>
      <c r="J191" s="359"/>
      <c r="K191" s="478"/>
      <c r="L191" s="359"/>
      <c r="M191" s="478"/>
      <c r="N191" s="561"/>
      <c r="O191" s="47">
        <f t="shared" si="11"/>
        <v>0</v>
      </c>
      <c r="P191" s="338"/>
      <c r="Q191" s="10"/>
      <c r="R191" s="63"/>
    </row>
    <row r="192" spans="1:18" x14ac:dyDescent="0.25">
      <c r="A192" s="3">
        <f t="shared" si="10"/>
        <v>60</v>
      </c>
      <c r="B192" s="4"/>
      <c r="C192" s="8"/>
      <c r="D192" s="359"/>
      <c r="E192" s="478"/>
      <c r="F192" s="359"/>
      <c r="G192" s="478"/>
      <c r="H192" s="359"/>
      <c r="I192" s="478"/>
      <c r="J192" s="359"/>
      <c r="K192" s="478"/>
      <c r="L192" s="359"/>
      <c r="M192" s="478"/>
      <c r="N192" s="561"/>
      <c r="O192" s="47">
        <f t="shared" si="11"/>
        <v>0</v>
      </c>
      <c r="P192" s="338"/>
      <c r="Q192" s="10"/>
      <c r="R192" s="63"/>
    </row>
    <row r="193" spans="1:18" x14ac:dyDescent="0.25">
      <c r="A193" s="3">
        <f t="shared" si="10"/>
        <v>61</v>
      </c>
      <c r="B193" s="4"/>
      <c r="C193" s="9"/>
      <c r="D193" s="359"/>
      <c r="E193" s="478"/>
      <c r="F193" s="359"/>
      <c r="G193" s="478"/>
      <c r="H193" s="359"/>
      <c r="I193" s="478"/>
      <c r="J193" s="359"/>
      <c r="K193" s="478"/>
      <c r="L193" s="359"/>
      <c r="M193" s="478"/>
      <c r="N193" s="561"/>
      <c r="O193" s="47">
        <f t="shared" si="11"/>
        <v>0</v>
      </c>
      <c r="P193" s="338"/>
      <c r="Q193" s="10"/>
      <c r="R193" s="63"/>
    </row>
    <row r="194" spans="1:18" x14ac:dyDescent="0.25">
      <c r="A194" s="3">
        <f t="shared" si="10"/>
        <v>62</v>
      </c>
      <c r="B194" s="4"/>
      <c r="C194" s="9"/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47">
        <f t="shared" si="11"/>
        <v>0</v>
      </c>
      <c r="P194" s="338"/>
      <c r="Q194" s="10"/>
      <c r="R194" s="63"/>
    </row>
    <row r="195" spans="1:18" x14ac:dyDescent="0.25">
      <c r="A195" s="3">
        <f t="shared" si="10"/>
        <v>63</v>
      </c>
      <c r="B195" s="4"/>
      <c r="C195" s="8"/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47">
        <f t="shared" si="11"/>
        <v>0</v>
      </c>
      <c r="P195" s="338"/>
      <c r="Q195" s="10"/>
      <c r="R195" s="63"/>
    </row>
    <row r="196" spans="1:18" x14ac:dyDescent="0.25">
      <c r="A196" s="3">
        <f t="shared" si="10"/>
        <v>64</v>
      </c>
      <c r="B196" s="4"/>
      <c r="C196" s="8"/>
      <c r="D196" s="359"/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47">
        <f t="shared" si="11"/>
        <v>0</v>
      </c>
      <c r="P196" s="338"/>
      <c r="Q196" s="10"/>
      <c r="R196" s="63"/>
    </row>
    <row r="197" spans="1:18" x14ac:dyDescent="0.25">
      <c r="A197" s="3">
        <f t="shared" si="10"/>
        <v>65</v>
      </c>
      <c r="B197" s="4"/>
      <c r="C197" s="9"/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47">
        <f t="shared" si="11"/>
        <v>0</v>
      </c>
      <c r="P197" s="338"/>
      <c r="Q197" s="10"/>
      <c r="R197" s="63"/>
    </row>
    <row r="198" spans="1:18" x14ac:dyDescent="0.25">
      <c r="A198" s="3">
        <f t="shared" si="10"/>
        <v>66</v>
      </c>
      <c r="B198" s="4"/>
      <c r="C198" s="8"/>
      <c r="D198" s="359"/>
      <c r="E198" s="478"/>
      <c r="F198" s="359"/>
      <c r="G198" s="478"/>
      <c r="H198" s="359"/>
      <c r="I198" s="478"/>
      <c r="J198" s="359"/>
      <c r="K198" s="478"/>
      <c r="L198" s="359"/>
      <c r="M198" s="478"/>
      <c r="N198" s="561"/>
      <c r="O198" s="47">
        <f t="shared" si="11"/>
        <v>0</v>
      </c>
      <c r="P198" s="338"/>
      <c r="Q198" s="10"/>
      <c r="R198" s="63"/>
    </row>
    <row r="199" spans="1:18" x14ac:dyDescent="0.25">
      <c r="A199" s="3">
        <f t="shared" si="10"/>
        <v>67</v>
      </c>
      <c r="B199" s="4"/>
      <c r="C199" s="9"/>
      <c r="D199" s="359"/>
      <c r="E199" s="478"/>
      <c r="F199" s="359"/>
      <c r="G199" s="478"/>
      <c r="H199" s="359"/>
      <c r="I199" s="478"/>
      <c r="J199" s="359"/>
      <c r="K199" s="478"/>
      <c r="L199" s="359"/>
      <c r="M199" s="478"/>
      <c r="N199" s="561"/>
      <c r="O199" s="47">
        <f t="shared" si="11"/>
        <v>0</v>
      </c>
      <c r="P199" s="338"/>
      <c r="Q199" s="10"/>
      <c r="R199" s="63"/>
    </row>
    <row r="200" spans="1:18" x14ac:dyDescent="0.25">
      <c r="A200" s="3">
        <f t="shared" si="10"/>
        <v>68</v>
      </c>
      <c r="B200" s="4"/>
      <c r="C200" s="9"/>
      <c r="D200" s="359"/>
      <c r="E200" s="478"/>
      <c r="F200" s="359"/>
      <c r="G200" s="478"/>
      <c r="H200" s="359"/>
      <c r="I200" s="478"/>
      <c r="J200" s="359"/>
      <c r="K200" s="478"/>
      <c r="L200" s="359"/>
      <c r="M200" s="478"/>
      <c r="N200" s="561"/>
      <c r="O200" s="47">
        <f t="shared" si="11"/>
        <v>0</v>
      </c>
      <c r="P200" s="338"/>
      <c r="Q200" s="10"/>
      <c r="R200" s="63"/>
    </row>
    <row r="201" spans="1:18" x14ac:dyDescent="0.25">
      <c r="A201" s="3">
        <f t="shared" si="10"/>
        <v>69</v>
      </c>
      <c r="B201" s="4"/>
      <c r="C201" s="9"/>
      <c r="D201" s="359"/>
      <c r="E201" s="478"/>
      <c r="F201" s="359"/>
      <c r="G201" s="478"/>
      <c r="H201" s="359"/>
      <c r="I201" s="478"/>
      <c r="J201" s="359"/>
      <c r="K201" s="478"/>
      <c r="L201" s="359"/>
      <c r="M201" s="478"/>
      <c r="N201" s="561"/>
      <c r="O201" s="47">
        <f t="shared" si="11"/>
        <v>0</v>
      </c>
      <c r="P201" s="338"/>
      <c r="Q201" s="10"/>
      <c r="R201" s="63"/>
    </row>
    <row r="202" spans="1:18" x14ac:dyDescent="0.25">
      <c r="A202" s="3">
        <f t="shared" si="10"/>
        <v>70</v>
      </c>
      <c r="B202" s="4"/>
      <c r="C202" s="9"/>
      <c r="D202" s="359"/>
      <c r="E202" s="478"/>
      <c r="F202" s="359"/>
      <c r="G202" s="478"/>
      <c r="H202" s="359"/>
      <c r="I202" s="478"/>
      <c r="J202" s="359"/>
      <c r="K202" s="478"/>
      <c r="L202" s="359"/>
      <c r="M202" s="478"/>
      <c r="N202" s="561"/>
      <c r="O202" s="47">
        <f t="shared" si="11"/>
        <v>0</v>
      </c>
      <c r="P202" s="338"/>
      <c r="Q202" s="10"/>
      <c r="R202" s="63"/>
    </row>
    <row r="203" spans="1:18" x14ac:dyDescent="0.25">
      <c r="A203" s="3">
        <f t="shared" si="10"/>
        <v>71</v>
      </c>
      <c r="B203" s="4"/>
      <c r="C203" s="9"/>
      <c r="D203" s="359"/>
      <c r="E203" s="478"/>
      <c r="F203" s="359"/>
      <c r="G203" s="478"/>
      <c r="H203" s="359"/>
      <c r="I203" s="478"/>
      <c r="J203" s="359"/>
      <c r="K203" s="478"/>
      <c r="L203" s="359"/>
      <c r="M203" s="478"/>
      <c r="N203" s="561"/>
      <c r="O203" s="47">
        <f t="shared" ref="O203:O234" si="12">SUM(C203:N203)</f>
        <v>0</v>
      </c>
      <c r="P203" s="338"/>
      <c r="Q203" s="10"/>
      <c r="R203" s="63"/>
    </row>
    <row r="204" spans="1:18" x14ac:dyDescent="0.25">
      <c r="A204" s="3">
        <f t="shared" si="10"/>
        <v>72</v>
      </c>
      <c r="B204" s="4"/>
      <c r="C204" s="8"/>
      <c r="D204" s="359"/>
      <c r="E204" s="478"/>
      <c r="F204" s="359"/>
      <c r="G204" s="478"/>
      <c r="H204" s="359"/>
      <c r="I204" s="478"/>
      <c r="J204" s="359"/>
      <c r="K204" s="478"/>
      <c r="L204" s="359"/>
      <c r="M204" s="478"/>
      <c r="N204" s="561"/>
      <c r="O204" s="47">
        <f t="shared" si="12"/>
        <v>0</v>
      </c>
      <c r="P204" s="338"/>
      <c r="Q204" s="10"/>
      <c r="R204" s="63"/>
    </row>
    <row r="205" spans="1:18" x14ac:dyDescent="0.25">
      <c r="A205" s="3">
        <f t="shared" si="10"/>
        <v>73</v>
      </c>
      <c r="B205" s="4"/>
      <c r="C205" s="9"/>
      <c r="D205" s="359"/>
      <c r="E205" s="478"/>
      <c r="F205" s="359"/>
      <c r="G205" s="478"/>
      <c r="H205" s="359"/>
      <c r="I205" s="478"/>
      <c r="J205" s="359"/>
      <c r="K205" s="478"/>
      <c r="L205" s="359"/>
      <c r="M205" s="478"/>
      <c r="N205" s="561"/>
      <c r="O205" s="47">
        <f t="shared" si="12"/>
        <v>0</v>
      </c>
      <c r="P205" s="338"/>
      <c r="Q205" s="10"/>
      <c r="R205" s="63"/>
    </row>
    <row r="206" spans="1:18" x14ac:dyDescent="0.25">
      <c r="A206" s="3">
        <f t="shared" si="10"/>
        <v>74</v>
      </c>
      <c r="B206" s="4"/>
      <c r="C206" s="9"/>
      <c r="D206" s="359"/>
      <c r="E206" s="478"/>
      <c r="F206" s="359"/>
      <c r="G206" s="478"/>
      <c r="H206" s="359"/>
      <c r="I206" s="478"/>
      <c r="J206" s="359"/>
      <c r="K206" s="478"/>
      <c r="L206" s="359"/>
      <c r="M206" s="478"/>
      <c r="N206" s="561"/>
      <c r="O206" s="47">
        <f t="shared" si="12"/>
        <v>0</v>
      </c>
      <c r="P206" s="338"/>
      <c r="Q206" s="10"/>
      <c r="R206" s="63"/>
    </row>
    <row r="207" spans="1:18" x14ac:dyDescent="0.25">
      <c r="A207" s="3">
        <f t="shared" si="10"/>
        <v>75</v>
      </c>
      <c r="B207" s="4"/>
      <c r="C207" s="9"/>
      <c r="D207" s="359"/>
      <c r="E207" s="478"/>
      <c r="F207" s="359"/>
      <c r="G207" s="478"/>
      <c r="H207" s="359"/>
      <c r="I207" s="478"/>
      <c r="J207" s="359"/>
      <c r="K207" s="478"/>
      <c r="L207" s="359"/>
      <c r="M207" s="478"/>
      <c r="N207" s="561"/>
      <c r="O207" s="47">
        <f t="shared" si="12"/>
        <v>0</v>
      </c>
      <c r="P207" s="338"/>
      <c r="Q207" s="10"/>
      <c r="R207" s="63"/>
    </row>
    <row r="208" spans="1:18" x14ac:dyDescent="0.25">
      <c r="A208" s="3">
        <f t="shared" si="10"/>
        <v>76</v>
      </c>
      <c r="B208" s="3"/>
      <c r="C208" s="8"/>
      <c r="D208" s="359"/>
      <c r="E208" s="478"/>
      <c r="F208" s="359"/>
      <c r="G208" s="478"/>
      <c r="H208" s="359"/>
      <c r="I208" s="478"/>
      <c r="J208" s="359"/>
      <c r="K208" s="478"/>
      <c r="L208" s="359"/>
      <c r="M208" s="478"/>
      <c r="N208" s="561"/>
      <c r="O208" s="47">
        <f t="shared" si="12"/>
        <v>0</v>
      </c>
      <c r="P208" s="338"/>
      <c r="Q208" s="10"/>
      <c r="R208" s="63"/>
    </row>
    <row r="209" spans="1:18" x14ac:dyDescent="0.25">
      <c r="A209" s="3">
        <f t="shared" si="10"/>
        <v>77</v>
      </c>
      <c r="B209" s="4"/>
      <c r="C209" s="9"/>
      <c r="D209" s="359"/>
      <c r="E209" s="478"/>
      <c r="F209" s="359"/>
      <c r="G209" s="478"/>
      <c r="H209" s="359"/>
      <c r="I209" s="478"/>
      <c r="J209" s="359"/>
      <c r="K209" s="478"/>
      <c r="L209" s="359"/>
      <c r="M209" s="478"/>
      <c r="N209" s="561"/>
      <c r="O209" s="47">
        <f t="shared" si="12"/>
        <v>0</v>
      </c>
      <c r="P209" s="338"/>
      <c r="Q209" s="10"/>
      <c r="R209" s="63"/>
    </row>
    <row r="210" spans="1:18" x14ac:dyDescent="0.25">
      <c r="A210" s="3">
        <f t="shared" si="10"/>
        <v>78</v>
      </c>
      <c r="B210" s="4"/>
      <c r="C210" s="9"/>
      <c r="D210" s="359"/>
      <c r="E210" s="478"/>
      <c r="F210" s="359"/>
      <c r="G210" s="478"/>
      <c r="H210" s="359"/>
      <c r="I210" s="478"/>
      <c r="J210" s="359"/>
      <c r="K210" s="478"/>
      <c r="L210" s="359"/>
      <c r="M210" s="478"/>
      <c r="N210" s="561"/>
      <c r="O210" s="47">
        <f t="shared" si="12"/>
        <v>0</v>
      </c>
      <c r="P210" s="338"/>
      <c r="Q210" s="10"/>
      <c r="R210" s="63"/>
    </row>
    <row r="211" spans="1:18" x14ac:dyDescent="0.25">
      <c r="A211" s="3">
        <f t="shared" si="10"/>
        <v>79</v>
      </c>
      <c r="B211" s="4"/>
      <c r="C211" s="9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47">
        <f t="shared" si="12"/>
        <v>0</v>
      </c>
      <c r="P211" s="338"/>
      <c r="Q211" s="10"/>
      <c r="R211" s="63"/>
    </row>
    <row r="212" spans="1:18" x14ac:dyDescent="0.25">
      <c r="A212" s="3">
        <f t="shared" si="10"/>
        <v>80</v>
      </c>
      <c r="B212" s="4"/>
      <c r="C212" s="9"/>
      <c r="D212" s="359"/>
      <c r="E212" s="478"/>
      <c r="F212" s="359"/>
      <c r="G212" s="478"/>
      <c r="H212" s="359"/>
      <c r="I212" s="478"/>
      <c r="J212" s="359"/>
      <c r="K212" s="478"/>
      <c r="L212" s="359"/>
      <c r="M212" s="478"/>
      <c r="N212" s="561"/>
      <c r="O212" s="47">
        <f t="shared" si="12"/>
        <v>0</v>
      </c>
      <c r="P212" s="338"/>
      <c r="Q212" s="10"/>
      <c r="R212" s="63"/>
    </row>
    <row r="213" spans="1:18" x14ac:dyDescent="0.25">
      <c r="A213" s="3">
        <f t="shared" si="10"/>
        <v>81</v>
      </c>
      <c r="B213" s="4"/>
      <c r="C213" s="9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47">
        <f t="shared" si="12"/>
        <v>0</v>
      </c>
      <c r="P213" s="338"/>
      <c r="Q213" s="10"/>
      <c r="R213" s="63"/>
    </row>
    <row r="214" spans="1:18" x14ac:dyDescent="0.25">
      <c r="A214" s="3">
        <f t="shared" si="10"/>
        <v>82</v>
      </c>
      <c r="B214" s="4"/>
      <c r="C214" s="9"/>
      <c r="D214" s="359"/>
      <c r="E214" s="478"/>
      <c r="F214" s="359"/>
      <c r="G214" s="478"/>
      <c r="H214" s="359"/>
      <c r="I214" s="478"/>
      <c r="J214" s="359"/>
      <c r="K214" s="478"/>
      <c r="L214" s="359"/>
      <c r="M214" s="478"/>
      <c r="N214" s="561"/>
      <c r="O214" s="47">
        <f t="shared" si="12"/>
        <v>0</v>
      </c>
      <c r="P214" s="338"/>
      <c r="Q214" s="10"/>
      <c r="R214" s="63"/>
    </row>
    <row r="215" spans="1:18" x14ac:dyDescent="0.25">
      <c r="A215" s="3">
        <f t="shared" si="10"/>
        <v>83</v>
      </c>
      <c r="B215" s="4"/>
      <c r="C215" s="9"/>
      <c r="D215" s="359"/>
      <c r="E215" s="478"/>
      <c r="F215" s="359"/>
      <c r="G215" s="478"/>
      <c r="H215" s="359"/>
      <c r="I215" s="478"/>
      <c r="J215" s="359"/>
      <c r="K215" s="478"/>
      <c r="L215" s="359"/>
      <c r="M215" s="478"/>
      <c r="N215" s="561"/>
      <c r="O215" s="47">
        <f t="shared" si="12"/>
        <v>0</v>
      </c>
      <c r="P215" s="338"/>
      <c r="Q215" s="10"/>
      <c r="R215" s="63"/>
    </row>
    <row r="216" spans="1:18" x14ac:dyDescent="0.25">
      <c r="A216" s="3">
        <f t="shared" si="10"/>
        <v>84</v>
      </c>
      <c r="B216" s="4"/>
      <c r="C216" s="8"/>
      <c r="D216" s="359"/>
      <c r="E216" s="478"/>
      <c r="F216" s="359"/>
      <c r="G216" s="478"/>
      <c r="H216" s="359"/>
      <c r="I216" s="478"/>
      <c r="J216" s="359"/>
      <c r="K216" s="478"/>
      <c r="L216" s="359"/>
      <c r="M216" s="478"/>
      <c r="N216" s="561"/>
      <c r="O216" s="47">
        <f t="shared" si="12"/>
        <v>0</v>
      </c>
      <c r="P216" s="338"/>
      <c r="Q216" s="10"/>
      <c r="R216" s="63"/>
    </row>
    <row r="217" spans="1:18" x14ac:dyDescent="0.25">
      <c r="A217" s="3">
        <f t="shared" si="10"/>
        <v>85</v>
      </c>
      <c r="B217" s="4"/>
      <c r="C217" s="9"/>
      <c r="D217" s="359"/>
      <c r="E217" s="478"/>
      <c r="F217" s="359"/>
      <c r="G217" s="478"/>
      <c r="H217" s="359"/>
      <c r="I217" s="478"/>
      <c r="J217" s="359"/>
      <c r="K217" s="478"/>
      <c r="L217" s="359"/>
      <c r="M217" s="478"/>
      <c r="N217" s="561"/>
      <c r="O217" s="47">
        <f t="shared" si="12"/>
        <v>0</v>
      </c>
      <c r="P217" s="338"/>
      <c r="Q217" s="10"/>
      <c r="R217" s="63"/>
    </row>
    <row r="218" spans="1:18" x14ac:dyDescent="0.25">
      <c r="A218" s="3">
        <f t="shared" si="10"/>
        <v>86</v>
      </c>
      <c r="B218" s="4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47">
        <f t="shared" si="12"/>
        <v>0</v>
      </c>
      <c r="P218" s="338"/>
      <c r="Q218" s="10"/>
      <c r="R218" s="64"/>
    </row>
    <row r="219" spans="1:18" x14ac:dyDescent="0.25">
      <c r="A219" s="3">
        <f t="shared" si="10"/>
        <v>87</v>
      </c>
      <c r="B219" s="4"/>
      <c r="C219" s="9"/>
      <c r="D219" s="359"/>
      <c r="E219" s="478"/>
      <c r="F219" s="359"/>
      <c r="G219" s="478"/>
      <c r="H219" s="359"/>
      <c r="I219" s="478"/>
      <c r="J219" s="359"/>
      <c r="K219" s="478"/>
      <c r="L219" s="359"/>
      <c r="M219" s="478"/>
      <c r="N219" s="561"/>
      <c r="O219" s="47">
        <f t="shared" si="12"/>
        <v>0</v>
      </c>
      <c r="P219" s="338"/>
      <c r="Q219" s="10"/>
      <c r="R219" s="63"/>
    </row>
    <row r="220" spans="1:18" x14ac:dyDescent="0.25">
      <c r="A220" s="3">
        <f t="shared" si="10"/>
        <v>88</v>
      </c>
      <c r="B220" s="4"/>
      <c r="C220" s="9"/>
      <c r="D220" s="359"/>
      <c r="E220" s="478"/>
      <c r="F220" s="359"/>
      <c r="G220" s="478"/>
      <c r="H220" s="359"/>
      <c r="I220" s="478"/>
      <c r="J220" s="359"/>
      <c r="K220" s="478"/>
      <c r="L220" s="359"/>
      <c r="M220" s="478"/>
      <c r="N220" s="561"/>
      <c r="O220" s="47">
        <f t="shared" si="12"/>
        <v>0</v>
      </c>
      <c r="P220" s="338"/>
      <c r="Q220" s="10"/>
      <c r="R220" s="63"/>
    </row>
    <row r="221" spans="1:18" x14ac:dyDescent="0.25">
      <c r="A221" s="3">
        <f t="shared" si="10"/>
        <v>89</v>
      </c>
      <c r="B221" s="4"/>
      <c r="C221" s="8"/>
      <c r="D221" s="359"/>
      <c r="E221" s="478"/>
      <c r="F221" s="359"/>
      <c r="G221" s="478"/>
      <c r="H221" s="359"/>
      <c r="I221" s="478"/>
      <c r="J221" s="359"/>
      <c r="K221" s="478"/>
      <c r="L221" s="359"/>
      <c r="M221" s="478"/>
      <c r="N221" s="561"/>
      <c r="O221" s="47">
        <f t="shared" si="12"/>
        <v>0</v>
      </c>
      <c r="P221" s="338"/>
      <c r="Q221" s="10"/>
      <c r="R221" s="63"/>
    </row>
    <row r="222" spans="1:18" x14ac:dyDescent="0.25">
      <c r="A222" s="3">
        <f t="shared" si="10"/>
        <v>90</v>
      </c>
      <c r="B222" s="4"/>
      <c r="C222" s="9"/>
      <c r="D222" s="359"/>
      <c r="E222" s="478"/>
      <c r="F222" s="359"/>
      <c r="G222" s="478"/>
      <c r="H222" s="359"/>
      <c r="I222" s="478"/>
      <c r="J222" s="359"/>
      <c r="K222" s="478"/>
      <c r="L222" s="359"/>
      <c r="M222" s="478"/>
      <c r="N222" s="561"/>
      <c r="O222" s="47">
        <f t="shared" si="12"/>
        <v>0</v>
      </c>
      <c r="P222" s="338"/>
      <c r="Q222" s="10"/>
      <c r="R222" s="63"/>
    </row>
    <row r="223" spans="1:18" x14ac:dyDescent="0.25">
      <c r="A223" s="3">
        <f t="shared" si="10"/>
        <v>91</v>
      </c>
      <c r="B223" s="4"/>
      <c r="C223" s="9"/>
      <c r="D223" s="359"/>
      <c r="E223" s="478"/>
      <c r="F223" s="359"/>
      <c r="G223" s="478"/>
      <c r="H223" s="359"/>
      <c r="I223" s="478"/>
      <c r="J223" s="359"/>
      <c r="K223" s="478"/>
      <c r="L223" s="359"/>
      <c r="M223" s="478"/>
      <c r="N223" s="561"/>
      <c r="O223" s="47">
        <f t="shared" si="12"/>
        <v>0</v>
      </c>
      <c r="P223" s="338"/>
      <c r="Q223" s="10"/>
      <c r="R223" s="63"/>
    </row>
    <row r="224" spans="1:18" x14ac:dyDescent="0.25">
      <c r="A224" s="3">
        <f t="shared" si="10"/>
        <v>92</v>
      </c>
      <c r="B224" s="4"/>
      <c r="C224" s="9"/>
      <c r="D224" s="359"/>
      <c r="E224" s="478"/>
      <c r="F224" s="359"/>
      <c r="G224" s="478"/>
      <c r="H224" s="359"/>
      <c r="I224" s="478"/>
      <c r="J224" s="359"/>
      <c r="K224" s="478"/>
      <c r="L224" s="359"/>
      <c r="M224" s="478"/>
      <c r="N224" s="561"/>
      <c r="O224" s="47">
        <f t="shared" si="12"/>
        <v>0</v>
      </c>
      <c r="P224" s="338"/>
      <c r="Q224" s="10"/>
      <c r="R224" s="63"/>
    </row>
    <row r="225" spans="1:18" x14ac:dyDescent="0.25">
      <c r="A225" s="3">
        <f t="shared" si="10"/>
        <v>93</v>
      </c>
      <c r="B225" s="4"/>
      <c r="C225" s="9"/>
      <c r="D225" s="359"/>
      <c r="E225" s="478"/>
      <c r="F225" s="359"/>
      <c r="G225" s="478"/>
      <c r="H225" s="359"/>
      <c r="I225" s="478"/>
      <c r="J225" s="359"/>
      <c r="K225" s="478"/>
      <c r="L225" s="359"/>
      <c r="M225" s="478"/>
      <c r="N225" s="561"/>
      <c r="O225" s="47">
        <f t="shared" si="12"/>
        <v>0</v>
      </c>
      <c r="P225" s="338"/>
      <c r="Q225" s="10"/>
      <c r="R225" s="63"/>
    </row>
    <row r="226" spans="1:18" x14ac:dyDescent="0.25">
      <c r="A226" s="3">
        <f t="shared" si="10"/>
        <v>94</v>
      </c>
      <c r="B226" s="4"/>
      <c r="C226" s="9"/>
      <c r="D226" s="359"/>
      <c r="E226" s="478"/>
      <c r="F226" s="359"/>
      <c r="G226" s="478"/>
      <c r="H226" s="359"/>
      <c r="I226" s="478"/>
      <c r="J226" s="359"/>
      <c r="K226" s="478"/>
      <c r="L226" s="359"/>
      <c r="M226" s="478"/>
      <c r="N226" s="561"/>
      <c r="O226" s="47">
        <f t="shared" si="12"/>
        <v>0</v>
      </c>
      <c r="P226" s="338"/>
      <c r="Q226" s="10"/>
      <c r="R226" s="63"/>
    </row>
    <row r="227" spans="1:18" x14ac:dyDescent="0.25">
      <c r="A227" s="3">
        <f t="shared" si="10"/>
        <v>95</v>
      </c>
      <c r="B227" s="4"/>
      <c r="C227" s="9"/>
      <c r="D227" s="359"/>
      <c r="E227" s="478"/>
      <c r="F227" s="359"/>
      <c r="G227" s="478"/>
      <c r="H227" s="359"/>
      <c r="I227" s="478"/>
      <c r="J227" s="359"/>
      <c r="K227" s="478"/>
      <c r="L227" s="359"/>
      <c r="M227" s="478"/>
      <c r="N227" s="561"/>
      <c r="O227" s="47">
        <f t="shared" si="12"/>
        <v>0</v>
      </c>
      <c r="P227" s="338"/>
      <c r="Q227" s="10"/>
      <c r="R227" s="63"/>
    </row>
    <row r="228" spans="1:18" x14ac:dyDescent="0.25">
      <c r="A228" s="3">
        <f t="shared" si="10"/>
        <v>96</v>
      </c>
      <c r="B228" s="4"/>
      <c r="C228" s="8"/>
      <c r="D228" s="359"/>
      <c r="E228" s="478"/>
      <c r="F228" s="359"/>
      <c r="G228" s="478"/>
      <c r="H228" s="359"/>
      <c r="I228" s="478"/>
      <c r="J228" s="359"/>
      <c r="K228" s="478"/>
      <c r="L228" s="359"/>
      <c r="M228" s="478"/>
      <c r="N228" s="561"/>
      <c r="O228" s="47">
        <f t="shared" si="12"/>
        <v>0</v>
      </c>
      <c r="P228" s="338"/>
      <c r="Q228" s="10"/>
      <c r="R228" s="63"/>
    </row>
    <row r="229" spans="1:18" x14ac:dyDescent="0.25">
      <c r="A229" s="3">
        <f t="shared" si="10"/>
        <v>97</v>
      </c>
      <c r="B229" s="4"/>
      <c r="C229" s="9"/>
      <c r="D229" s="359"/>
      <c r="E229" s="478"/>
      <c r="F229" s="359"/>
      <c r="G229" s="478"/>
      <c r="H229" s="359"/>
      <c r="I229" s="478"/>
      <c r="J229" s="359"/>
      <c r="K229" s="478"/>
      <c r="L229" s="359"/>
      <c r="M229" s="478"/>
      <c r="N229" s="561"/>
      <c r="O229" s="47">
        <f t="shared" si="12"/>
        <v>0</v>
      </c>
      <c r="P229" s="338"/>
      <c r="Q229" s="10"/>
      <c r="R229" s="63"/>
    </row>
    <row r="230" spans="1:18" x14ac:dyDescent="0.25">
      <c r="A230" s="3">
        <f t="shared" si="10"/>
        <v>98</v>
      </c>
      <c r="B230" s="4"/>
      <c r="C230" s="9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47">
        <f t="shared" si="12"/>
        <v>0</v>
      </c>
      <c r="P230" s="338"/>
      <c r="Q230" s="10"/>
      <c r="R230" s="63"/>
    </row>
    <row r="231" spans="1:18" x14ac:dyDescent="0.25">
      <c r="A231" s="3">
        <f t="shared" si="10"/>
        <v>99</v>
      </c>
      <c r="B231" s="4"/>
      <c r="C231" s="9"/>
      <c r="D231" s="359"/>
      <c r="E231" s="478"/>
      <c r="F231" s="359"/>
      <c r="G231" s="478"/>
      <c r="H231" s="359"/>
      <c r="I231" s="478"/>
      <c r="J231" s="359"/>
      <c r="K231" s="478"/>
      <c r="L231" s="359"/>
      <c r="M231" s="478"/>
      <c r="N231" s="561"/>
      <c r="O231" s="47">
        <f t="shared" si="12"/>
        <v>0</v>
      </c>
      <c r="P231" s="338"/>
      <c r="Q231" s="10"/>
      <c r="R231" s="63"/>
    </row>
    <row r="232" spans="1:18" x14ac:dyDescent="0.25">
      <c r="A232" s="3">
        <f t="shared" si="10"/>
        <v>100</v>
      </c>
      <c r="B232" s="4"/>
      <c r="C232" s="9"/>
      <c r="D232" s="359"/>
      <c r="E232" s="478"/>
      <c r="F232" s="359"/>
      <c r="G232" s="478"/>
      <c r="H232" s="359"/>
      <c r="I232" s="478"/>
      <c r="J232" s="359"/>
      <c r="K232" s="478"/>
      <c r="L232" s="359"/>
      <c r="M232" s="478"/>
      <c r="N232" s="561"/>
      <c r="O232" s="47">
        <f t="shared" si="12"/>
        <v>0</v>
      </c>
      <c r="P232" s="338"/>
      <c r="Q232" s="10"/>
      <c r="R232" s="63"/>
    </row>
    <row r="233" spans="1:18" x14ac:dyDescent="0.25">
      <c r="A233" s="3">
        <f t="shared" ref="A233:A242" si="13">A232+1</f>
        <v>101</v>
      </c>
      <c r="B233" s="4"/>
      <c r="C233" s="9"/>
      <c r="D233" s="359"/>
      <c r="E233" s="478"/>
      <c r="F233" s="359"/>
      <c r="G233" s="478"/>
      <c r="H233" s="359"/>
      <c r="I233" s="478"/>
      <c r="J233" s="359"/>
      <c r="K233" s="478"/>
      <c r="L233" s="359"/>
      <c r="M233" s="478"/>
      <c r="N233" s="561"/>
      <c r="O233" s="47">
        <f t="shared" si="12"/>
        <v>0</v>
      </c>
      <c r="P233" s="338"/>
      <c r="Q233" s="10"/>
      <c r="R233" s="63"/>
    </row>
    <row r="234" spans="1:18" x14ac:dyDescent="0.25">
      <c r="A234" s="3">
        <f t="shared" si="13"/>
        <v>102</v>
      </c>
      <c r="B234" s="4"/>
      <c r="C234" s="9"/>
      <c r="D234" s="359"/>
      <c r="E234" s="478"/>
      <c r="F234" s="359"/>
      <c r="G234" s="478"/>
      <c r="H234" s="359"/>
      <c r="I234" s="478"/>
      <c r="J234" s="359"/>
      <c r="K234" s="478"/>
      <c r="L234" s="359"/>
      <c r="M234" s="478"/>
      <c r="N234" s="561"/>
      <c r="O234" s="47">
        <f t="shared" si="12"/>
        <v>0</v>
      </c>
      <c r="P234" s="338"/>
      <c r="Q234" s="10"/>
      <c r="R234" s="63"/>
    </row>
    <row r="235" spans="1:18" x14ac:dyDescent="0.25">
      <c r="A235" s="3">
        <f t="shared" si="13"/>
        <v>103</v>
      </c>
      <c r="B235" s="4"/>
      <c r="C235" s="9"/>
      <c r="D235" s="359"/>
      <c r="E235" s="478"/>
      <c r="F235" s="359"/>
      <c r="G235" s="478"/>
      <c r="H235" s="359"/>
      <c r="I235" s="478"/>
      <c r="J235" s="359"/>
      <c r="K235" s="478"/>
      <c r="L235" s="359"/>
      <c r="M235" s="478"/>
      <c r="N235" s="561"/>
      <c r="O235" s="47">
        <f>SUM(C235:N235)</f>
        <v>0</v>
      </c>
      <c r="P235" s="338"/>
      <c r="Q235" s="10"/>
      <c r="R235" s="63"/>
    </row>
    <row r="236" spans="1:18" x14ac:dyDescent="0.25">
      <c r="A236" s="3">
        <f t="shared" si="13"/>
        <v>104</v>
      </c>
      <c r="B236" s="4"/>
      <c r="C236" s="9"/>
      <c r="D236" s="359"/>
      <c r="E236" s="478"/>
      <c r="F236" s="359"/>
      <c r="G236" s="478"/>
      <c r="H236" s="359"/>
      <c r="I236" s="478"/>
      <c r="J236" s="359"/>
      <c r="K236" s="478"/>
      <c r="L236" s="359"/>
      <c r="M236" s="478"/>
      <c r="N236" s="561"/>
      <c r="O236" s="47">
        <f>SUM(C236:N236)</f>
        <v>0</v>
      </c>
      <c r="P236" s="338"/>
      <c r="Q236" s="10"/>
      <c r="R236" s="63"/>
    </row>
    <row r="237" spans="1:18" x14ac:dyDescent="0.25">
      <c r="A237" s="3">
        <f t="shared" si="13"/>
        <v>105</v>
      </c>
      <c r="B237" s="4"/>
      <c r="C237" s="8"/>
      <c r="D237" s="359"/>
      <c r="E237" s="478"/>
      <c r="F237" s="359"/>
      <c r="G237" s="478"/>
      <c r="H237" s="359"/>
      <c r="I237" s="478"/>
      <c r="J237" s="359"/>
      <c r="K237" s="478"/>
      <c r="L237" s="359"/>
      <c r="M237" s="478"/>
      <c r="N237" s="561"/>
      <c r="O237" s="47">
        <f>SUM(C237:N237)</f>
        <v>0</v>
      </c>
      <c r="P237" s="338"/>
      <c r="Q237" s="10"/>
      <c r="R237" s="63"/>
    </row>
    <row r="238" spans="1:18" x14ac:dyDescent="0.25">
      <c r="A238" s="3">
        <f t="shared" si="13"/>
        <v>106</v>
      </c>
      <c r="B238" s="4"/>
      <c r="C238" s="9"/>
      <c r="D238" s="359"/>
      <c r="E238" s="478"/>
      <c r="F238" s="359"/>
      <c r="G238" s="478"/>
      <c r="H238" s="359"/>
      <c r="I238" s="478"/>
      <c r="J238" s="359"/>
      <c r="K238" s="478"/>
      <c r="L238" s="359"/>
      <c r="M238" s="478"/>
      <c r="N238" s="561"/>
      <c r="O238" s="47"/>
      <c r="P238" s="338"/>
      <c r="R238" s="63"/>
    </row>
    <row r="239" spans="1:18" x14ac:dyDescent="0.25">
      <c r="A239" s="3">
        <f t="shared" si="13"/>
        <v>107</v>
      </c>
      <c r="B239" s="4"/>
      <c r="C239" s="9"/>
      <c r="D239" s="359"/>
      <c r="E239" s="478"/>
      <c r="F239" s="359"/>
      <c r="G239" s="478"/>
      <c r="H239" s="359"/>
      <c r="I239" s="478"/>
      <c r="J239" s="359"/>
      <c r="K239" s="478"/>
      <c r="L239" s="359"/>
      <c r="M239" s="478"/>
      <c r="N239" s="561"/>
      <c r="O239" s="8"/>
      <c r="P239" s="338"/>
      <c r="R239" s="63"/>
    </row>
    <row r="240" spans="1:18" x14ac:dyDescent="0.25">
      <c r="A240" s="3">
        <f t="shared" si="13"/>
        <v>108</v>
      </c>
      <c r="B240" s="4"/>
      <c r="C240" s="9"/>
      <c r="D240" s="369"/>
      <c r="E240" s="481"/>
      <c r="F240" s="369"/>
      <c r="G240" s="481"/>
      <c r="H240" s="369"/>
      <c r="I240" s="481"/>
      <c r="J240" s="369"/>
      <c r="K240" s="481"/>
      <c r="L240" s="369"/>
      <c r="M240" s="481"/>
      <c r="N240" s="565"/>
      <c r="O240" s="8">
        <f t="shared" ref="O240:O303" si="14">SUM(C240:N240)</f>
        <v>0</v>
      </c>
      <c r="P240" s="338"/>
      <c r="R240" s="63"/>
    </row>
    <row r="241" spans="1:18" x14ac:dyDescent="0.25">
      <c r="A241" s="3">
        <f t="shared" si="13"/>
        <v>109</v>
      </c>
      <c r="B241" s="4"/>
      <c r="C241" s="9"/>
      <c r="D241" s="359"/>
      <c r="E241" s="478"/>
      <c r="F241" s="359"/>
      <c r="G241" s="478"/>
      <c r="H241" s="359"/>
      <c r="I241" s="478"/>
      <c r="J241" s="359"/>
      <c r="K241" s="478"/>
      <c r="L241" s="359"/>
      <c r="M241" s="478"/>
      <c r="N241" s="561"/>
      <c r="O241" s="8">
        <f t="shared" si="14"/>
        <v>0</v>
      </c>
      <c r="P241" s="338"/>
      <c r="R241" s="63"/>
    </row>
    <row r="242" spans="1:18" x14ac:dyDescent="0.25">
      <c r="A242" s="3">
        <f t="shared" si="13"/>
        <v>110</v>
      </c>
      <c r="B242" s="4"/>
      <c r="C242" s="8"/>
      <c r="D242" s="369"/>
      <c r="E242" s="481"/>
      <c r="F242" s="369"/>
      <c r="G242" s="481"/>
      <c r="H242" s="369"/>
      <c r="I242" s="481"/>
      <c r="J242" s="369"/>
      <c r="K242" s="481"/>
      <c r="L242" s="369"/>
      <c r="M242" s="481"/>
      <c r="N242" s="565"/>
      <c r="O242" s="8">
        <f t="shared" si="14"/>
        <v>0</v>
      </c>
      <c r="P242" s="338"/>
      <c r="Q242" s="10"/>
      <c r="R242" s="63"/>
    </row>
    <row r="243" spans="1:18" x14ac:dyDescent="0.25">
      <c r="A243" s="3"/>
      <c r="B243" s="4"/>
      <c r="C243" s="8"/>
      <c r="D243" s="359"/>
      <c r="E243" s="478"/>
      <c r="F243" s="359"/>
      <c r="G243" s="478"/>
      <c r="H243" s="359"/>
      <c r="I243" s="478"/>
      <c r="J243" s="359"/>
      <c r="K243" s="478"/>
      <c r="L243" s="359"/>
      <c r="M243" s="478"/>
      <c r="N243" s="561"/>
      <c r="O243" s="8">
        <f t="shared" si="14"/>
        <v>0</v>
      </c>
      <c r="P243" s="338"/>
      <c r="Q243" s="10"/>
      <c r="R243" s="63"/>
    </row>
    <row r="244" spans="1:18" x14ac:dyDescent="0.25">
      <c r="A244" s="3"/>
      <c r="B244" s="4"/>
      <c r="C244" s="8"/>
      <c r="D244" s="359"/>
      <c r="E244" s="478"/>
      <c r="F244" s="359"/>
      <c r="G244" s="478"/>
      <c r="H244" s="359"/>
      <c r="I244" s="478"/>
      <c r="J244" s="359"/>
      <c r="K244" s="478"/>
      <c r="L244" s="359"/>
      <c r="M244" s="478"/>
      <c r="N244" s="561"/>
      <c r="O244" s="8">
        <f t="shared" si="14"/>
        <v>0</v>
      </c>
      <c r="P244" s="338"/>
      <c r="Q244" s="10"/>
      <c r="R244" s="63"/>
    </row>
    <row r="245" spans="1:18" x14ac:dyDescent="0.25">
      <c r="A245" s="13">
        <v>1</v>
      </c>
      <c r="B245" s="4"/>
      <c r="C245" s="8"/>
      <c r="D245" s="359"/>
      <c r="E245" s="478"/>
      <c r="F245" s="359"/>
      <c r="G245" s="478"/>
      <c r="H245" s="359"/>
      <c r="I245" s="478"/>
      <c r="J245" s="359"/>
      <c r="K245" s="478"/>
      <c r="L245" s="359"/>
      <c r="M245" s="478"/>
      <c r="N245" s="561"/>
      <c r="O245" s="8">
        <f t="shared" si="14"/>
        <v>0</v>
      </c>
      <c r="P245" s="338"/>
      <c r="Q245" s="10"/>
      <c r="R245" s="63"/>
    </row>
    <row r="246" spans="1:18" x14ac:dyDescent="0.25">
      <c r="A246" s="13">
        <f t="shared" ref="A246:A309" si="15">A245+1</f>
        <v>2</v>
      </c>
      <c r="B246" s="4"/>
      <c r="C246" s="9"/>
      <c r="D246" s="369"/>
      <c r="E246" s="481"/>
      <c r="F246" s="369"/>
      <c r="G246" s="481"/>
      <c r="H246" s="369"/>
      <c r="I246" s="481"/>
      <c r="J246" s="369"/>
      <c r="K246" s="481"/>
      <c r="L246" s="369"/>
      <c r="M246" s="481"/>
      <c r="N246" s="565"/>
      <c r="O246" s="8">
        <f t="shared" si="14"/>
        <v>0</v>
      </c>
      <c r="P246" s="338"/>
      <c r="Q246" s="10"/>
      <c r="R246" s="63"/>
    </row>
    <row r="247" spans="1:18" x14ac:dyDescent="0.25">
      <c r="A247" s="13">
        <f t="shared" si="15"/>
        <v>3</v>
      </c>
      <c r="B247" s="4"/>
      <c r="C247" s="9"/>
      <c r="D247" s="369"/>
      <c r="E247" s="481"/>
      <c r="F247" s="369"/>
      <c r="G247" s="481"/>
      <c r="H247" s="369"/>
      <c r="I247" s="481"/>
      <c r="J247" s="369"/>
      <c r="K247" s="481"/>
      <c r="L247" s="369"/>
      <c r="M247" s="481"/>
      <c r="N247" s="565"/>
      <c r="O247" s="8">
        <f t="shared" si="14"/>
        <v>0</v>
      </c>
      <c r="P247" s="338"/>
      <c r="Q247" s="10"/>
      <c r="R247" s="63"/>
    </row>
    <row r="248" spans="1:18" x14ac:dyDescent="0.25">
      <c r="A248" s="13">
        <f t="shared" si="15"/>
        <v>4</v>
      </c>
      <c r="B248" s="4"/>
      <c r="C248" s="8"/>
      <c r="D248" s="369"/>
      <c r="E248" s="481"/>
      <c r="F248" s="369"/>
      <c r="G248" s="481"/>
      <c r="H248" s="369"/>
      <c r="I248" s="481"/>
      <c r="J248" s="369"/>
      <c r="K248" s="481"/>
      <c r="L248" s="369"/>
      <c r="M248" s="481"/>
      <c r="N248" s="565"/>
      <c r="O248" s="8">
        <f t="shared" si="14"/>
        <v>0</v>
      </c>
      <c r="P248" s="338"/>
      <c r="Q248" s="10"/>
      <c r="R248" s="63"/>
    </row>
    <row r="249" spans="1:18" x14ac:dyDescent="0.25">
      <c r="A249" s="13">
        <f t="shared" si="15"/>
        <v>5</v>
      </c>
      <c r="B249" s="4"/>
      <c r="C249" s="8"/>
      <c r="D249" s="359"/>
      <c r="E249" s="478"/>
      <c r="F249" s="359"/>
      <c r="G249" s="478"/>
      <c r="H249" s="359"/>
      <c r="I249" s="478"/>
      <c r="J249" s="359"/>
      <c r="K249" s="478"/>
      <c r="L249" s="359"/>
      <c r="M249" s="478"/>
      <c r="N249" s="561"/>
      <c r="O249" s="8">
        <f t="shared" si="14"/>
        <v>0</v>
      </c>
      <c r="P249" s="338"/>
      <c r="Q249" s="10"/>
      <c r="R249" s="63"/>
    </row>
    <row r="250" spans="1:18" x14ac:dyDescent="0.25">
      <c r="A250" s="13">
        <f t="shared" si="15"/>
        <v>6</v>
      </c>
      <c r="B250" s="4"/>
      <c r="C250" s="9"/>
      <c r="D250" s="369"/>
      <c r="E250" s="481"/>
      <c r="F250" s="369"/>
      <c r="G250" s="481"/>
      <c r="H250" s="369"/>
      <c r="I250" s="481"/>
      <c r="J250" s="369"/>
      <c r="K250" s="481"/>
      <c r="L250" s="369"/>
      <c r="M250" s="481"/>
      <c r="N250" s="565"/>
      <c r="O250" s="8">
        <f t="shared" si="14"/>
        <v>0</v>
      </c>
      <c r="P250" s="338"/>
      <c r="Q250" s="10"/>
      <c r="R250" s="63"/>
    </row>
    <row r="251" spans="1:18" x14ac:dyDescent="0.25">
      <c r="A251" s="13">
        <f t="shared" si="15"/>
        <v>7</v>
      </c>
      <c r="B251" s="4"/>
      <c r="C251" s="9"/>
      <c r="D251" s="369"/>
      <c r="E251" s="481"/>
      <c r="F251" s="369"/>
      <c r="G251" s="481"/>
      <c r="H251" s="369"/>
      <c r="I251" s="481"/>
      <c r="J251" s="369"/>
      <c r="K251" s="481"/>
      <c r="L251" s="369"/>
      <c r="M251" s="481"/>
      <c r="N251" s="565"/>
      <c r="O251" s="8">
        <f t="shared" si="14"/>
        <v>0</v>
      </c>
      <c r="P251" s="338"/>
      <c r="Q251" s="10"/>
      <c r="R251" s="64"/>
    </row>
    <row r="252" spans="1:18" x14ac:dyDescent="0.25">
      <c r="A252" s="13">
        <f t="shared" si="15"/>
        <v>8</v>
      </c>
      <c r="B252" s="4"/>
      <c r="C252" s="9"/>
      <c r="D252" s="369"/>
      <c r="E252" s="481"/>
      <c r="F252" s="369"/>
      <c r="G252" s="481"/>
      <c r="H252" s="369"/>
      <c r="I252" s="481"/>
      <c r="J252" s="369"/>
      <c r="K252" s="481"/>
      <c r="L252" s="369"/>
      <c r="M252" s="481"/>
      <c r="N252" s="565"/>
      <c r="O252" s="8">
        <f t="shared" si="14"/>
        <v>0</v>
      </c>
      <c r="P252" s="338"/>
      <c r="Q252" s="10"/>
      <c r="R252" s="63"/>
    </row>
    <row r="253" spans="1:18" x14ac:dyDescent="0.25">
      <c r="A253" s="13">
        <f t="shared" si="15"/>
        <v>9</v>
      </c>
      <c r="B253" s="4"/>
      <c r="C253" s="9"/>
      <c r="D253" s="369"/>
      <c r="E253" s="481"/>
      <c r="F253" s="369"/>
      <c r="G253" s="481"/>
      <c r="H253" s="369"/>
      <c r="I253" s="481"/>
      <c r="J253" s="369"/>
      <c r="K253" s="481"/>
      <c r="L253" s="369"/>
      <c r="M253" s="481"/>
      <c r="N253" s="565"/>
      <c r="O253" s="8">
        <f t="shared" si="14"/>
        <v>0</v>
      </c>
      <c r="P253" s="338"/>
      <c r="Q253" s="10"/>
      <c r="R253" s="63"/>
    </row>
    <row r="254" spans="1:18" x14ac:dyDescent="0.25">
      <c r="A254" s="13">
        <f t="shared" si="15"/>
        <v>10</v>
      </c>
      <c r="B254" s="4"/>
      <c r="C254" s="9"/>
      <c r="D254" s="359"/>
      <c r="E254" s="478"/>
      <c r="F254" s="359"/>
      <c r="G254" s="478"/>
      <c r="H254" s="359"/>
      <c r="I254" s="478"/>
      <c r="J254" s="359"/>
      <c r="K254" s="478"/>
      <c r="L254" s="359"/>
      <c r="M254" s="478"/>
      <c r="N254" s="561"/>
      <c r="O254" s="8">
        <f t="shared" si="14"/>
        <v>0</v>
      </c>
      <c r="P254" s="338"/>
      <c r="Q254" s="10"/>
      <c r="R254" s="63"/>
    </row>
    <row r="255" spans="1:18" x14ac:dyDescent="0.25">
      <c r="A255" s="13">
        <f t="shared" si="15"/>
        <v>11</v>
      </c>
      <c r="B255" s="4"/>
      <c r="C255" s="8"/>
      <c r="D255" s="369"/>
      <c r="E255" s="481"/>
      <c r="F255" s="369"/>
      <c r="G255" s="481"/>
      <c r="H255" s="369"/>
      <c r="I255" s="481"/>
      <c r="J255" s="369"/>
      <c r="K255" s="481"/>
      <c r="L255" s="369"/>
      <c r="M255" s="481"/>
      <c r="N255" s="565"/>
      <c r="O255" s="8">
        <f t="shared" si="14"/>
        <v>0</v>
      </c>
      <c r="P255" s="338"/>
      <c r="Q255" s="10"/>
      <c r="R255" s="63"/>
    </row>
    <row r="256" spans="1:18" x14ac:dyDescent="0.25">
      <c r="A256" s="13">
        <f t="shared" si="15"/>
        <v>12</v>
      </c>
      <c r="B256" s="4"/>
      <c r="C256" s="9"/>
      <c r="D256" s="359"/>
      <c r="E256" s="478"/>
      <c r="F256" s="359"/>
      <c r="G256" s="478"/>
      <c r="H256" s="359"/>
      <c r="I256" s="478"/>
      <c r="J256" s="359"/>
      <c r="K256" s="478"/>
      <c r="L256" s="359"/>
      <c r="M256" s="478"/>
      <c r="N256" s="561"/>
      <c r="O256" s="8">
        <f t="shared" si="14"/>
        <v>0</v>
      </c>
      <c r="P256" s="338"/>
      <c r="Q256" s="10"/>
      <c r="R256" s="63"/>
    </row>
    <row r="257" spans="1:18" x14ac:dyDescent="0.25">
      <c r="A257" s="13">
        <f t="shared" si="15"/>
        <v>13</v>
      </c>
      <c r="B257" s="4"/>
      <c r="C257" s="9"/>
      <c r="D257" s="369"/>
      <c r="E257" s="481"/>
      <c r="F257" s="369"/>
      <c r="G257" s="481"/>
      <c r="H257" s="369"/>
      <c r="I257" s="481"/>
      <c r="J257" s="369"/>
      <c r="K257" s="481"/>
      <c r="L257" s="369"/>
      <c r="M257" s="481"/>
      <c r="N257" s="565"/>
      <c r="O257" s="8">
        <f t="shared" si="14"/>
        <v>0</v>
      </c>
      <c r="P257" s="338"/>
      <c r="Q257" s="10"/>
      <c r="R257" s="63"/>
    </row>
    <row r="258" spans="1:18" x14ac:dyDescent="0.25">
      <c r="A258" s="13">
        <f t="shared" si="15"/>
        <v>14</v>
      </c>
      <c r="B258" s="4"/>
      <c r="C258" s="9"/>
      <c r="D258" s="369"/>
      <c r="E258" s="481"/>
      <c r="F258" s="369"/>
      <c r="G258" s="481"/>
      <c r="H258" s="369"/>
      <c r="I258" s="481"/>
      <c r="J258" s="369"/>
      <c r="K258" s="481"/>
      <c r="L258" s="369"/>
      <c r="M258" s="481"/>
      <c r="N258" s="565"/>
      <c r="O258" s="8">
        <f t="shared" si="14"/>
        <v>0</v>
      </c>
      <c r="P258" s="338"/>
      <c r="Q258" s="10"/>
      <c r="R258" s="63"/>
    </row>
    <row r="259" spans="1:18" x14ac:dyDescent="0.25">
      <c r="A259" s="13">
        <f t="shared" si="15"/>
        <v>15</v>
      </c>
      <c r="B259" s="4"/>
      <c r="C259" s="9"/>
      <c r="D259" s="369"/>
      <c r="E259" s="481"/>
      <c r="F259" s="369"/>
      <c r="G259" s="481"/>
      <c r="H259" s="369"/>
      <c r="I259" s="481"/>
      <c r="J259" s="369"/>
      <c r="K259" s="481"/>
      <c r="L259" s="369"/>
      <c r="M259" s="481"/>
      <c r="N259" s="565"/>
      <c r="O259" s="8">
        <f t="shared" si="14"/>
        <v>0</v>
      </c>
      <c r="P259" s="338"/>
      <c r="Q259" s="10"/>
      <c r="R259" s="63"/>
    </row>
    <row r="260" spans="1:18" x14ac:dyDescent="0.25">
      <c r="A260" s="13">
        <f t="shared" si="15"/>
        <v>16</v>
      </c>
      <c r="B260" s="4"/>
      <c r="C260" s="9"/>
      <c r="D260" s="369"/>
      <c r="E260" s="481"/>
      <c r="F260" s="369"/>
      <c r="G260" s="481"/>
      <c r="H260" s="369"/>
      <c r="I260" s="481"/>
      <c r="J260" s="369"/>
      <c r="K260" s="481"/>
      <c r="L260" s="369"/>
      <c r="M260" s="481"/>
      <c r="N260" s="565"/>
      <c r="O260" s="8">
        <f t="shared" si="14"/>
        <v>0</v>
      </c>
      <c r="P260" s="338"/>
      <c r="Q260" s="10"/>
      <c r="R260" s="63"/>
    </row>
    <row r="261" spans="1:18" x14ac:dyDescent="0.25">
      <c r="A261" s="13">
        <f t="shared" si="15"/>
        <v>17</v>
      </c>
      <c r="B261" s="4"/>
      <c r="C261" s="9"/>
      <c r="D261" s="369"/>
      <c r="E261" s="481"/>
      <c r="F261" s="369"/>
      <c r="G261" s="481"/>
      <c r="H261" s="369"/>
      <c r="I261" s="481"/>
      <c r="J261" s="369"/>
      <c r="K261" s="481"/>
      <c r="L261" s="369"/>
      <c r="M261" s="481"/>
      <c r="N261" s="565"/>
      <c r="O261" s="8">
        <f t="shared" si="14"/>
        <v>0</v>
      </c>
      <c r="P261" s="338"/>
      <c r="Q261" s="10"/>
      <c r="R261" s="63"/>
    </row>
    <row r="262" spans="1:18" x14ac:dyDescent="0.25">
      <c r="A262" s="13">
        <f t="shared" si="15"/>
        <v>18</v>
      </c>
      <c r="B262" s="4"/>
      <c r="C262" s="9"/>
      <c r="D262" s="359"/>
      <c r="E262" s="478"/>
      <c r="F262" s="359"/>
      <c r="G262" s="478"/>
      <c r="H262" s="359"/>
      <c r="I262" s="478"/>
      <c r="J262" s="359"/>
      <c r="K262" s="478"/>
      <c r="L262" s="359"/>
      <c r="M262" s="478"/>
      <c r="N262" s="561"/>
      <c r="O262" s="8">
        <f t="shared" si="14"/>
        <v>0</v>
      </c>
      <c r="P262" s="338"/>
      <c r="Q262" s="10"/>
      <c r="R262" s="63"/>
    </row>
    <row r="263" spans="1:18" x14ac:dyDescent="0.25">
      <c r="A263" s="13">
        <f t="shared" si="15"/>
        <v>19</v>
      </c>
      <c r="B263" s="4"/>
      <c r="C263" s="9"/>
      <c r="D263" s="369"/>
      <c r="E263" s="481"/>
      <c r="F263" s="369"/>
      <c r="G263" s="481"/>
      <c r="H263" s="369"/>
      <c r="I263" s="481"/>
      <c r="J263" s="369"/>
      <c r="K263" s="481"/>
      <c r="L263" s="369"/>
      <c r="M263" s="481"/>
      <c r="N263" s="565"/>
      <c r="O263" s="8">
        <f t="shared" si="14"/>
        <v>0</v>
      </c>
      <c r="P263" s="338"/>
      <c r="Q263" s="10"/>
      <c r="R263" s="63"/>
    </row>
    <row r="264" spans="1:18" x14ac:dyDescent="0.25">
      <c r="A264" s="13">
        <f t="shared" si="15"/>
        <v>20</v>
      </c>
      <c r="B264" s="4"/>
      <c r="C264" s="9"/>
      <c r="D264" s="369"/>
      <c r="E264" s="481"/>
      <c r="F264" s="369"/>
      <c r="G264" s="481"/>
      <c r="H264" s="369"/>
      <c r="I264" s="481"/>
      <c r="J264" s="369"/>
      <c r="K264" s="481"/>
      <c r="L264" s="369"/>
      <c r="M264" s="481"/>
      <c r="N264" s="565"/>
      <c r="O264" s="8">
        <f t="shared" si="14"/>
        <v>0</v>
      </c>
      <c r="P264" s="338"/>
      <c r="Q264" s="10"/>
      <c r="R264" s="63"/>
    </row>
    <row r="265" spans="1:18" x14ac:dyDescent="0.25">
      <c r="A265" s="13">
        <f t="shared" si="15"/>
        <v>21</v>
      </c>
      <c r="B265" s="4"/>
      <c r="C265" s="9"/>
      <c r="D265" s="369"/>
      <c r="E265" s="481"/>
      <c r="F265" s="369"/>
      <c r="G265" s="481"/>
      <c r="H265" s="369"/>
      <c r="I265" s="481"/>
      <c r="J265" s="369"/>
      <c r="K265" s="481"/>
      <c r="L265" s="369"/>
      <c r="M265" s="481"/>
      <c r="N265" s="565"/>
      <c r="O265" s="8">
        <f t="shared" si="14"/>
        <v>0</v>
      </c>
      <c r="P265" s="338"/>
      <c r="Q265" s="10"/>
      <c r="R265" s="63"/>
    </row>
    <row r="266" spans="1:18" x14ac:dyDescent="0.25">
      <c r="A266" s="13">
        <f t="shared" si="15"/>
        <v>22</v>
      </c>
      <c r="B266" s="4"/>
      <c r="C266" s="8"/>
      <c r="D266" s="369"/>
      <c r="E266" s="481"/>
      <c r="F266" s="369"/>
      <c r="G266" s="481"/>
      <c r="H266" s="369"/>
      <c r="I266" s="481"/>
      <c r="J266" s="369"/>
      <c r="K266" s="481"/>
      <c r="L266" s="369"/>
      <c r="M266" s="481"/>
      <c r="N266" s="565"/>
      <c r="O266" s="8">
        <f t="shared" si="14"/>
        <v>0</v>
      </c>
      <c r="P266" s="338"/>
      <c r="Q266" s="10"/>
      <c r="R266" s="63"/>
    </row>
    <row r="267" spans="1:18" x14ac:dyDescent="0.25">
      <c r="A267" s="13">
        <f t="shared" si="15"/>
        <v>23</v>
      </c>
      <c r="B267" s="4"/>
      <c r="C267" s="8"/>
      <c r="D267" s="359"/>
      <c r="E267" s="478"/>
      <c r="F267" s="359"/>
      <c r="G267" s="478"/>
      <c r="H267" s="359"/>
      <c r="I267" s="478"/>
      <c r="J267" s="359"/>
      <c r="K267" s="478"/>
      <c r="L267" s="359"/>
      <c r="M267" s="478"/>
      <c r="N267" s="561"/>
      <c r="O267" s="8">
        <f t="shared" si="14"/>
        <v>0</v>
      </c>
      <c r="P267" s="338"/>
      <c r="Q267" s="10"/>
      <c r="R267" s="63"/>
    </row>
    <row r="268" spans="1:18" x14ac:dyDescent="0.25">
      <c r="A268" s="13">
        <f t="shared" si="15"/>
        <v>24</v>
      </c>
      <c r="B268" s="4"/>
      <c r="C268" s="8"/>
      <c r="D268" s="369"/>
      <c r="E268" s="481"/>
      <c r="F268" s="369"/>
      <c r="G268" s="481"/>
      <c r="H268" s="369"/>
      <c r="I268" s="481"/>
      <c r="J268" s="369"/>
      <c r="K268" s="481"/>
      <c r="L268" s="369"/>
      <c r="M268" s="481"/>
      <c r="N268" s="565"/>
      <c r="O268" s="8">
        <f t="shared" si="14"/>
        <v>0</v>
      </c>
      <c r="P268" s="338"/>
      <c r="Q268" s="10"/>
      <c r="R268" s="63"/>
    </row>
    <row r="269" spans="1:18" x14ac:dyDescent="0.25">
      <c r="A269" s="13">
        <f t="shared" si="15"/>
        <v>25</v>
      </c>
      <c r="B269" s="4"/>
      <c r="C269" s="9"/>
      <c r="D269" s="369"/>
      <c r="E269" s="481"/>
      <c r="F269" s="369"/>
      <c r="G269" s="481"/>
      <c r="H269" s="369"/>
      <c r="I269" s="481"/>
      <c r="J269" s="369"/>
      <c r="K269" s="481"/>
      <c r="L269" s="369"/>
      <c r="M269" s="481"/>
      <c r="N269" s="565"/>
      <c r="O269" s="8">
        <f t="shared" si="14"/>
        <v>0</v>
      </c>
      <c r="P269" s="338"/>
      <c r="Q269" s="10"/>
      <c r="R269" s="63"/>
    </row>
    <row r="270" spans="1:18" x14ac:dyDescent="0.25">
      <c r="A270" s="13">
        <f t="shared" si="15"/>
        <v>26</v>
      </c>
      <c r="B270" s="4"/>
      <c r="C270" s="9"/>
      <c r="D270" s="359"/>
      <c r="E270" s="478"/>
      <c r="F270" s="359"/>
      <c r="G270" s="478"/>
      <c r="H270" s="359"/>
      <c r="I270" s="478"/>
      <c r="J270" s="359"/>
      <c r="K270" s="478"/>
      <c r="L270" s="359"/>
      <c r="M270" s="478"/>
      <c r="N270" s="561"/>
      <c r="O270" s="8">
        <f t="shared" si="14"/>
        <v>0</v>
      </c>
      <c r="P270" s="338"/>
      <c r="Q270" s="10"/>
      <c r="R270" s="63"/>
    </row>
    <row r="271" spans="1:18" x14ac:dyDescent="0.25">
      <c r="A271" s="13">
        <f t="shared" si="15"/>
        <v>27</v>
      </c>
      <c r="B271" s="4"/>
      <c r="C271" s="8"/>
      <c r="D271" s="369"/>
      <c r="E271" s="481"/>
      <c r="F271" s="369"/>
      <c r="G271" s="481"/>
      <c r="H271" s="369"/>
      <c r="I271" s="481"/>
      <c r="J271" s="369"/>
      <c r="K271" s="481"/>
      <c r="L271" s="369"/>
      <c r="M271" s="481"/>
      <c r="N271" s="565"/>
      <c r="O271" s="8">
        <f t="shared" si="14"/>
        <v>0</v>
      </c>
      <c r="P271" s="338"/>
      <c r="Q271" s="10"/>
      <c r="R271" s="63"/>
    </row>
    <row r="272" spans="1:18" x14ac:dyDescent="0.25">
      <c r="A272" s="13">
        <f t="shared" si="15"/>
        <v>28</v>
      </c>
      <c r="B272" s="4"/>
      <c r="C272" s="9"/>
      <c r="D272" s="369"/>
      <c r="E272" s="481"/>
      <c r="F272" s="369"/>
      <c r="G272" s="481"/>
      <c r="H272" s="369"/>
      <c r="I272" s="481"/>
      <c r="J272" s="369"/>
      <c r="K272" s="481"/>
      <c r="L272" s="369"/>
      <c r="M272" s="481"/>
      <c r="N272" s="565"/>
      <c r="O272" s="8">
        <f t="shared" si="14"/>
        <v>0</v>
      </c>
      <c r="P272" s="338"/>
      <c r="Q272" s="10"/>
      <c r="R272" s="63"/>
    </row>
    <row r="273" spans="1:18" x14ac:dyDescent="0.25">
      <c r="A273" s="13">
        <f t="shared" si="15"/>
        <v>29</v>
      </c>
      <c r="B273" s="4"/>
      <c r="C273" s="9"/>
      <c r="D273" s="359"/>
      <c r="E273" s="478"/>
      <c r="F273" s="359"/>
      <c r="G273" s="478"/>
      <c r="H273" s="359"/>
      <c r="I273" s="478"/>
      <c r="J273" s="359"/>
      <c r="K273" s="478"/>
      <c r="L273" s="359"/>
      <c r="M273" s="478"/>
      <c r="N273" s="561"/>
      <c r="O273" s="8">
        <f t="shared" si="14"/>
        <v>0</v>
      </c>
      <c r="P273" s="338"/>
      <c r="Q273" s="10"/>
      <c r="R273" s="63"/>
    </row>
    <row r="274" spans="1:18" x14ac:dyDescent="0.25">
      <c r="A274" s="13">
        <f t="shared" si="15"/>
        <v>30</v>
      </c>
      <c r="B274" s="4"/>
      <c r="C274" s="9"/>
      <c r="D274" s="369"/>
      <c r="E274" s="481"/>
      <c r="F274" s="369"/>
      <c r="G274" s="481"/>
      <c r="H274" s="369"/>
      <c r="I274" s="481"/>
      <c r="J274" s="369"/>
      <c r="K274" s="481"/>
      <c r="L274" s="369"/>
      <c r="M274" s="481"/>
      <c r="N274" s="565"/>
      <c r="O274" s="8">
        <f t="shared" si="14"/>
        <v>0</v>
      </c>
      <c r="P274" s="338"/>
      <c r="Q274" s="10"/>
      <c r="R274" s="63"/>
    </row>
    <row r="275" spans="1:18" x14ac:dyDescent="0.25">
      <c r="A275" s="13">
        <f t="shared" si="15"/>
        <v>31</v>
      </c>
      <c r="B275" s="4"/>
      <c r="C275" s="9"/>
      <c r="D275" s="369"/>
      <c r="E275" s="481"/>
      <c r="F275" s="369"/>
      <c r="G275" s="481"/>
      <c r="H275" s="369"/>
      <c r="I275" s="481"/>
      <c r="J275" s="369"/>
      <c r="K275" s="481"/>
      <c r="L275" s="369"/>
      <c r="M275" s="481"/>
      <c r="N275" s="565"/>
      <c r="O275" s="8">
        <f t="shared" si="14"/>
        <v>0</v>
      </c>
      <c r="P275" s="338"/>
      <c r="Q275" s="10"/>
      <c r="R275" s="63"/>
    </row>
    <row r="276" spans="1:18" x14ac:dyDescent="0.25">
      <c r="A276" s="13">
        <f t="shared" si="15"/>
        <v>32</v>
      </c>
      <c r="B276" s="4"/>
      <c r="C276" s="9"/>
      <c r="D276" s="369"/>
      <c r="E276" s="481"/>
      <c r="F276" s="369"/>
      <c r="G276" s="481"/>
      <c r="H276" s="369"/>
      <c r="I276" s="481"/>
      <c r="J276" s="369"/>
      <c r="K276" s="481"/>
      <c r="L276" s="369"/>
      <c r="M276" s="481"/>
      <c r="N276" s="565"/>
      <c r="O276" s="8">
        <f t="shared" si="14"/>
        <v>0</v>
      </c>
      <c r="P276" s="338"/>
      <c r="Q276" s="10"/>
      <c r="R276" s="63"/>
    </row>
    <row r="277" spans="1:18" x14ac:dyDescent="0.25">
      <c r="A277" s="13">
        <f t="shared" si="15"/>
        <v>33</v>
      </c>
      <c r="B277" s="4"/>
      <c r="C277" s="8"/>
      <c r="D277" s="369"/>
      <c r="E277" s="481"/>
      <c r="F277" s="369"/>
      <c r="G277" s="481"/>
      <c r="H277" s="369"/>
      <c r="I277" s="481"/>
      <c r="J277" s="369"/>
      <c r="K277" s="481"/>
      <c r="L277" s="369"/>
      <c r="M277" s="481"/>
      <c r="N277" s="565"/>
      <c r="O277" s="8">
        <f t="shared" si="14"/>
        <v>0</v>
      </c>
      <c r="P277" s="338"/>
      <c r="Q277" s="10"/>
      <c r="R277" s="63"/>
    </row>
    <row r="278" spans="1:18" x14ac:dyDescent="0.25">
      <c r="A278" s="13">
        <f t="shared" si="15"/>
        <v>34</v>
      </c>
      <c r="B278" s="4"/>
      <c r="C278" s="9"/>
      <c r="D278" s="359"/>
      <c r="E278" s="478"/>
      <c r="F278" s="359"/>
      <c r="G278" s="478"/>
      <c r="H278" s="359"/>
      <c r="I278" s="478"/>
      <c r="J278" s="359"/>
      <c r="K278" s="478"/>
      <c r="L278" s="359"/>
      <c r="M278" s="478"/>
      <c r="N278" s="561"/>
      <c r="O278" s="8">
        <f t="shared" si="14"/>
        <v>0</v>
      </c>
      <c r="P278" s="338"/>
      <c r="Q278" s="10"/>
      <c r="R278" s="63"/>
    </row>
    <row r="279" spans="1:18" x14ac:dyDescent="0.25">
      <c r="A279" s="13">
        <f t="shared" si="15"/>
        <v>35</v>
      </c>
      <c r="B279" s="4"/>
      <c r="C279" s="9"/>
      <c r="D279" s="369"/>
      <c r="E279" s="481"/>
      <c r="F279" s="369"/>
      <c r="G279" s="481"/>
      <c r="H279" s="369"/>
      <c r="I279" s="481"/>
      <c r="J279" s="369"/>
      <c r="K279" s="481"/>
      <c r="L279" s="369"/>
      <c r="M279" s="481"/>
      <c r="N279" s="565"/>
      <c r="O279" s="8">
        <f t="shared" si="14"/>
        <v>0</v>
      </c>
      <c r="P279" s="338"/>
      <c r="Q279" s="10"/>
      <c r="R279" s="63"/>
    </row>
    <row r="280" spans="1:18" x14ac:dyDescent="0.25">
      <c r="A280" s="13">
        <f t="shared" si="15"/>
        <v>36</v>
      </c>
      <c r="B280" s="4"/>
      <c r="C280" s="9"/>
      <c r="D280" s="369"/>
      <c r="E280" s="481"/>
      <c r="F280" s="369"/>
      <c r="G280" s="481"/>
      <c r="H280" s="369"/>
      <c r="I280" s="481"/>
      <c r="J280" s="369"/>
      <c r="K280" s="481"/>
      <c r="L280" s="369"/>
      <c r="M280" s="481"/>
      <c r="N280" s="565"/>
      <c r="O280" s="8">
        <f t="shared" si="14"/>
        <v>0</v>
      </c>
      <c r="P280" s="338"/>
      <c r="Q280" s="10"/>
      <c r="R280" s="63"/>
    </row>
    <row r="281" spans="1:18" x14ac:dyDescent="0.25">
      <c r="A281" s="13">
        <f t="shared" si="15"/>
        <v>37</v>
      </c>
      <c r="B281" s="4"/>
      <c r="C281" s="9"/>
      <c r="D281" s="369"/>
      <c r="E281" s="481"/>
      <c r="F281" s="369"/>
      <c r="G281" s="481"/>
      <c r="H281" s="369"/>
      <c r="I281" s="481"/>
      <c r="J281" s="369"/>
      <c r="K281" s="481"/>
      <c r="L281" s="369"/>
      <c r="M281" s="481"/>
      <c r="N281" s="565"/>
      <c r="O281" s="8">
        <f t="shared" si="14"/>
        <v>0</v>
      </c>
      <c r="P281" s="338"/>
      <c r="Q281" s="10"/>
      <c r="R281" s="63"/>
    </row>
    <row r="282" spans="1:18" x14ac:dyDescent="0.25">
      <c r="A282" s="13">
        <f t="shared" si="15"/>
        <v>38</v>
      </c>
      <c r="B282" s="4"/>
      <c r="C282" s="9"/>
      <c r="D282" s="369"/>
      <c r="E282" s="481"/>
      <c r="F282" s="369"/>
      <c r="G282" s="481"/>
      <c r="H282" s="369"/>
      <c r="I282" s="481"/>
      <c r="J282" s="369"/>
      <c r="K282" s="481"/>
      <c r="L282" s="369"/>
      <c r="M282" s="481"/>
      <c r="N282" s="565"/>
      <c r="O282" s="8">
        <f t="shared" si="14"/>
        <v>0</v>
      </c>
      <c r="P282" s="338"/>
      <c r="Q282" s="10"/>
      <c r="R282" s="63"/>
    </row>
    <row r="283" spans="1:18" x14ac:dyDescent="0.25">
      <c r="A283" s="13">
        <f t="shared" si="15"/>
        <v>39</v>
      </c>
      <c r="B283" s="4"/>
      <c r="C283" s="9"/>
      <c r="D283" s="359"/>
      <c r="E283" s="478"/>
      <c r="F283" s="359"/>
      <c r="G283" s="478"/>
      <c r="H283" s="359"/>
      <c r="I283" s="478"/>
      <c r="J283" s="359"/>
      <c r="K283" s="478"/>
      <c r="L283" s="359"/>
      <c r="M283" s="478"/>
      <c r="N283" s="561"/>
      <c r="O283" s="8">
        <f t="shared" si="14"/>
        <v>0</v>
      </c>
      <c r="P283" s="338"/>
      <c r="Q283" s="10"/>
      <c r="R283" s="63"/>
    </row>
    <row r="284" spans="1:18" x14ac:dyDescent="0.25">
      <c r="A284" s="13">
        <f t="shared" si="15"/>
        <v>40</v>
      </c>
      <c r="B284" s="4"/>
      <c r="C284" s="9"/>
      <c r="D284" s="369"/>
      <c r="E284" s="481"/>
      <c r="F284" s="369"/>
      <c r="G284" s="481"/>
      <c r="H284" s="369"/>
      <c r="I284" s="481"/>
      <c r="J284" s="369"/>
      <c r="K284" s="481"/>
      <c r="L284" s="369"/>
      <c r="M284" s="481"/>
      <c r="N284" s="565"/>
      <c r="O284" s="8">
        <f t="shared" si="14"/>
        <v>0</v>
      </c>
      <c r="P284" s="338"/>
      <c r="Q284" s="10"/>
      <c r="R284" s="63"/>
    </row>
    <row r="285" spans="1:18" x14ac:dyDescent="0.25">
      <c r="A285" s="13">
        <f t="shared" si="15"/>
        <v>41</v>
      </c>
      <c r="B285" s="4"/>
      <c r="C285" s="9"/>
      <c r="D285" s="369"/>
      <c r="E285" s="481"/>
      <c r="F285" s="369"/>
      <c r="G285" s="481"/>
      <c r="H285" s="369"/>
      <c r="I285" s="481"/>
      <c r="J285" s="369"/>
      <c r="K285" s="481"/>
      <c r="L285" s="369"/>
      <c r="M285" s="481"/>
      <c r="N285" s="565"/>
      <c r="O285" s="8">
        <f t="shared" si="14"/>
        <v>0</v>
      </c>
      <c r="P285" s="338"/>
      <c r="Q285" s="10"/>
      <c r="R285" s="63"/>
    </row>
    <row r="286" spans="1:18" x14ac:dyDescent="0.25">
      <c r="A286" s="13">
        <f t="shared" si="15"/>
        <v>42</v>
      </c>
      <c r="B286" s="4"/>
      <c r="C286" s="9"/>
      <c r="D286" s="359"/>
      <c r="E286" s="478"/>
      <c r="F286" s="359"/>
      <c r="G286" s="478"/>
      <c r="H286" s="359"/>
      <c r="I286" s="478"/>
      <c r="J286" s="359"/>
      <c r="K286" s="478"/>
      <c r="L286" s="359"/>
      <c r="M286" s="478"/>
      <c r="N286" s="561"/>
      <c r="O286" s="8">
        <f t="shared" si="14"/>
        <v>0</v>
      </c>
      <c r="P286" s="338"/>
      <c r="Q286" s="10"/>
      <c r="R286" s="63"/>
    </row>
    <row r="287" spans="1:18" x14ac:dyDescent="0.25">
      <c r="A287" s="13">
        <f t="shared" si="15"/>
        <v>43</v>
      </c>
      <c r="B287" s="4"/>
      <c r="C287" s="8"/>
      <c r="D287" s="369"/>
      <c r="E287" s="481"/>
      <c r="F287" s="369"/>
      <c r="G287" s="481"/>
      <c r="H287" s="369"/>
      <c r="I287" s="481"/>
      <c r="J287" s="369"/>
      <c r="K287" s="481"/>
      <c r="L287" s="369"/>
      <c r="M287" s="481"/>
      <c r="N287" s="565"/>
      <c r="O287" s="8">
        <f t="shared" si="14"/>
        <v>0</v>
      </c>
      <c r="P287" s="338"/>
      <c r="Q287" s="10"/>
      <c r="R287" s="63"/>
    </row>
    <row r="288" spans="1:18" x14ac:dyDescent="0.25">
      <c r="A288" s="13">
        <f t="shared" si="15"/>
        <v>44</v>
      </c>
      <c r="B288" s="4"/>
      <c r="C288" s="9"/>
      <c r="D288" s="369"/>
      <c r="E288" s="481"/>
      <c r="F288" s="369"/>
      <c r="G288" s="481"/>
      <c r="H288" s="369"/>
      <c r="I288" s="481"/>
      <c r="J288" s="369"/>
      <c r="K288" s="481"/>
      <c r="L288" s="369"/>
      <c r="M288" s="481"/>
      <c r="N288" s="565"/>
      <c r="O288" s="8">
        <f t="shared" si="14"/>
        <v>0</v>
      </c>
      <c r="P288" s="338"/>
      <c r="Q288" s="10"/>
      <c r="R288" s="63"/>
    </row>
    <row r="289" spans="1:18" x14ac:dyDescent="0.25">
      <c r="A289" s="13">
        <f t="shared" si="15"/>
        <v>45</v>
      </c>
      <c r="B289" s="4"/>
      <c r="C289" s="9"/>
      <c r="D289" s="359"/>
      <c r="E289" s="478"/>
      <c r="F289" s="359"/>
      <c r="G289" s="478"/>
      <c r="H289" s="359"/>
      <c r="I289" s="478"/>
      <c r="J289" s="359"/>
      <c r="K289" s="478"/>
      <c r="L289" s="359"/>
      <c r="M289" s="478"/>
      <c r="N289" s="561"/>
      <c r="O289" s="8">
        <f t="shared" si="14"/>
        <v>0</v>
      </c>
      <c r="P289" s="338"/>
      <c r="Q289" s="10"/>
      <c r="R289" s="63"/>
    </row>
    <row r="290" spans="1:18" x14ac:dyDescent="0.25">
      <c r="A290" s="13">
        <f t="shared" si="15"/>
        <v>46</v>
      </c>
      <c r="B290" s="4"/>
      <c r="C290" s="8"/>
      <c r="D290" s="369"/>
      <c r="E290" s="481"/>
      <c r="F290" s="369"/>
      <c r="G290" s="481"/>
      <c r="H290" s="369"/>
      <c r="I290" s="481"/>
      <c r="J290" s="369"/>
      <c r="K290" s="481"/>
      <c r="L290" s="369"/>
      <c r="M290" s="481"/>
      <c r="N290" s="565"/>
      <c r="O290" s="8">
        <f t="shared" si="14"/>
        <v>0</v>
      </c>
      <c r="P290" s="338"/>
      <c r="Q290" s="10"/>
      <c r="R290" s="64"/>
    </row>
    <row r="291" spans="1:18" x14ac:dyDescent="0.25">
      <c r="A291" s="13">
        <f t="shared" si="15"/>
        <v>47</v>
      </c>
      <c r="B291" s="4"/>
      <c r="C291" s="8"/>
      <c r="D291" s="369"/>
      <c r="E291" s="481"/>
      <c r="F291" s="369"/>
      <c r="G291" s="481"/>
      <c r="H291" s="369"/>
      <c r="I291" s="481"/>
      <c r="J291" s="369"/>
      <c r="K291" s="481"/>
      <c r="L291" s="369"/>
      <c r="M291" s="481"/>
      <c r="N291" s="565"/>
      <c r="O291" s="8">
        <f t="shared" si="14"/>
        <v>0</v>
      </c>
      <c r="P291" s="338"/>
      <c r="Q291" s="10"/>
      <c r="R291" s="63"/>
    </row>
    <row r="292" spans="1:18" x14ac:dyDescent="0.25">
      <c r="A292" s="13">
        <f t="shared" si="15"/>
        <v>48</v>
      </c>
      <c r="B292" s="4"/>
      <c r="C292" s="9"/>
      <c r="D292" s="369"/>
      <c r="E292" s="481"/>
      <c r="F292" s="369"/>
      <c r="G292" s="481"/>
      <c r="H292" s="369"/>
      <c r="I292" s="481"/>
      <c r="J292" s="369"/>
      <c r="K292" s="481"/>
      <c r="L292" s="369"/>
      <c r="M292" s="481"/>
      <c r="N292" s="565"/>
      <c r="O292" s="8">
        <f t="shared" si="14"/>
        <v>0</v>
      </c>
      <c r="P292" s="338"/>
      <c r="Q292" s="10"/>
      <c r="R292" s="63"/>
    </row>
    <row r="293" spans="1:18" x14ac:dyDescent="0.25">
      <c r="A293" s="13">
        <f t="shared" si="15"/>
        <v>49</v>
      </c>
      <c r="B293" s="4"/>
      <c r="C293" s="9"/>
      <c r="D293" s="369"/>
      <c r="E293" s="481"/>
      <c r="F293" s="369"/>
      <c r="G293" s="481"/>
      <c r="H293" s="369"/>
      <c r="I293" s="481"/>
      <c r="J293" s="369"/>
      <c r="K293" s="481"/>
      <c r="L293" s="369"/>
      <c r="M293" s="481"/>
      <c r="N293" s="565"/>
      <c r="O293" s="8">
        <f t="shared" si="14"/>
        <v>0</v>
      </c>
      <c r="P293" s="338"/>
      <c r="Q293" s="10"/>
      <c r="R293" s="63"/>
    </row>
    <row r="294" spans="1:18" x14ac:dyDescent="0.25">
      <c r="A294" s="13">
        <f t="shared" si="15"/>
        <v>50</v>
      </c>
      <c r="B294" s="4"/>
      <c r="C294" s="9"/>
      <c r="D294" s="369"/>
      <c r="E294" s="481"/>
      <c r="F294" s="369"/>
      <c r="G294" s="481"/>
      <c r="H294" s="369"/>
      <c r="I294" s="481"/>
      <c r="J294" s="369"/>
      <c r="K294" s="481"/>
      <c r="L294" s="369"/>
      <c r="M294" s="481"/>
      <c r="N294" s="565"/>
      <c r="O294" s="8">
        <f t="shared" si="14"/>
        <v>0</v>
      </c>
      <c r="P294" s="338"/>
      <c r="Q294" s="10"/>
      <c r="R294" s="63"/>
    </row>
    <row r="295" spans="1:18" x14ac:dyDescent="0.25">
      <c r="A295" s="13">
        <f t="shared" si="15"/>
        <v>51</v>
      </c>
      <c r="B295" s="4"/>
      <c r="C295" s="9"/>
      <c r="D295" s="369"/>
      <c r="E295" s="481"/>
      <c r="F295" s="369"/>
      <c r="G295" s="481"/>
      <c r="H295" s="369"/>
      <c r="I295" s="481"/>
      <c r="J295" s="369"/>
      <c r="K295" s="481"/>
      <c r="L295" s="369"/>
      <c r="M295" s="481"/>
      <c r="N295" s="565"/>
      <c r="O295" s="8">
        <f t="shared" si="14"/>
        <v>0</v>
      </c>
      <c r="P295" s="338"/>
      <c r="Q295" s="10"/>
      <c r="R295" s="63"/>
    </row>
    <row r="296" spans="1:18" x14ac:dyDescent="0.25">
      <c r="A296" s="13">
        <f t="shared" si="15"/>
        <v>52</v>
      </c>
      <c r="B296" s="4"/>
      <c r="C296" s="8"/>
      <c r="D296" s="369"/>
      <c r="E296" s="481"/>
      <c r="F296" s="369"/>
      <c r="G296" s="481"/>
      <c r="H296" s="369"/>
      <c r="I296" s="481"/>
      <c r="J296" s="369"/>
      <c r="K296" s="481"/>
      <c r="L296" s="369"/>
      <c r="M296" s="481"/>
      <c r="N296" s="565"/>
      <c r="O296" s="8">
        <f t="shared" si="14"/>
        <v>0</v>
      </c>
      <c r="P296" s="338"/>
      <c r="Q296" s="10"/>
      <c r="R296" s="63"/>
    </row>
    <row r="297" spans="1:18" x14ac:dyDescent="0.25">
      <c r="A297" s="13">
        <f t="shared" si="15"/>
        <v>53</v>
      </c>
      <c r="B297" s="4"/>
      <c r="C297" s="9"/>
      <c r="D297" s="369"/>
      <c r="E297" s="481"/>
      <c r="F297" s="369"/>
      <c r="G297" s="481"/>
      <c r="H297" s="369"/>
      <c r="I297" s="481"/>
      <c r="J297" s="369"/>
      <c r="K297" s="481"/>
      <c r="L297" s="369"/>
      <c r="M297" s="481"/>
      <c r="N297" s="565"/>
      <c r="O297" s="8">
        <f t="shared" si="14"/>
        <v>0</v>
      </c>
      <c r="P297" s="338"/>
      <c r="Q297" s="10"/>
      <c r="R297" s="63"/>
    </row>
    <row r="298" spans="1:18" x14ac:dyDescent="0.25">
      <c r="A298" s="13">
        <f t="shared" si="15"/>
        <v>54</v>
      </c>
      <c r="B298" s="4"/>
      <c r="C298" s="9"/>
      <c r="D298" s="369"/>
      <c r="E298" s="481"/>
      <c r="F298" s="369"/>
      <c r="G298" s="481"/>
      <c r="H298" s="369"/>
      <c r="I298" s="481"/>
      <c r="J298" s="369"/>
      <c r="K298" s="481"/>
      <c r="L298" s="369"/>
      <c r="M298" s="481"/>
      <c r="N298" s="565"/>
      <c r="O298" s="8">
        <f t="shared" si="14"/>
        <v>0</v>
      </c>
      <c r="P298" s="338"/>
      <c r="Q298" s="10"/>
      <c r="R298" s="63"/>
    </row>
    <row r="299" spans="1:18" x14ac:dyDescent="0.25">
      <c r="A299" s="13">
        <f t="shared" si="15"/>
        <v>55</v>
      </c>
      <c r="B299" s="4"/>
      <c r="C299" s="8"/>
      <c r="D299" s="359"/>
      <c r="E299" s="478"/>
      <c r="F299" s="359"/>
      <c r="G299" s="478"/>
      <c r="H299" s="359"/>
      <c r="I299" s="478"/>
      <c r="J299" s="359"/>
      <c r="K299" s="478"/>
      <c r="L299" s="359"/>
      <c r="M299" s="478"/>
      <c r="N299" s="561"/>
      <c r="O299" s="8">
        <f t="shared" si="14"/>
        <v>0</v>
      </c>
      <c r="P299" s="338"/>
      <c r="Q299" s="10"/>
      <c r="R299" s="63"/>
    </row>
    <row r="300" spans="1:18" x14ac:dyDescent="0.25">
      <c r="A300" s="13">
        <f t="shared" si="15"/>
        <v>56</v>
      </c>
      <c r="B300" s="4"/>
      <c r="C300" s="9"/>
      <c r="D300" s="369"/>
      <c r="E300" s="481"/>
      <c r="F300" s="369"/>
      <c r="G300" s="481"/>
      <c r="H300" s="369"/>
      <c r="I300" s="481"/>
      <c r="J300" s="369"/>
      <c r="K300" s="481"/>
      <c r="L300" s="369"/>
      <c r="M300" s="481"/>
      <c r="N300" s="565"/>
      <c r="O300" s="8">
        <f t="shared" si="14"/>
        <v>0</v>
      </c>
      <c r="P300" s="338"/>
      <c r="Q300" s="10"/>
      <c r="R300" s="63"/>
    </row>
    <row r="301" spans="1:18" x14ac:dyDescent="0.25">
      <c r="A301" s="13">
        <f t="shared" si="15"/>
        <v>57</v>
      </c>
      <c r="B301" s="4"/>
      <c r="C301" s="9"/>
      <c r="D301" s="369"/>
      <c r="E301" s="481"/>
      <c r="F301" s="369"/>
      <c r="G301" s="481"/>
      <c r="H301" s="369"/>
      <c r="I301" s="481"/>
      <c r="J301" s="369"/>
      <c r="K301" s="481"/>
      <c r="L301" s="369"/>
      <c r="M301" s="481"/>
      <c r="N301" s="565"/>
      <c r="O301" s="8">
        <f t="shared" si="14"/>
        <v>0</v>
      </c>
      <c r="P301" s="338"/>
      <c r="Q301" s="10"/>
      <c r="R301" s="63"/>
    </row>
    <row r="302" spans="1:18" x14ac:dyDescent="0.25">
      <c r="A302" s="13">
        <f t="shared" si="15"/>
        <v>58</v>
      </c>
      <c r="B302" s="4"/>
      <c r="C302" s="8"/>
      <c r="D302" s="369"/>
      <c r="E302" s="481"/>
      <c r="F302" s="369"/>
      <c r="G302" s="481"/>
      <c r="H302" s="369"/>
      <c r="I302" s="481"/>
      <c r="J302" s="369"/>
      <c r="K302" s="481"/>
      <c r="L302" s="369"/>
      <c r="M302" s="481"/>
      <c r="N302" s="565"/>
      <c r="O302" s="8">
        <f t="shared" si="14"/>
        <v>0</v>
      </c>
      <c r="P302" s="338"/>
      <c r="Q302" s="10"/>
      <c r="R302" s="63"/>
    </row>
    <row r="303" spans="1:18" x14ac:dyDescent="0.25">
      <c r="A303" s="13">
        <f t="shared" si="15"/>
        <v>59</v>
      </c>
      <c r="B303" s="4"/>
      <c r="C303" s="9"/>
      <c r="D303" s="369"/>
      <c r="E303" s="481"/>
      <c r="F303" s="369"/>
      <c r="G303" s="481"/>
      <c r="H303" s="369"/>
      <c r="I303" s="481"/>
      <c r="J303" s="369"/>
      <c r="K303" s="481"/>
      <c r="L303" s="369"/>
      <c r="M303" s="481"/>
      <c r="N303" s="565"/>
      <c r="O303" s="8">
        <f t="shared" si="14"/>
        <v>0</v>
      </c>
      <c r="P303" s="338"/>
      <c r="Q303" s="10"/>
      <c r="R303" s="63"/>
    </row>
    <row r="304" spans="1:18" x14ac:dyDescent="0.25">
      <c r="A304" s="13">
        <f t="shared" si="15"/>
        <v>60</v>
      </c>
      <c r="B304" s="4"/>
      <c r="C304" s="9"/>
      <c r="D304" s="369"/>
      <c r="E304" s="481"/>
      <c r="F304" s="369"/>
      <c r="G304" s="481"/>
      <c r="H304" s="369"/>
      <c r="I304" s="481"/>
      <c r="J304" s="369"/>
      <c r="K304" s="481"/>
      <c r="L304" s="369"/>
      <c r="M304" s="481"/>
      <c r="N304" s="565"/>
      <c r="O304" s="8">
        <f t="shared" ref="O304:O342" si="16">SUM(C304:N304)</f>
        <v>0</v>
      </c>
      <c r="P304" s="338"/>
      <c r="Q304" s="10"/>
      <c r="R304" s="63"/>
    </row>
    <row r="305" spans="1:18" x14ac:dyDescent="0.25">
      <c r="A305" s="13">
        <f t="shared" si="15"/>
        <v>61</v>
      </c>
      <c r="B305" s="4"/>
      <c r="C305" s="8"/>
      <c r="D305" s="369"/>
      <c r="E305" s="481"/>
      <c r="F305" s="369"/>
      <c r="G305" s="481"/>
      <c r="H305" s="369"/>
      <c r="I305" s="481"/>
      <c r="J305" s="369"/>
      <c r="K305" s="481"/>
      <c r="L305" s="369"/>
      <c r="M305" s="481"/>
      <c r="N305" s="565"/>
      <c r="O305" s="8">
        <f t="shared" si="16"/>
        <v>0</v>
      </c>
      <c r="P305" s="338"/>
      <c r="Q305" s="10"/>
      <c r="R305" s="63"/>
    </row>
    <row r="306" spans="1:18" x14ac:dyDescent="0.25">
      <c r="A306" s="13">
        <f t="shared" si="15"/>
        <v>62</v>
      </c>
      <c r="B306" s="4"/>
      <c r="C306" s="9"/>
      <c r="D306" s="359"/>
      <c r="E306" s="478"/>
      <c r="F306" s="359"/>
      <c r="G306" s="478"/>
      <c r="H306" s="359"/>
      <c r="I306" s="478"/>
      <c r="J306" s="359"/>
      <c r="K306" s="478"/>
      <c r="L306" s="359"/>
      <c r="M306" s="478"/>
      <c r="N306" s="561"/>
      <c r="O306" s="8">
        <f t="shared" si="16"/>
        <v>0</v>
      </c>
      <c r="P306" s="338"/>
      <c r="Q306" s="10"/>
      <c r="R306" s="63"/>
    </row>
    <row r="307" spans="1:18" x14ac:dyDescent="0.25">
      <c r="A307" s="13">
        <f t="shared" si="15"/>
        <v>63</v>
      </c>
      <c r="B307" s="4"/>
      <c r="C307" s="9"/>
      <c r="D307" s="369"/>
      <c r="E307" s="481"/>
      <c r="F307" s="369"/>
      <c r="G307" s="481"/>
      <c r="H307" s="369"/>
      <c r="I307" s="481"/>
      <c r="J307" s="369"/>
      <c r="K307" s="481"/>
      <c r="L307" s="369"/>
      <c r="M307" s="481"/>
      <c r="N307" s="565"/>
      <c r="O307" s="8">
        <f t="shared" si="16"/>
        <v>0</v>
      </c>
      <c r="P307" s="338"/>
      <c r="Q307" s="10"/>
      <c r="R307" s="63"/>
    </row>
    <row r="308" spans="1:18" x14ac:dyDescent="0.25">
      <c r="A308" s="13">
        <f t="shared" si="15"/>
        <v>64</v>
      </c>
      <c r="B308" s="4"/>
      <c r="C308" s="9"/>
      <c r="D308" s="369"/>
      <c r="E308" s="481"/>
      <c r="F308" s="369"/>
      <c r="G308" s="481"/>
      <c r="H308" s="369"/>
      <c r="I308" s="481"/>
      <c r="J308" s="369"/>
      <c r="K308" s="481"/>
      <c r="L308" s="369"/>
      <c r="M308" s="481"/>
      <c r="N308" s="565"/>
      <c r="O308" s="8">
        <f t="shared" si="16"/>
        <v>0</v>
      </c>
      <c r="P308" s="338"/>
      <c r="Q308" s="10"/>
      <c r="R308" s="63"/>
    </row>
    <row r="309" spans="1:18" x14ac:dyDescent="0.25">
      <c r="A309" s="13">
        <f t="shared" si="15"/>
        <v>65</v>
      </c>
      <c r="B309" s="4"/>
      <c r="C309" s="8"/>
      <c r="D309" s="369"/>
      <c r="E309" s="481"/>
      <c r="F309" s="369"/>
      <c r="G309" s="481"/>
      <c r="H309" s="369"/>
      <c r="I309" s="481"/>
      <c r="J309" s="369"/>
      <c r="K309" s="481"/>
      <c r="L309" s="369"/>
      <c r="M309" s="481"/>
      <c r="N309" s="565"/>
      <c r="O309" s="8">
        <f t="shared" si="16"/>
        <v>0</v>
      </c>
      <c r="P309" s="338"/>
      <c r="Q309" s="10"/>
      <c r="R309" s="63"/>
    </row>
    <row r="310" spans="1:18" x14ac:dyDescent="0.25">
      <c r="A310" s="13">
        <f t="shared" ref="A310:A347" si="17">A309+1</f>
        <v>66</v>
      </c>
      <c r="B310" s="4"/>
      <c r="C310" s="9"/>
      <c r="D310" s="369"/>
      <c r="E310" s="481"/>
      <c r="F310" s="369"/>
      <c r="G310" s="481"/>
      <c r="H310" s="369"/>
      <c r="I310" s="481"/>
      <c r="J310" s="369"/>
      <c r="K310" s="481"/>
      <c r="L310" s="369"/>
      <c r="M310" s="481"/>
      <c r="N310" s="565"/>
      <c r="O310" s="8">
        <f t="shared" si="16"/>
        <v>0</v>
      </c>
      <c r="P310" s="338"/>
      <c r="Q310" s="10"/>
      <c r="R310" s="63"/>
    </row>
    <row r="311" spans="1:18" x14ac:dyDescent="0.25">
      <c r="A311" s="13">
        <f t="shared" si="17"/>
        <v>67</v>
      </c>
      <c r="B311" s="4"/>
      <c r="C311" s="9"/>
      <c r="D311" s="369"/>
      <c r="E311" s="481"/>
      <c r="F311" s="369"/>
      <c r="G311" s="481"/>
      <c r="H311" s="369"/>
      <c r="I311" s="481"/>
      <c r="J311" s="369"/>
      <c r="K311" s="481"/>
      <c r="L311" s="369"/>
      <c r="M311" s="481"/>
      <c r="N311" s="565"/>
      <c r="O311" s="8">
        <f t="shared" si="16"/>
        <v>0</v>
      </c>
      <c r="P311" s="338"/>
      <c r="Q311" s="10"/>
      <c r="R311" s="63"/>
    </row>
    <row r="312" spans="1:18" x14ac:dyDescent="0.25">
      <c r="A312" s="13">
        <f t="shared" si="17"/>
        <v>68</v>
      </c>
      <c r="B312" s="4"/>
      <c r="C312" s="9"/>
      <c r="D312" s="369"/>
      <c r="E312" s="481"/>
      <c r="F312" s="369"/>
      <c r="G312" s="481"/>
      <c r="H312" s="369"/>
      <c r="I312" s="481"/>
      <c r="J312" s="369"/>
      <c r="K312" s="481"/>
      <c r="L312" s="369"/>
      <c r="M312" s="481"/>
      <c r="N312" s="565"/>
      <c r="O312" s="8">
        <f t="shared" si="16"/>
        <v>0</v>
      </c>
      <c r="P312" s="338"/>
      <c r="Q312" s="10"/>
      <c r="R312" s="63"/>
    </row>
    <row r="313" spans="1:18" x14ac:dyDescent="0.25">
      <c r="A313" s="13">
        <f t="shared" si="17"/>
        <v>69</v>
      </c>
      <c r="B313" s="4"/>
      <c r="C313" s="9"/>
      <c r="D313" s="369"/>
      <c r="E313" s="481"/>
      <c r="F313" s="369"/>
      <c r="G313" s="481"/>
      <c r="H313" s="369"/>
      <c r="I313" s="481"/>
      <c r="J313" s="369"/>
      <c r="K313" s="481"/>
      <c r="L313" s="369"/>
      <c r="M313" s="481"/>
      <c r="N313" s="565"/>
      <c r="O313" s="8">
        <f t="shared" si="16"/>
        <v>0</v>
      </c>
      <c r="P313" s="338"/>
      <c r="Q313" s="10"/>
      <c r="R313" s="63"/>
    </row>
    <row r="314" spans="1:18" x14ac:dyDescent="0.25">
      <c r="A314" s="13">
        <f t="shared" si="17"/>
        <v>70</v>
      </c>
      <c r="B314" s="4"/>
      <c r="C314" s="9"/>
      <c r="D314" s="369"/>
      <c r="E314" s="481"/>
      <c r="F314" s="369"/>
      <c r="G314" s="481"/>
      <c r="H314" s="369"/>
      <c r="I314" s="481"/>
      <c r="J314" s="369"/>
      <c r="K314" s="481"/>
      <c r="L314" s="369"/>
      <c r="M314" s="481"/>
      <c r="N314" s="565"/>
      <c r="O314" s="8">
        <f t="shared" si="16"/>
        <v>0</v>
      </c>
      <c r="P314" s="338"/>
      <c r="Q314" s="10"/>
      <c r="R314" s="63"/>
    </row>
    <row r="315" spans="1:18" x14ac:dyDescent="0.25">
      <c r="A315" s="13">
        <f t="shared" si="17"/>
        <v>71</v>
      </c>
      <c r="B315" s="4"/>
      <c r="C315" s="9"/>
      <c r="D315" s="369"/>
      <c r="E315" s="481"/>
      <c r="F315" s="369"/>
      <c r="G315" s="481"/>
      <c r="H315" s="369"/>
      <c r="I315" s="481"/>
      <c r="J315" s="369"/>
      <c r="K315" s="481"/>
      <c r="L315" s="369"/>
      <c r="M315" s="481"/>
      <c r="N315" s="565"/>
      <c r="O315" s="8">
        <f t="shared" si="16"/>
        <v>0</v>
      </c>
      <c r="P315" s="338"/>
      <c r="Q315" s="10"/>
      <c r="R315" s="63"/>
    </row>
    <row r="316" spans="1:18" x14ac:dyDescent="0.25">
      <c r="A316" s="13">
        <f t="shared" si="17"/>
        <v>72</v>
      </c>
      <c r="B316" s="4"/>
      <c r="C316" s="9"/>
      <c r="D316" s="369"/>
      <c r="E316" s="481"/>
      <c r="F316" s="369"/>
      <c r="G316" s="481"/>
      <c r="H316" s="369"/>
      <c r="I316" s="481"/>
      <c r="J316" s="369"/>
      <c r="K316" s="481"/>
      <c r="L316" s="369"/>
      <c r="M316" s="481"/>
      <c r="N316" s="565"/>
      <c r="O316" s="8">
        <f t="shared" si="16"/>
        <v>0</v>
      </c>
      <c r="P316" s="338"/>
      <c r="Q316" s="10"/>
      <c r="R316" s="63"/>
    </row>
    <row r="317" spans="1:18" x14ac:dyDescent="0.25">
      <c r="A317" s="13">
        <f t="shared" si="17"/>
        <v>73</v>
      </c>
      <c r="B317" s="4"/>
      <c r="C317" s="9"/>
      <c r="D317" s="369"/>
      <c r="E317" s="481"/>
      <c r="F317" s="369"/>
      <c r="G317" s="481"/>
      <c r="H317" s="369"/>
      <c r="I317" s="481"/>
      <c r="J317" s="369"/>
      <c r="K317" s="481"/>
      <c r="L317" s="369"/>
      <c r="M317" s="481"/>
      <c r="N317" s="565"/>
      <c r="O317" s="8">
        <f t="shared" si="16"/>
        <v>0</v>
      </c>
      <c r="P317" s="338"/>
      <c r="Q317" s="10"/>
      <c r="R317" s="63"/>
    </row>
    <row r="318" spans="1:18" x14ac:dyDescent="0.25">
      <c r="A318" s="13">
        <f t="shared" si="17"/>
        <v>74</v>
      </c>
      <c r="B318" s="4"/>
      <c r="C318" s="9"/>
      <c r="D318" s="369"/>
      <c r="E318" s="481"/>
      <c r="F318" s="369"/>
      <c r="G318" s="481"/>
      <c r="H318" s="369"/>
      <c r="I318" s="481"/>
      <c r="J318" s="369"/>
      <c r="K318" s="481"/>
      <c r="L318" s="369"/>
      <c r="M318" s="481"/>
      <c r="N318" s="565"/>
      <c r="O318" s="8">
        <f t="shared" si="16"/>
        <v>0</v>
      </c>
      <c r="P318" s="338"/>
      <c r="Q318" s="10"/>
      <c r="R318" s="63"/>
    </row>
    <row r="319" spans="1:18" x14ac:dyDescent="0.25">
      <c r="A319" s="13">
        <f t="shared" si="17"/>
        <v>75</v>
      </c>
      <c r="B319" s="4"/>
      <c r="C319" s="9"/>
      <c r="D319" s="369"/>
      <c r="E319" s="481"/>
      <c r="F319" s="369"/>
      <c r="G319" s="481"/>
      <c r="H319" s="369"/>
      <c r="I319" s="481"/>
      <c r="J319" s="369"/>
      <c r="K319" s="481"/>
      <c r="L319" s="369"/>
      <c r="M319" s="481"/>
      <c r="N319" s="565"/>
      <c r="O319" s="8">
        <f t="shared" si="16"/>
        <v>0</v>
      </c>
      <c r="P319" s="338"/>
      <c r="Q319" s="10"/>
      <c r="R319" s="63"/>
    </row>
    <row r="320" spans="1:18" x14ac:dyDescent="0.25">
      <c r="A320" s="13">
        <f t="shared" si="17"/>
        <v>76</v>
      </c>
      <c r="B320" s="4"/>
      <c r="C320" s="8"/>
      <c r="D320" s="359"/>
      <c r="E320" s="478"/>
      <c r="F320" s="359"/>
      <c r="G320" s="478"/>
      <c r="H320" s="359"/>
      <c r="I320" s="478"/>
      <c r="J320" s="359"/>
      <c r="K320" s="478"/>
      <c r="L320" s="359"/>
      <c r="M320" s="478"/>
      <c r="N320" s="561"/>
      <c r="O320" s="8">
        <f t="shared" si="16"/>
        <v>0</v>
      </c>
      <c r="P320" s="338"/>
      <c r="Q320" s="10"/>
      <c r="R320" s="63"/>
    </row>
    <row r="321" spans="1:18" x14ac:dyDescent="0.25">
      <c r="A321" s="13">
        <f t="shared" si="17"/>
        <v>77</v>
      </c>
      <c r="B321" s="4"/>
      <c r="C321" s="9"/>
      <c r="D321" s="369"/>
      <c r="E321" s="481"/>
      <c r="F321" s="369"/>
      <c r="G321" s="481"/>
      <c r="H321" s="369"/>
      <c r="I321" s="481"/>
      <c r="J321" s="369"/>
      <c r="K321" s="481"/>
      <c r="L321" s="369"/>
      <c r="M321" s="481"/>
      <c r="N321" s="565"/>
      <c r="O321" s="8">
        <f t="shared" si="16"/>
        <v>0</v>
      </c>
      <c r="P321" s="338"/>
      <c r="Q321" s="10"/>
      <c r="R321" s="63"/>
    </row>
    <row r="322" spans="1:18" x14ac:dyDescent="0.25">
      <c r="A322" s="13">
        <f t="shared" si="17"/>
        <v>78</v>
      </c>
      <c r="B322" s="4"/>
      <c r="C322" s="9"/>
      <c r="D322" s="359"/>
      <c r="E322" s="478"/>
      <c r="F322" s="359"/>
      <c r="G322" s="478"/>
      <c r="H322" s="359"/>
      <c r="I322" s="478"/>
      <c r="J322" s="359"/>
      <c r="K322" s="478"/>
      <c r="L322" s="359"/>
      <c r="M322" s="478"/>
      <c r="N322" s="561"/>
      <c r="O322" s="8">
        <f t="shared" si="16"/>
        <v>0</v>
      </c>
      <c r="P322" s="338"/>
      <c r="Q322" s="10"/>
      <c r="R322" s="63"/>
    </row>
    <row r="323" spans="1:18" x14ac:dyDescent="0.25">
      <c r="A323" s="13">
        <f t="shared" si="17"/>
        <v>79</v>
      </c>
      <c r="B323" s="4"/>
      <c r="C323" s="9"/>
      <c r="D323" s="369"/>
      <c r="E323" s="481"/>
      <c r="F323" s="369"/>
      <c r="G323" s="481"/>
      <c r="H323" s="369"/>
      <c r="I323" s="481"/>
      <c r="J323" s="369"/>
      <c r="K323" s="481"/>
      <c r="L323" s="369"/>
      <c r="M323" s="481"/>
      <c r="N323" s="565"/>
      <c r="O323" s="8">
        <f t="shared" si="16"/>
        <v>0</v>
      </c>
      <c r="P323" s="338"/>
      <c r="Q323" s="10"/>
      <c r="R323" s="63"/>
    </row>
    <row r="324" spans="1:18" x14ac:dyDescent="0.25">
      <c r="A324" s="13">
        <f t="shared" si="17"/>
        <v>80</v>
      </c>
      <c r="B324" s="4"/>
      <c r="C324" s="9"/>
      <c r="D324" s="369"/>
      <c r="E324" s="481"/>
      <c r="F324" s="369"/>
      <c r="G324" s="481"/>
      <c r="H324" s="369"/>
      <c r="I324" s="481"/>
      <c r="J324" s="369"/>
      <c r="K324" s="481"/>
      <c r="L324" s="369"/>
      <c r="M324" s="481"/>
      <c r="N324" s="565"/>
      <c r="O324" s="8">
        <f t="shared" si="16"/>
        <v>0</v>
      </c>
      <c r="P324" s="338"/>
      <c r="Q324" s="10"/>
      <c r="R324" s="63"/>
    </row>
    <row r="325" spans="1:18" x14ac:dyDescent="0.25">
      <c r="A325" s="13">
        <f t="shared" si="17"/>
        <v>81</v>
      </c>
      <c r="B325" s="4"/>
      <c r="C325" s="8"/>
      <c r="D325" s="369"/>
      <c r="E325" s="481"/>
      <c r="F325" s="369"/>
      <c r="G325" s="481"/>
      <c r="H325" s="369"/>
      <c r="I325" s="481"/>
      <c r="J325" s="369"/>
      <c r="K325" s="481"/>
      <c r="L325" s="369"/>
      <c r="M325" s="481"/>
      <c r="N325" s="565"/>
      <c r="O325" s="8">
        <f t="shared" si="16"/>
        <v>0</v>
      </c>
      <c r="P325" s="338"/>
      <c r="Q325" s="10"/>
      <c r="R325" s="63"/>
    </row>
    <row r="326" spans="1:18" x14ac:dyDescent="0.25">
      <c r="A326" s="13">
        <f t="shared" si="17"/>
        <v>82</v>
      </c>
      <c r="B326" s="4"/>
      <c r="C326" s="9"/>
      <c r="D326" s="369"/>
      <c r="E326" s="481"/>
      <c r="F326" s="369"/>
      <c r="G326" s="481"/>
      <c r="H326" s="369"/>
      <c r="I326" s="481"/>
      <c r="J326" s="369"/>
      <c r="K326" s="481"/>
      <c r="L326" s="369"/>
      <c r="M326" s="481"/>
      <c r="N326" s="565"/>
      <c r="O326" s="8">
        <f t="shared" si="16"/>
        <v>0</v>
      </c>
      <c r="P326" s="338"/>
      <c r="Q326" s="10"/>
      <c r="R326" s="63"/>
    </row>
    <row r="327" spans="1:18" x14ac:dyDescent="0.25">
      <c r="A327" s="13">
        <f t="shared" si="17"/>
        <v>83</v>
      </c>
      <c r="B327" s="4"/>
      <c r="C327" s="9"/>
      <c r="D327" s="359"/>
      <c r="E327" s="478"/>
      <c r="F327" s="359"/>
      <c r="G327" s="478"/>
      <c r="H327" s="359"/>
      <c r="I327" s="478"/>
      <c r="J327" s="359"/>
      <c r="K327" s="478"/>
      <c r="L327" s="359"/>
      <c r="M327" s="478"/>
      <c r="N327" s="561"/>
      <c r="O327" s="8">
        <f t="shared" si="16"/>
        <v>0</v>
      </c>
      <c r="P327" s="338"/>
      <c r="Q327" s="10"/>
      <c r="R327" s="63"/>
    </row>
    <row r="328" spans="1:18" x14ac:dyDescent="0.25">
      <c r="A328" s="13">
        <f t="shared" si="17"/>
        <v>84</v>
      </c>
      <c r="B328" s="4"/>
      <c r="C328" s="9"/>
      <c r="D328" s="369"/>
      <c r="E328" s="481"/>
      <c r="F328" s="369"/>
      <c r="G328" s="481"/>
      <c r="H328" s="369"/>
      <c r="I328" s="481"/>
      <c r="J328" s="369"/>
      <c r="K328" s="481"/>
      <c r="L328" s="369"/>
      <c r="M328" s="481"/>
      <c r="N328" s="565"/>
      <c r="O328" s="8">
        <f t="shared" si="16"/>
        <v>0</v>
      </c>
      <c r="P328" s="338"/>
      <c r="Q328" s="10"/>
      <c r="R328" s="63"/>
    </row>
    <row r="329" spans="1:18" x14ac:dyDescent="0.25">
      <c r="A329" s="13">
        <f t="shared" si="17"/>
        <v>85</v>
      </c>
      <c r="B329" s="4"/>
      <c r="C329" s="8"/>
      <c r="D329" s="369"/>
      <c r="E329" s="481"/>
      <c r="F329" s="369"/>
      <c r="G329" s="481"/>
      <c r="H329" s="369"/>
      <c r="I329" s="481"/>
      <c r="J329" s="369"/>
      <c r="K329" s="481"/>
      <c r="L329" s="369"/>
      <c r="M329" s="481"/>
      <c r="N329" s="565"/>
      <c r="O329" s="8">
        <f t="shared" si="16"/>
        <v>0</v>
      </c>
      <c r="P329" s="338"/>
      <c r="Q329" s="10"/>
      <c r="R329" s="63"/>
    </row>
    <row r="330" spans="1:18" x14ac:dyDescent="0.25">
      <c r="A330" s="13">
        <f t="shared" si="17"/>
        <v>86</v>
      </c>
      <c r="B330" s="4"/>
      <c r="C330" s="9"/>
      <c r="D330" s="369"/>
      <c r="E330" s="481"/>
      <c r="F330" s="369"/>
      <c r="G330" s="481"/>
      <c r="H330" s="369"/>
      <c r="I330" s="481"/>
      <c r="J330" s="369"/>
      <c r="K330" s="481"/>
      <c r="L330" s="369"/>
      <c r="M330" s="481"/>
      <c r="N330" s="565"/>
      <c r="O330" s="8">
        <f t="shared" si="16"/>
        <v>0</v>
      </c>
      <c r="P330" s="338"/>
      <c r="Q330" s="10"/>
      <c r="R330" s="63"/>
    </row>
    <row r="331" spans="1:18" x14ac:dyDescent="0.25">
      <c r="A331" s="13">
        <f t="shared" si="17"/>
        <v>87</v>
      </c>
      <c r="B331" s="4"/>
      <c r="C331" s="9"/>
      <c r="D331" s="369"/>
      <c r="E331" s="481"/>
      <c r="F331" s="369"/>
      <c r="G331" s="481"/>
      <c r="H331" s="369"/>
      <c r="I331" s="481"/>
      <c r="J331" s="369"/>
      <c r="K331" s="481"/>
      <c r="L331" s="369"/>
      <c r="M331" s="481"/>
      <c r="N331" s="565"/>
      <c r="O331" s="8">
        <f t="shared" si="16"/>
        <v>0</v>
      </c>
      <c r="P331" s="338"/>
      <c r="Q331" s="10"/>
      <c r="R331" s="63"/>
    </row>
    <row r="332" spans="1:18" x14ac:dyDescent="0.25">
      <c r="A332" s="13">
        <f t="shared" si="17"/>
        <v>88</v>
      </c>
      <c r="B332" s="4"/>
      <c r="C332" s="9"/>
      <c r="D332" s="369"/>
      <c r="E332" s="481"/>
      <c r="F332" s="369"/>
      <c r="G332" s="481"/>
      <c r="H332" s="369"/>
      <c r="I332" s="481"/>
      <c r="J332" s="369"/>
      <c r="K332" s="481"/>
      <c r="L332" s="369"/>
      <c r="M332" s="481"/>
      <c r="N332" s="565"/>
      <c r="O332" s="8">
        <f t="shared" si="16"/>
        <v>0</v>
      </c>
      <c r="P332" s="338"/>
      <c r="Q332" s="10"/>
      <c r="R332" s="63"/>
    </row>
    <row r="333" spans="1:18" x14ac:dyDescent="0.25">
      <c r="A333" s="13">
        <f t="shared" si="17"/>
        <v>89</v>
      </c>
      <c r="B333" s="4"/>
      <c r="C333" s="9"/>
      <c r="D333" s="369"/>
      <c r="E333" s="481"/>
      <c r="F333" s="369"/>
      <c r="G333" s="481"/>
      <c r="H333" s="369"/>
      <c r="I333" s="481"/>
      <c r="J333" s="369"/>
      <c r="K333" s="481"/>
      <c r="L333" s="369"/>
      <c r="M333" s="481"/>
      <c r="N333" s="565"/>
      <c r="O333" s="8">
        <f t="shared" si="16"/>
        <v>0</v>
      </c>
      <c r="P333" s="338"/>
      <c r="Q333" s="10"/>
      <c r="R333" s="63"/>
    </row>
    <row r="334" spans="1:18" x14ac:dyDescent="0.25">
      <c r="A334" s="13">
        <f t="shared" si="17"/>
        <v>90</v>
      </c>
      <c r="B334" s="4"/>
      <c r="C334" s="9"/>
      <c r="D334" s="369"/>
      <c r="E334" s="481"/>
      <c r="F334" s="369"/>
      <c r="G334" s="481"/>
      <c r="H334" s="369"/>
      <c r="I334" s="481"/>
      <c r="J334" s="369"/>
      <c r="K334" s="481"/>
      <c r="L334" s="369"/>
      <c r="M334" s="481"/>
      <c r="N334" s="565"/>
      <c r="O334" s="8">
        <f t="shared" si="16"/>
        <v>0</v>
      </c>
      <c r="P334" s="338"/>
      <c r="Q334" s="10"/>
      <c r="R334" s="63"/>
    </row>
    <row r="335" spans="1:18" x14ac:dyDescent="0.25">
      <c r="A335" s="13">
        <f t="shared" si="17"/>
        <v>91</v>
      </c>
      <c r="B335" s="4"/>
      <c r="C335" s="9"/>
      <c r="D335" s="369"/>
      <c r="E335" s="481"/>
      <c r="F335" s="369"/>
      <c r="G335" s="481"/>
      <c r="H335" s="369"/>
      <c r="I335" s="481"/>
      <c r="J335" s="369"/>
      <c r="K335" s="481"/>
      <c r="L335" s="369"/>
      <c r="M335" s="481"/>
      <c r="N335" s="565"/>
      <c r="O335" s="8">
        <f t="shared" si="16"/>
        <v>0</v>
      </c>
      <c r="P335" s="338"/>
      <c r="Q335" s="10"/>
      <c r="R335" s="63"/>
    </row>
    <row r="336" spans="1:18" x14ac:dyDescent="0.25">
      <c r="A336" s="13">
        <f t="shared" si="17"/>
        <v>92</v>
      </c>
      <c r="B336" s="4"/>
      <c r="C336" s="9"/>
      <c r="D336" s="369"/>
      <c r="E336" s="481"/>
      <c r="F336" s="369"/>
      <c r="G336" s="481"/>
      <c r="H336" s="369"/>
      <c r="I336" s="481"/>
      <c r="J336" s="369"/>
      <c r="K336" s="481"/>
      <c r="L336" s="369"/>
      <c r="M336" s="481"/>
      <c r="N336" s="565"/>
      <c r="O336" s="8">
        <f t="shared" si="16"/>
        <v>0</v>
      </c>
      <c r="P336" s="338"/>
      <c r="Q336" s="10"/>
      <c r="R336" s="63"/>
    </row>
    <row r="337" spans="1:18" x14ac:dyDescent="0.25">
      <c r="A337" s="13">
        <f t="shared" si="17"/>
        <v>93</v>
      </c>
      <c r="B337" s="4"/>
      <c r="C337" s="9"/>
      <c r="D337" s="369"/>
      <c r="E337" s="481"/>
      <c r="F337" s="369"/>
      <c r="G337" s="481"/>
      <c r="H337" s="369"/>
      <c r="I337" s="481"/>
      <c r="J337" s="369"/>
      <c r="K337" s="481"/>
      <c r="L337" s="369"/>
      <c r="M337" s="481"/>
      <c r="N337" s="565"/>
      <c r="O337" s="8">
        <f t="shared" si="16"/>
        <v>0</v>
      </c>
      <c r="P337" s="338"/>
      <c r="Q337" s="10"/>
      <c r="R337" s="63"/>
    </row>
    <row r="338" spans="1:18" x14ac:dyDescent="0.25">
      <c r="A338" s="13">
        <f t="shared" si="17"/>
        <v>94</v>
      </c>
      <c r="B338" s="4"/>
      <c r="C338" s="9"/>
      <c r="D338" s="369"/>
      <c r="E338" s="481"/>
      <c r="F338" s="369"/>
      <c r="G338" s="481"/>
      <c r="H338" s="369"/>
      <c r="I338" s="481"/>
      <c r="J338" s="369"/>
      <c r="K338" s="481"/>
      <c r="L338" s="369"/>
      <c r="M338" s="481"/>
      <c r="N338" s="565"/>
      <c r="O338" s="8">
        <f t="shared" si="16"/>
        <v>0</v>
      </c>
      <c r="P338" s="338"/>
      <c r="Q338" s="10"/>
      <c r="R338" s="63"/>
    </row>
    <row r="339" spans="1:18" x14ac:dyDescent="0.25">
      <c r="A339" s="13">
        <f t="shared" si="17"/>
        <v>95</v>
      </c>
      <c r="B339" s="4"/>
      <c r="C339" s="8"/>
      <c r="D339" s="359"/>
      <c r="E339" s="478"/>
      <c r="F339" s="359"/>
      <c r="G339" s="478"/>
      <c r="H339" s="359"/>
      <c r="I339" s="478"/>
      <c r="J339" s="359"/>
      <c r="K339" s="478"/>
      <c r="L339" s="359"/>
      <c r="M339" s="478"/>
      <c r="N339" s="561"/>
      <c r="O339" s="8">
        <f t="shared" si="16"/>
        <v>0</v>
      </c>
      <c r="P339" s="338"/>
      <c r="Q339" s="10"/>
      <c r="R339" s="63"/>
    </row>
    <row r="340" spans="1:18" x14ac:dyDescent="0.25">
      <c r="A340" s="13">
        <f t="shared" si="17"/>
        <v>96</v>
      </c>
      <c r="B340" s="4"/>
      <c r="C340" s="9"/>
      <c r="D340" s="369"/>
      <c r="E340" s="481"/>
      <c r="F340" s="369"/>
      <c r="G340" s="481"/>
      <c r="H340" s="369"/>
      <c r="I340" s="481"/>
      <c r="J340" s="369"/>
      <c r="K340" s="481"/>
      <c r="L340" s="369"/>
      <c r="M340" s="481"/>
      <c r="N340" s="565"/>
      <c r="O340" s="8">
        <f t="shared" si="16"/>
        <v>0</v>
      </c>
      <c r="P340" s="338"/>
      <c r="Q340" s="10"/>
      <c r="R340" s="63"/>
    </row>
    <row r="341" spans="1:18" x14ac:dyDescent="0.25">
      <c r="A341" s="13">
        <f t="shared" si="17"/>
        <v>97</v>
      </c>
      <c r="B341" s="4"/>
      <c r="C341" s="9"/>
      <c r="D341" s="369"/>
      <c r="E341" s="481"/>
      <c r="F341" s="369"/>
      <c r="G341" s="481"/>
      <c r="H341" s="369"/>
      <c r="I341" s="481"/>
      <c r="J341" s="369"/>
      <c r="K341" s="481"/>
      <c r="L341" s="369"/>
      <c r="M341" s="481"/>
      <c r="N341" s="565"/>
      <c r="O341" s="8">
        <f t="shared" si="16"/>
        <v>0</v>
      </c>
      <c r="P341" s="338"/>
      <c r="Q341" s="10"/>
      <c r="R341" s="63"/>
    </row>
    <row r="342" spans="1:18" x14ac:dyDescent="0.25">
      <c r="A342" s="13">
        <f t="shared" si="17"/>
        <v>98</v>
      </c>
      <c r="B342" s="16"/>
      <c r="C342" s="17"/>
      <c r="D342" s="369"/>
      <c r="E342" s="481"/>
      <c r="F342" s="369"/>
      <c r="G342" s="481"/>
      <c r="H342" s="369"/>
      <c r="I342" s="481"/>
      <c r="J342" s="369"/>
      <c r="K342" s="481"/>
      <c r="L342" s="369"/>
      <c r="M342" s="481"/>
      <c r="N342" s="565"/>
      <c r="O342" s="8">
        <f t="shared" si="16"/>
        <v>0</v>
      </c>
      <c r="P342" s="338"/>
      <c r="Q342" s="10"/>
      <c r="R342" s="63"/>
    </row>
    <row r="343" spans="1:18" x14ac:dyDescent="0.25">
      <c r="A343" s="13">
        <f t="shared" si="17"/>
        <v>99</v>
      </c>
      <c r="B343" s="16"/>
      <c r="C343" s="17"/>
      <c r="D343" s="369"/>
      <c r="E343" s="481"/>
      <c r="F343" s="369"/>
      <c r="G343" s="481"/>
      <c r="H343" s="369"/>
      <c r="I343" s="481"/>
      <c r="J343" s="369"/>
      <c r="K343" s="481"/>
      <c r="L343" s="369"/>
      <c r="M343" s="481"/>
      <c r="N343" s="565"/>
      <c r="O343" s="48"/>
      <c r="P343" s="338"/>
      <c r="Q343" s="10"/>
      <c r="R343" s="125"/>
    </row>
    <row r="344" spans="1:18" x14ac:dyDescent="0.25">
      <c r="A344" s="13">
        <f t="shared" si="17"/>
        <v>100</v>
      </c>
      <c r="B344" s="16"/>
      <c r="C344" s="17"/>
      <c r="D344" s="369"/>
      <c r="E344" s="481"/>
      <c r="F344" s="369"/>
      <c r="G344" s="481"/>
      <c r="H344" s="369"/>
      <c r="I344" s="481"/>
      <c r="J344" s="369"/>
      <c r="K344" s="481"/>
      <c r="L344" s="369"/>
      <c r="M344" s="481"/>
      <c r="N344" s="565"/>
      <c r="O344" s="48"/>
      <c r="P344" s="338"/>
      <c r="R344" s="125"/>
    </row>
    <row r="345" spans="1:18" x14ac:dyDescent="0.25">
      <c r="A345" s="13">
        <f t="shared" si="17"/>
        <v>101</v>
      </c>
      <c r="B345" s="16"/>
      <c r="C345" s="17"/>
      <c r="D345" s="369"/>
      <c r="E345" s="481"/>
      <c r="F345" s="369"/>
      <c r="G345" s="481"/>
      <c r="H345" s="369"/>
      <c r="I345" s="481"/>
      <c r="J345" s="369"/>
      <c r="K345" s="481"/>
      <c r="L345" s="369"/>
      <c r="M345" s="481"/>
      <c r="N345" s="565"/>
      <c r="O345" s="48"/>
      <c r="P345" s="338"/>
      <c r="R345" s="125"/>
    </row>
    <row r="346" spans="1:18" x14ac:dyDescent="0.25">
      <c r="A346" s="13">
        <f t="shared" si="17"/>
        <v>102</v>
      </c>
      <c r="B346" s="16"/>
      <c r="C346" s="17"/>
      <c r="D346" s="369"/>
      <c r="E346" s="481"/>
      <c r="F346" s="369"/>
      <c r="G346" s="481"/>
      <c r="H346" s="369"/>
      <c r="I346" s="481"/>
      <c r="J346" s="369"/>
      <c r="K346" s="481"/>
      <c r="L346" s="369"/>
      <c r="M346" s="481"/>
      <c r="N346" s="565"/>
      <c r="O346" s="48"/>
      <c r="P346" s="338"/>
      <c r="R346" s="125"/>
    </row>
    <row r="347" spans="1:18" x14ac:dyDescent="0.25">
      <c r="A347" s="13">
        <f t="shared" si="17"/>
        <v>103</v>
      </c>
      <c r="B347" s="16"/>
      <c r="C347" s="17"/>
      <c r="D347" s="369"/>
      <c r="E347" s="481"/>
      <c r="F347" s="369"/>
      <c r="G347" s="481"/>
      <c r="H347" s="369"/>
      <c r="I347" s="481"/>
      <c r="J347" s="369"/>
      <c r="K347" s="481"/>
      <c r="L347" s="369"/>
      <c r="M347" s="481"/>
      <c r="N347" s="565"/>
      <c r="O347" s="48"/>
      <c r="P347" s="338"/>
      <c r="R347" s="125"/>
    </row>
    <row r="348" spans="1:18" x14ac:dyDescent="0.25">
      <c r="A348" s="13"/>
      <c r="B348" s="16"/>
      <c r="C348" s="17"/>
      <c r="D348" s="369"/>
      <c r="E348" s="481"/>
      <c r="F348" s="369"/>
      <c r="G348" s="481"/>
      <c r="H348" s="369"/>
      <c r="I348" s="481"/>
      <c r="J348" s="369"/>
      <c r="K348" s="481"/>
      <c r="L348" s="369"/>
      <c r="M348" s="481"/>
      <c r="N348" s="565"/>
      <c r="O348" s="48"/>
      <c r="P348" s="338"/>
      <c r="R348" s="125"/>
    </row>
    <row r="349" spans="1:18" x14ac:dyDescent="0.25">
      <c r="A349" s="13"/>
      <c r="B349" s="20" t="s">
        <v>147</v>
      </c>
    </row>
    <row r="350" spans="1:18" x14ac:dyDescent="0.25">
      <c r="A350" s="13"/>
    </row>
    <row r="351" spans="1:18" x14ac:dyDescent="0.25">
      <c r="A351" s="13"/>
    </row>
    <row r="352" spans="1:18" x14ac:dyDescent="0.25">
      <c r="A352" s="13"/>
    </row>
    <row r="353" spans="1:1" x14ac:dyDescent="0.25">
      <c r="A353" s="13"/>
    </row>
  </sheetData>
  <autoFilter ref="A1:AE26"/>
  <sortState ref="B2:AD30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Q353"/>
  <sheetViews>
    <sheetView workbookViewId="0">
      <selection activeCell="G28" sqref="G28"/>
    </sheetView>
  </sheetViews>
  <sheetFormatPr baseColWidth="10" defaultRowHeight="15" x14ac:dyDescent="0.25"/>
  <cols>
    <col min="1" max="1" width="4.42578125" style="16" customWidth="1"/>
    <col min="2" max="2" width="46.42578125" style="16" bestFit="1" customWidth="1"/>
    <col min="3" max="3" width="10" style="28" customWidth="1"/>
    <col min="4" max="4" width="8.5703125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8" ht="30" x14ac:dyDescent="0.25">
      <c r="A1" s="42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4" t="s">
        <v>431</v>
      </c>
      <c r="C2" s="279">
        <v>9</v>
      </c>
      <c r="D2" s="15">
        <v>11.7</v>
      </c>
      <c r="E2" s="7">
        <v>20</v>
      </c>
      <c r="F2" s="26">
        <f t="shared" ref="F2:F27" si="0">(E2-D2)/(E2)</f>
        <v>0.41500000000000004</v>
      </c>
      <c r="G2" s="30">
        <f>D2*C2</f>
        <v>105.3</v>
      </c>
      <c r="H2" s="25">
        <f>E2*C2</f>
        <v>180</v>
      </c>
    </row>
    <row r="3" spans="1:8" x14ac:dyDescent="0.25">
      <c r="A3" s="13">
        <f>A2+1</f>
        <v>2</v>
      </c>
      <c r="B3" s="314" t="s">
        <v>330</v>
      </c>
      <c r="C3" s="280">
        <v>7</v>
      </c>
      <c r="D3" s="15">
        <v>10.5</v>
      </c>
      <c r="E3" s="7">
        <v>16</v>
      </c>
      <c r="F3" s="26">
        <f t="shared" si="0"/>
        <v>0.34375</v>
      </c>
      <c r="G3" s="30">
        <f t="shared" ref="G3:G27" si="1">D3*C3</f>
        <v>73.5</v>
      </c>
      <c r="H3" s="25">
        <f t="shared" ref="H3:H27" si="2">E3*C3</f>
        <v>112</v>
      </c>
    </row>
    <row r="4" spans="1:8" x14ac:dyDescent="0.25">
      <c r="A4" s="13">
        <f t="shared" ref="A4:A28" si="3">A3+1</f>
        <v>3</v>
      </c>
      <c r="B4" s="4" t="s">
        <v>193</v>
      </c>
      <c r="C4" s="280">
        <v>15</v>
      </c>
      <c r="D4" s="15">
        <v>33</v>
      </c>
      <c r="E4" s="7">
        <v>49</v>
      </c>
      <c r="F4" s="26">
        <f t="shared" si="0"/>
        <v>0.32653061224489793</v>
      </c>
      <c r="G4" s="30">
        <f t="shared" si="1"/>
        <v>495</v>
      </c>
      <c r="H4" s="25">
        <f t="shared" si="2"/>
        <v>735</v>
      </c>
    </row>
    <row r="5" spans="1:8" x14ac:dyDescent="0.25">
      <c r="A5" s="13">
        <f t="shared" si="3"/>
        <v>4</v>
      </c>
      <c r="B5" s="314" t="s">
        <v>846</v>
      </c>
      <c r="C5" s="280">
        <v>1</v>
      </c>
      <c r="D5" s="10">
        <v>31.68</v>
      </c>
      <c r="E5" s="7">
        <v>51</v>
      </c>
      <c r="F5" s="26">
        <f t="shared" si="0"/>
        <v>0.37882352941176473</v>
      </c>
      <c r="G5" s="30">
        <f t="shared" si="1"/>
        <v>31.68</v>
      </c>
      <c r="H5" s="25">
        <f t="shared" si="2"/>
        <v>51</v>
      </c>
    </row>
    <row r="6" spans="1:8" x14ac:dyDescent="0.25">
      <c r="A6" s="13">
        <f t="shared" si="3"/>
        <v>5</v>
      </c>
      <c r="B6" s="4" t="s">
        <v>721</v>
      </c>
      <c r="C6" s="280">
        <v>6</v>
      </c>
      <c r="D6" s="15">
        <v>17.850000000000001</v>
      </c>
      <c r="E6" s="7">
        <v>29</v>
      </c>
      <c r="F6" s="26">
        <f t="shared" si="0"/>
        <v>0.38448275862068959</v>
      </c>
      <c r="G6" s="30">
        <f t="shared" si="1"/>
        <v>107.10000000000001</v>
      </c>
      <c r="H6" s="25">
        <f t="shared" si="2"/>
        <v>174</v>
      </c>
    </row>
    <row r="7" spans="1:8" x14ac:dyDescent="0.25">
      <c r="A7" s="13">
        <f t="shared" si="3"/>
        <v>6</v>
      </c>
      <c r="B7" s="4" t="s">
        <v>229</v>
      </c>
      <c r="C7" s="280">
        <v>7</v>
      </c>
      <c r="D7" s="15">
        <v>14.2</v>
      </c>
      <c r="E7" s="7">
        <v>27</v>
      </c>
      <c r="F7" s="26">
        <f t="shared" si="0"/>
        <v>0.47407407407407409</v>
      </c>
      <c r="G7" s="30">
        <f t="shared" si="1"/>
        <v>99.399999999999991</v>
      </c>
      <c r="H7" s="25">
        <f t="shared" si="2"/>
        <v>189</v>
      </c>
    </row>
    <row r="8" spans="1:8" x14ac:dyDescent="0.25">
      <c r="A8" s="315">
        <f t="shared" si="3"/>
        <v>7</v>
      </c>
      <c r="B8" s="314" t="s">
        <v>1339</v>
      </c>
      <c r="C8" s="340">
        <v>14</v>
      </c>
      <c r="D8" s="15">
        <v>9.6</v>
      </c>
      <c r="E8" s="7">
        <v>17</v>
      </c>
      <c r="F8" s="26">
        <f t="shared" si="0"/>
        <v>0.43529411764705883</v>
      </c>
      <c r="G8" s="30">
        <f t="shared" si="1"/>
        <v>134.4</v>
      </c>
      <c r="H8" s="25">
        <f t="shared" si="2"/>
        <v>238</v>
      </c>
    </row>
    <row r="9" spans="1:8" ht="14.25" customHeight="1" x14ac:dyDescent="0.25">
      <c r="A9" s="315">
        <f t="shared" si="3"/>
        <v>8</v>
      </c>
      <c r="B9" s="314" t="s">
        <v>178</v>
      </c>
      <c r="C9" s="280">
        <v>2</v>
      </c>
      <c r="D9" s="15">
        <v>11.09</v>
      </c>
      <c r="E9" s="7">
        <v>20</v>
      </c>
      <c r="F9" s="26">
        <f t="shared" si="0"/>
        <v>0.44550000000000001</v>
      </c>
      <c r="G9" s="30">
        <f t="shared" si="1"/>
        <v>22.18</v>
      </c>
      <c r="H9" s="25">
        <f t="shared" si="2"/>
        <v>40</v>
      </c>
    </row>
    <row r="10" spans="1:8" x14ac:dyDescent="0.25">
      <c r="A10" s="315">
        <f t="shared" si="3"/>
        <v>9</v>
      </c>
      <c r="B10" s="314" t="s">
        <v>1069</v>
      </c>
      <c r="C10" s="280">
        <v>14</v>
      </c>
      <c r="D10" s="15">
        <v>5.68</v>
      </c>
      <c r="E10" s="7">
        <v>9</v>
      </c>
      <c r="F10" s="26">
        <f t="shared" si="0"/>
        <v>0.36888888888888893</v>
      </c>
      <c r="G10" s="30">
        <f t="shared" si="1"/>
        <v>79.52</v>
      </c>
      <c r="H10" s="25">
        <f t="shared" si="2"/>
        <v>126</v>
      </c>
    </row>
    <row r="11" spans="1:8" x14ac:dyDescent="0.25">
      <c r="A11" s="315">
        <f t="shared" si="3"/>
        <v>10</v>
      </c>
      <c r="B11" s="314" t="s">
        <v>1068</v>
      </c>
      <c r="C11" s="280">
        <v>20</v>
      </c>
      <c r="D11" s="10">
        <v>11.52</v>
      </c>
      <c r="E11" s="7">
        <v>19</v>
      </c>
      <c r="F11" s="26">
        <f t="shared" si="0"/>
        <v>0.3936842105263158</v>
      </c>
      <c r="G11" s="30">
        <f t="shared" si="1"/>
        <v>230.39999999999998</v>
      </c>
      <c r="H11" s="25">
        <f t="shared" si="2"/>
        <v>380</v>
      </c>
    </row>
    <row r="12" spans="1:8" x14ac:dyDescent="0.25">
      <c r="A12" s="315">
        <f t="shared" si="3"/>
        <v>11</v>
      </c>
      <c r="B12" s="4" t="s">
        <v>691</v>
      </c>
      <c r="C12" s="280">
        <v>20</v>
      </c>
      <c r="D12" s="15">
        <v>2.15</v>
      </c>
      <c r="E12" s="7">
        <v>4</v>
      </c>
      <c r="F12" s="26">
        <f t="shared" si="0"/>
        <v>0.46250000000000002</v>
      </c>
      <c r="G12" s="30">
        <f t="shared" si="1"/>
        <v>43</v>
      </c>
      <c r="H12" s="25">
        <f t="shared" si="2"/>
        <v>80</v>
      </c>
    </row>
    <row r="13" spans="1:8" x14ac:dyDescent="0.25">
      <c r="A13" s="315">
        <f t="shared" si="3"/>
        <v>12</v>
      </c>
      <c r="B13" s="314" t="s">
        <v>1071</v>
      </c>
      <c r="C13" s="340">
        <v>12</v>
      </c>
      <c r="D13" s="15">
        <v>5.85</v>
      </c>
      <c r="E13" s="7">
        <v>10</v>
      </c>
      <c r="F13" s="26">
        <f t="shared" si="0"/>
        <v>0.41500000000000004</v>
      </c>
      <c r="G13" s="30">
        <f t="shared" si="1"/>
        <v>70.199999999999989</v>
      </c>
      <c r="H13" s="25">
        <f t="shared" si="2"/>
        <v>120</v>
      </c>
    </row>
    <row r="14" spans="1:8" x14ac:dyDescent="0.25">
      <c r="A14" s="315">
        <f t="shared" si="3"/>
        <v>13</v>
      </c>
      <c r="B14" s="314" t="s">
        <v>1070</v>
      </c>
      <c r="C14" s="340">
        <v>2</v>
      </c>
      <c r="D14" s="15">
        <v>33.35</v>
      </c>
      <c r="E14" s="7">
        <v>51</v>
      </c>
      <c r="F14" s="26">
        <f t="shared" si="0"/>
        <v>0.34607843137254901</v>
      </c>
      <c r="G14" s="30">
        <f t="shared" si="1"/>
        <v>66.7</v>
      </c>
      <c r="H14" s="25">
        <f t="shared" si="2"/>
        <v>102</v>
      </c>
    </row>
    <row r="15" spans="1:8" x14ac:dyDescent="0.25">
      <c r="A15" s="315">
        <f t="shared" si="3"/>
        <v>14</v>
      </c>
      <c r="B15" s="314" t="s">
        <v>15</v>
      </c>
      <c r="C15" s="340">
        <v>4</v>
      </c>
      <c r="D15" s="15">
        <v>44.6</v>
      </c>
      <c r="E15" s="7">
        <v>72</v>
      </c>
      <c r="F15" s="26">
        <f t="shared" si="0"/>
        <v>0.38055555555555554</v>
      </c>
      <c r="G15" s="30">
        <f t="shared" si="1"/>
        <v>178.4</v>
      </c>
      <c r="H15" s="25">
        <f t="shared" si="2"/>
        <v>288</v>
      </c>
    </row>
    <row r="16" spans="1:8" x14ac:dyDescent="0.25">
      <c r="A16" s="315">
        <f t="shared" si="3"/>
        <v>15</v>
      </c>
      <c r="B16" s="314" t="s">
        <v>112</v>
      </c>
      <c r="C16" s="340">
        <v>5</v>
      </c>
      <c r="D16" s="15">
        <v>48.89</v>
      </c>
      <c r="E16" s="7">
        <v>75</v>
      </c>
      <c r="F16" s="26">
        <f t="shared" si="0"/>
        <v>0.34813333333333335</v>
      </c>
      <c r="G16" s="30">
        <f t="shared" si="1"/>
        <v>244.45</v>
      </c>
      <c r="H16" s="25">
        <f t="shared" si="2"/>
        <v>375</v>
      </c>
    </row>
    <row r="17" spans="1:8" x14ac:dyDescent="0.25">
      <c r="A17" s="315">
        <f t="shared" si="3"/>
        <v>16</v>
      </c>
      <c r="B17" s="314" t="s">
        <v>491</v>
      </c>
      <c r="C17" s="280">
        <v>68</v>
      </c>
      <c r="D17" s="15">
        <v>2.444</v>
      </c>
      <c r="E17" s="7">
        <v>3.75</v>
      </c>
      <c r="F17" s="26">
        <f t="shared" si="0"/>
        <v>0.34826666666666667</v>
      </c>
      <c r="G17" s="30">
        <f t="shared" si="1"/>
        <v>166.19200000000001</v>
      </c>
      <c r="H17" s="25">
        <f t="shared" si="2"/>
        <v>255</v>
      </c>
    </row>
    <row r="18" spans="1:8" x14ac:dyDescent="0.25">
      <c r="A18" s="315">
        <f t="shared" si="3"/>
        <v>17</v>
      </c>
      <c r="B18" s="314" t="s">
        <v>402</v>
      </c>
      <c r="C18" s="280">
        <v>13</v>
      </c>
      <c r="D18" s="10">
        <v>3.42</v>
      </c>
      <c r="E18" s="7">
        <v>6</v>
      </c>
      <c r="F18" s="26">
        <f t="shared" si="0"/>
        <v>0.43</v>
      </c>
      <c r="G18" s="30">
        <f t="shared" si="1"/>
        <v>44.46</v>
      </c>
      <c r="H18" s="25">
        <f t="shared" si="2"/>
        <v>78</v>
      </c>
    </row>
    <row r="19" spans="1:8" x14ac:dyDescent="0.25">
      <c r="A19" s="315">
        <f t="shared" si="3"/>
        <v>18</v>
      </c>
      <c r="B19" s="314" t="s">
        <v>1072</v>
      </c>
      <c r="C19" s="280">
        <v>27</v>
      </c>
      <c r="D19" s="15">
        <v>2.6</v>
      </c>
      <c r="E19" s="7">
        <v>4</v>
      </c>
      <c r="F19" s="26">
        <f t="shared" si="0"/>
        <v>0.35</v>
      </c>
      <c r="G19" s="30">
        <f t="shared" si="1"/>
        <v>70.2</v>
      </c>
      <c r="H19" s="25">
        <f t="shared" si="2"/>
        <v>108</v>
      </c>
    </row>
    <row r="20" spans="1:8" x14ac:dyDescent="0.25">
      <c r="A20" s="315">
        <f t="shared" si="3"/>
        <v>19</v>
      </c>
      <c r="B20" s="314" t="s">
        <v>1073</v>
      </c>
      <c r="C20" s="280">
        <v>9</v>
      </c>
      <c r="D20" s="10">
        <v>3.63</v>
      </c>
      <c r="E20" s="7">
        <v>6</v>
      </c>
      <c r="F20" s="26">
        <f t="shared" si="0"/>
        <v>0.39500000000000002</v>
      </c>
      <c r="G20" s="30">
        <f t="shared" si="1"/>
        <v>32.67</v>
      </c>
      <c r="H20" s="25">
        <f t="shared" si="2"/>
        <v>54</v>
      </c>
    </row>
    <row r="21" spans="1:8" x14ac:dyDescent="0.25">
      <c r="A21" s="315">
        <f t="shared" si="3"/>
        <v>20</v>
      </c>
      <c r="B21" s="4" t="s">
        <v>358</v>
      </c>
      <c r="C21" s="658">
        <v>1</v>
      </c>
      <c r="D21" s="15">
        <v>44.38</v>
      </c>
      <c r="E21" s="7">
        <v>68</v>
      </c>
      <c r="F21" s="26">
        <f t="shared" si="0"/>
        <v>0.34735294117647053</v>
      </c>
      <c r="G21" s="30">
        <f t="shared" si="1"/>
        <v>44.38</v>
      </c>
      <c r="H21" s="25">
        <f t="shared" si="2"/>
        <v>68</v>
      </c>
    </row>
    <row r="22" spans="1:8" x14ac:dyDescent="0.25">
      <c r="A22" s="315">
        <f t="shared" si="3"/>
        <v>21</v>
      </c>
      <c r="B22" s="314" t="s">
        <v>86</v>
      </c>
      <c r="C22" s="280">
        <v>1</v>
      </c>
      <c r="D22" s="15">
        <v>21.82</v>
      </c>
      <c r="E22" s="7">
        <v>41</v>
      </c>
      <c r="F22" s="26">
        <f t="shared" si="0"/>
        <v>0.46780487804878046</v>
      </c>
      <c r="G22" s="30">
        <f t="shared" si="1"/>
        <v>21.82</v>
      </c>
      <c r="H22" s="25">
        <f t="shared" si="2"/>
        <v>41</v>
      </c>
    </row>
    <row r="23" spans="1:8" x14ac:dyDescent="0.25">
      <c r="A23" s="315">
        <f t="shared" si="3"/>
        <v>22</v>
      </c>
      <c r="B23" s="16" t="s">
        <v>1423</v>
      </c>
      <c r="C23" s="280">
        <v>4</v>
      </c>
      <c r="D23" s="15">
        <v>1.17</v>
      </c>
      <c r="E23" s="7">
        <v>2.2000000000000002</v>
      </c>
      <c r="F23" s="26">
        <f t="shared" si="0"/>
        <v>0.46818181818181825</v>
      </c>
      <c r="G23" s="30">
        <f t="shared" si="1"/>
        <v>4.68</v>
      </c>
      <c r="H23" s="25">
        <f t="shared" si="2"/>
        <v>8.8000000000000007</v>
      </c>
    </row>
    <row r="24" spans="1:8" x14ac:dyDescent="0.25">
      <c r="A24" s="315">
        <f t="shared" si="3"/>
        <v>23</v>
      </c>
      <c r="B24" s="16" t="s">
        <v>886</v>
      </c>
      <c r="C24" s="280">
        <v>24</v>
      </c>
      <c r="D24" s="15">
        <v>1.96</v>
      </c>
      <c r="E24" s="7">
        <v>3</v>
      </c>
      <c r="F24" s="26">
        <f t="shared" si="0"/>
        <v>0.34666666666666668</v>
      </c>
      <c r="G24" s="30">
        <f t="shared" si="1"/>
        <v>47.04</v>
      </c>
      <c r="H24" s="25">
        <f t="shared" si="2"/>
        <v>72</v>
      </c>
    </row>
    <row r="25" spans="1:8" x14ac:dyDescent="0.25">
      <c r="A25" s="315">
        <f t="shared" si="3"/>
        <v>24</v>
      </c>
      <c r="B25" s="314" t="s">
        <v>1074</v>
      </c>
      <c r="C25" s="280">
        <v>14</v>
      </c>
      <c r="D25" s="15">
        <v>5.8</v>
      </c>
      <c r="E25" s="7">
        <v>12</v>
      </c>
      <c r="F25" s="26">
        <f t="shared" si="0"/>
        <v>0.51666666666666672</v>
      </c>
      <c r="G25" s="30">
        <f t="shared" si="1"/>
        <v>81.2</v>
      </c>
      <c r="H25" s="25">
        <f t="shared" si="2"/>
        <v>168</v>
      </c>
    </row>
    <row r="26" spans="1:8" x14ac:dyDescent="0.25">
      <c r="A26" s="315">
        <f t="shared" si="3"/>
        <v>25</v>
      </c>
      <c r="B26" s="314" t="s">
        <v>62</v>
      </c>
      <c r="C26" s="280">
        <v>14</v>
      </c>
      <c r="D26" s="15">
        <v>2.94</v>
      </c>
      <c r="E26" s="7">
        <v>5</v>
      </c>
      <c r="F26" s="26">
        <f t="shared" si="0"/>
        <v>0.41200000000000003</v>
      </c>
      <c r="G26" s="30">
        <f t="shared" si="1"/>
        <v>41.16</v>
      </c>
      <c r="H26" s="25">
        <f t="shared" si="2"/>
        <v>70</v>
      </c>
    </row>
    <row r="27" spans="1:8" x14ac:dyDescent="0.25">
      <c r="A27" s="315">
        <f t="shared" si="3"/>
        <v>26</v>
      </c>
      <c r="B27" s="315" t="s">
        <v>532</v>
      </c>
      <c r="C27" s="280">
        <v>3</v>
      </c>
      <c r="D27" s="15">
        <v>11.68</v>
      </c>
      <c r="E27" s="7">
        <v>20</v>
      </c>
      <c r="F27" s="26">
        <f t="shared" si="0"/>
        <v>0.41600000000000004</v>
      </c>
      <c r="G27" s="30">
        <f t="shared" si="1"/>
        <v>35.04</v>
      </c>
      <c r="H27" s="25">
        <f t="shared" si="2"/>
        <v>60</v>
      </c>
    </row>
    <row r="28" spans="1:8" x14ac:dyDescent="0.25">
      <c r="A28" s="315">
        <f t="shared" si="3"/>
        <v>27</v>
      </c>
      <c r="B28" s="4"/>
      <c r="C28" s="340"/>
      <c r="D28" s="15"/>
      <c r="E28" s="7"/>
      <c r="G28" s="30">
        <f>SUM(G2:G27)</f>
        <v>2570.0720000000001</v>
      </c>
      <c r="H28" s="25">
        <f>SUM(H2:H27)</f>
        <v>4172.8</v>
      </c>
    </row>
    <row r="29" spans="1:8" x14ac:dyDescent="0.25">
      <c r="B29" s="4"/>
      <c r="C29" s="47"/>
      <c r="D29" s="15"/>
      <c r="E29" s="7"/>
      <c r="G29" s="30"/>
      <c r="H29" s="25"/>
    </row>
    <row r="30" spans="1:8" x14ac:dyDescent="0.25">
      <c r="B30" s="4"/>
      <c r="C30" s="9"/>
      <c r="D30" s="15"/>
      <c r="E30" s="7"/>
      <c r="G30" s="30"/>
      <c r="H30" s="25">
        <f>H28-G28</f>
        <v>1602.7280000000001</v>
      </c>
    </row>
    <row r="31" spans="1:8" x14ac:dyDescent="0.25">
      <c r="B31" s="4"/>
      <c r="C31" s="8"/>
      <c r="D31" s="15"/>
      <c r="E31" s="7"/>
      <c r="G31" s="30"/>
      <c r="H31" s="29">
        <f>H30/H28</f>
        <v>0.38408934049079757</v>
      </c>
    </row>
    <row r="32" spans="1:8" x14ac:dyDescent="0.25">
      <c r="B32" s="4"/>
      <c r="C32" s="8"/>
      <c r="D32" s="15"/>
      <c r="E32" s="7"/>
      <c r="G32" s="30"/>
      <c r="H32" s="25"/>
    </row>
    <row r="33" spans="2:17" x14ac:dyDescent="0.25">
      <c r="B33" s="4"/>
      <c r="C33" s="8"/>
      <c r="D33" s="15"/>
      <c r="E33" s="7"/>
      <c r="G33" s="30"/>
      <c r="H33" s="25"/>
    </row>
    <row r="34" spans="2:17" x14ac:dyDescent="0.25">
      <c r="B34" s="4"/>
      <c r="C34" s="9"/>
      <c r="D34" s="15"/>
      <c r="E34" s="7"/>
      <c r="G34" s="30"/>
      <c r="H34" s="25"/>
      <c r="J34" s="38"/>
      <c r="K34" s="38"/>
      <c r="L34" s="37"/>
      <c r="M34" s="36"/>
      <c r="N34" s="36"/>
      <c r="O34" s="35"/>
      <c r="P34" s="34"/>
      <c r="Q34" s="33"/>
    </row>
    <row r="35" spans="2:17" x14ac:dyDescent="0.25">
      <c r="B35" s="4"/>
      <c r="C35" s="9"/>
      <c r="D35" s="15"/>
      <c r="E35" s="7"/>
      <c r="G35" s="30"/>
      <c r="H35" s="25"/>
    </row>
    <row r="36" spans="2:17" x14ac:dyDescent="0.25">
      <c r="B36" s="4"/>
      <c r="C36" s="9"/>
      <c r="D36" s="15"/>
      <c r="E36" s="7"/>
      <c r="G36" s="30"/>
      <c r="H36" s="25"/>
    </row>
    <row r="37" spans="2:17" x14ac:dyDescent="0.25">
      <c r="B37" s="4"/>
      <c r="C37" s="8"/>
      <c r="D37" s="15"/>
      <c r="E37" s="7"/>
      <c r="G37" s="30"/>
      <c r="H37" s="25"/>
    </row>
    <row r="38" spans="2:17" x14ac:dyDescent="0.25">
      <c r="B38" s="4"/>
      <c r="C38" s="9"/>
      <c r="D38" s="15"/>
      <c r="E38" s="7"/>
      <c r="G38" s="30"/>
      <c r="H38" s="25"/>
    </row>
    <row r="39" spans="2:17" x14ac:dyDescent="0.25">
      <c r="B39" s="4"/>
      <c r="C39" s="9"/>
      <c r="D39" s="15"/>
      <c r="E39" s="7"/>
      <c r="G39" s="30"/>
      <c r="H39" s="25"/>
    </row>
    <row r="40" spans="2:17" x14ac:dyDescent="0.25">
      <c r="B40" s="4"/>
      <c r="C40" s="8"/>
      <c r="D40" s="15"/>
      <c r="E40" s="7"/>
      <c r="G40" s="30"/>
      <c r="H40" s="25"/>
    </row>
    <row r="41" spans="2:17" x14ac:dyDescent="0.25">
      <c r="B41" s="4"/>
      <c r="C41" s="9"/>
      <c r="D41" s="15"/>
      <c r="E41" s="7"/>
      <c r="G41" s="30"/>
      <c r="H41" s="25"/>
    </row>
    <row r="42" spans="2:17" x14ac:dyDescent="0.25">
      <c r="B42" s="4"/>
      <c r="C42" s="8"/>
      <c r="D42" s="15"/>
      <c r="E42" s="7"/>
      <c r="G42" s="30"/>
      <c r="H42" s="25"/>
    </row>
    <row r="43" spans="2:17" x14ac:dyDescent="0.25">
      <c r="B43" s="4"/>
      <c r="C43" s="8"/>
      <c r="D43" s="15"/>
      <c r="E43" s="7"/>
      <c r="G43" s="30"/>
      <c r="H43" s="25"/>
    </row>
    <row r="44" spans="2:17" x14ac:dyDescent="0.25">
      <c r="B44" s="4"/>
      <c r="C44" s="8"/>
      <c r="D44" s="15"/>
      <c r="E44" s="7"/>
      <c r="G44" s="30"/>
      <c r="H44" s="25"/>
    </row>
    <row r="45" spans="2:17" x14ac:dyDescent="0.25">
      <c r="B45" s="4"/>
      <c r="C45" s="9"/>
      <c r="D45" s="15"/>
      <c r="E45" s="7"/>
      <c r="G45" s="30"/>
      <c r="H45" s="25"/>
    </row>
    <row r="46" spans="2:17" x14ac:dyDescent="0.25">
      <c r="B46" s="4"/>
      <c r="C46" s="9"/>
      <c r="D46" s="15"/>
      <c r="E46" s="7"/>
      <c r="G46" s="30"/>
      <c r="H46" s="25"/>
    </row>
    <row r="47" spans="2:17" x14ac:dyDescent="0.25">
      <c r="B47" s="4"/>
      <c r="C47" s="9"/>
      <c r="D47" s="15"/>
      <c r="E47" s="7"/>
      <c r="H47" s="25"/>
    </row>
    <row r="48" spans="2:17" x14ac:dyDescent="0.25">
      <c r="B48" s="4"/>
      <c r="C48" s="9"/>
      <c r="D48" s="15"/>
      <c r="E48" s="7"/>
      <c r="G48" s="30"/>
      <c r="H48" s="25"/>
    </row>
    <row r="49" spans="2:8" x14ac:dyDescent="0.25">
      <c r="B49" s="4"/>
      <c r="C49" s="9"/>
      <c r="D49" s="15"/>
      <c r="E49" s="7"/>
      <c r="G49" s="30"/>
      <c r="H49" s="25"/>
    </row>
    <row r="50" spans="2:8" x14ac:dyDescent="0.25">
      <c r="B50" s="4"/>
      <c r="C50" s="9"/>
      <c r="D50" s="15"/>
      <c r="E50" s="7"/>
      <c r="G50" s="30"/>
      <c r="H50" s="25"/>
    </row>
    <row r="51" spans="2:8" x14ac:dyDescent="0.25">
      <c r="B51" s="4"/>
      <c r="C51" s="8"/>
      <c r="D51" s="15"/>
      <c r="E51" s="7"/>
      <c r="G51" s="30"/>
      <c r="H51" s="25"/>
    </row>
    <row r="52" spans="2:8" x14ac:dyDescent="0.25">
      <c r="B52" s="4"/>
      <c r="C52" s="9"/>
      <c r="D52" s="15"/>
      <c r="E52" s="7"/>
      <c r="G52" s="30"/>
      <c r="H52" s="25"/>
    </row>
    <row r="53" spans="2:8" x14ac:dyDescent="0.25">
      <c r="B53" s="4"/>
      <c r="C53" s="9"/>
      <c r="D53" s="10"/>
      <c r="E53" s="7"/>
      <c r="G53" s="30"/>
      <c r="H53" s="25"/>
    </row>
    <row r="54" spans="2:8" x14ac:dyDescent="0.25">
      <c r="B54" s="4"/>
      <c r="C54" s="9"/>
      <c r="D54" s="15"/>
      <c r="E54" s="7"/>
      <c r="G54" s="30"/>
      <c r="H54" s="25"/>
    </row>
    <row r="55" spans="2:8" x14ac:dyDescent="0.25">
      <c r="B55" s="4"/>
      <c r="C55" s="9"/>
      <c r="D55" s="15"/>
      <c r="E55" s="7"/>
      <c r="G55" s="30"/>
      <c r="H55" s="25"/>
    </row>
    <row r="56" spans="2:8" x14ac:dyDescent="0.25">
      <c r="B56" s="4"/>
      <c r="C56" s="9"/>
      <c r="D56" s="15"/>
      <c r="E56" s="7"/>
      <c r="G56" s="30"/>
      <c r="H56" s="25"/>
    </row>
    <row r="57" spans="2:8" x14ac:dyDescent="0.25">
      <c r="B57" s="4"/>
      <c r="C57" s="9"/>
      <c r="D57" s="15"/>
      <c r="E57" s="7"/>
      <c r="G57" s="30"/>
      <c r="H57" s="25"/>
    </row>
    <row r="58" spans="2:8" x14ac:dyDescent="0.25">
      <c r="B58" s="4"/>
      <c r="C58" s="9"/>
      <c r="D58" s="15"/>
      <c r="E58" s="7"/>
      <c r="G58" s="30"/>
      <c r="H58" s="25"/>
    </row>
    <row r="59" spans="2:8" x14ac:dyDescent="0.25">
      <c r="B59" s="4"/>
      <c r="C59" s="9"/>
      <c r="D59" s="15"/>
      <c r="E59" s="7"/>
      <c r="G59" s="30"/>
      <c r="H59" s="25"/>
    </row>
    <row r="60" spans="2:8" x14ac:dyDescent="0.25">
      <c r="B60" s="4"/>
      <c r="C60" s="9"/>
      <c r="D60" s="15"/>
      <c r="E60" s="7"/>
      <c r="G60" s="30"/>
      <c r="H60" s="25"/>
    </row>
    <row r="61" spans="2:8" ht="14.25" customHeight="1" x14ac:dyDescent="0.25">
      <c r="B61" s="4"/>
      <c r="C61" s="9"/>
      <c r="D61" s="15"/>
      <c r="E61" s="7"/>
      <c r="G61" s="30"/>
      <c r="H61" s="25"/>
    </row>
    <row r="62" spans="2:8" x14ac:dyDescent="0.25">
      <c r="B62" s="4"/>
      <c r="C62" s="9"/>
      <c r="D62" s="15"/>
      <c r="E62" s="7"/>
      <c r="G62" s="30"/>
      <c r="H62" s="25"/>
    </row>
    <row r="63" spans="2:8" x14ac:dyDescent="0.25">
      <c r="B63" s="3"/>
      <c r="C63" s="9"/>
      <c r="D63" s="15"/>
      <c r="E63" s="7"/>
      <c r="G63" s="30"/>
      <c r="H63" s="25"/>
    </row>
    <row r="64" spans="2:8" x14ac:dyDescent="0.25">
      <c r="B64" s="4"/>
      <c r="C64" s="9"/>
      <c r="D64" s="15"/>
      <c r="E64" s="7"/>
      <c r="G64" s="30"/>
      <c r="H64" s="25"/>
    </row>
    <row r="65" spans="2:9" x14ac:dyDescent="0.25">
      <c r="B65" s="4"/>
      <c r="C65" s="9"/>
      <c r="D65" s="15"/>
      <c r="E65" s="7"/>
      <c r="G65" s="30"/>
      <c r="H65" s="25"/>
    </row>
    <row r="66" spans="2:9" x14ac:dyDescent="0.25">
      <c r="B66" s="4"/>
      <c r="C66" s="9"/>
      <c r="D66" s="15"/>
      <c r="E66" s="7"/>
      <c r="G66" s="30"/>
      <c r="H66" s="25"/>
    </row>
    <row r="67" spans="2:9" x14ac:dyDescent="0.25">
      <c r="B67" s="4"/>
      <c r="C67" s="9"/>
      <c r="D67" s="15"/>
      <c r="E67" s="7"/>
      <c r="G67" s="30"/>
      <c r="H67" s="25"/>
    </row>
    <row r="68" spans="2:9" x14ac:dyDescent="0.25">
      <c r="B68" s="4"/>
      <c r="C68" s="9"/>
      <c r="D68" s="15"/>
      <c r="E68" s="7"/>
      <c r="G68" s="30"/>
      <c r="H68" s="25"/>
      <c r="I68" s="32"/>
    </row>
    <row r="69" spans="2:9" x14ac:dyDescent="0.25">
      <c r="B69" s="4"/>
      <c r="C69" s="9"/>
      <c r="D69" s="15"/>
      <c r="E69" s="7"/>
      <c r="G69" s="30"/>
      <c r="H69" s="25"/>
      <c r="I69" s="31"/>
    </row>
    <row r="70" spans="2:9" x14ac:dyDescent="0.25">
      <c r="B70" s="4"/>
      <c r="C70" s="9"/>
      <c r="D70" s="15"/>
      <c r="E70" s="7"/>
      <c r="G70" s="30"/>
      <c r="H70" s="25"/>
      <c r="I70" s="32"/>
    </row>
    <row r="71" spans="2:9" x14ac:dyDescent="0.25">
      <c r="B71" s="4"/>
      <c r="C71" s="9"/>
      <c r="D71" s="15"/>
      <c r="E71" s="7"/>
      <c r="G71" s="30"/>
      <c r="H71" s="25"/>
      <c r="I71" s="32"/>
    </row>
    <row r="72" spans="2:9" ht="14.25" customHeight="1" x14ac:dyDescent="0.25">
      <c r="B72" s="4"/>
      <c r="C72" s="9"/>
      <c r="D72" s="15"/>
      <c r="E72" s="7"/>
      <c r="G72" s="30"/>
      <c r="H72" s="25"/>
    </row>
    <row r="73" spans="2:9" x14ac:dyDescent="0.25">
      <c r="B73" s="4"/>
      <c r="C73" s="9"/>
      <c r="D73" s="15"/>
      <c r="E73" s="7"/>
      <c r="G73" s="30"/>
      <c r="H73" s="25"/>
    </row>
    <row r="74" spans="2:9" x14ac:dyDescent="0.25">
      <c r="B74" s="4"/>
      <c r="C74" s="9"/>
      <c r="D74" s="15"/>
      <c r="E74" s="7"/>
      <c r="G74" s="30"/>
      <c r="H74" s="25"/>
      <c r="I74" s="31"/>
    </row>
    <row r="75" spans="2:9" x14ac:dyDescent="0.25">
      <c r="B75" s="4"/>
      <c r="C75" s="9"/>
      <c r="D75" s="15"/>
      <c r="E75" s="7"/>
      <c r="G75" s="30"/>
      <c r="H75" s="25"/>
    </row>
    <row r="76" spans="2:9" x14ac:dyDescent="0.25">
      <c r="B76" s="4"/>
      <c r="C76" s="9"/>
      <c r="D76" s="15"/>
      <c r="E76" s="7"/>
      <c r="G76" s="30"/>
      <c r="H76" s="25"/>
    </row>
    <row r="77" spans="2:9" x14ac:dyDescent="0.25">
      <c r="B77" s="4"/>
      <c r="C77" s="9"/>
      <c r="D77" s="15"/>
      <c r="E77" s="7"/>
      <c r="G77" s="30"/>
      <c r="H77" s="25"/>
    </row>
    <row r="78" spans="2:9" x14ac:dyDescent="0.25">
      <c r="B78" s="4"/>
      <c r="C78" s="8"/>
      <c r="D78" s="15"/>
      <c r="E78" s="7"/>
      <c r="G78" s="30"/>
      <c r="H78" s="29"/>
    </row>
    <row r="79" spans="2:9" x14ac:dyDescent="0.25">
      <c r="B79" s="4"/>
      <c r="C79" s="8"/>
      <c r="D79" s="15"/>
      <c r="E79" s="7"/>
      <c r="G79" s="30"/>
      <c r="H79" s="25"/>
    </row>
    <row r="80" spans="2:9" x14ac:dyDescent="0.25">
      <c r="B80" s="4"/>
      <c r="C80" s="8"/>
      <c r="D80" s="15"/>
      <c r="E80" s="7"/>
      <c r="G80" s="30"/>
      <c r="H80" s="25"/>
    </row>
    <row r="81" spans="2:8" x14ac:dyDescent="0.25">
      <c r="B81" s="4"/>
      <c r="C81" s="9"/>
      <c r="D81" s="15"/>
      <c r="E81" s="7"/>
      <c r="G81" s="30"/>
      <c r="H81" s="25"/>
    </row>
    <row r="82" spans="2:8" x14ac:dyDescent="0.25">
      <c r="B82" s="3"/>
      <c r="C82" s="9"/>
      <c r="D82" s="15"/>
      <c r="E82" s="7"/>
      <c r="G82" s="30"/>
      <c r="H82" s="25"/>
    </row>
    <row r="83" spans="2:8" x14ac:dyDescent="0.25">
      <c r="B83" s="4"/>
      <c r="C83" s="9"/>
      <c r="D83" s="15"/>
      <c r="E83" s="7"/>
      <c r="G83" s="30"/>
      <c r="H83" s="25"/>
    </row>
    <row r="84" spans="2:8" x14ac:dyDescent="0.25">
      <c r="B84" s="4"/>
      <c r="C84" s="9"/>
      <c r="D84" s="15"/>
      <c r="E84" s="7"/>
      <c r="G84" s="30"/>
      <c r="H84" s="25"/>
    </row>
    <row r="85" spans="2:8" x14ac:dyDescent="0.25">
      <c r="B85" s="4"/>
      <c r="C85" s="8"/>
      <c r="D85" s="15"/>
      <c r="E85" s="7"/>
      <c r="G85" s="30"/>
      <c r="H85" s="25"/>
    </row>
    <row r="86" spans="2:8" x14ac:dyDescent="0.25">
      <c r="B86" s="4"/>
      <c r="C86" s="9"/>
      <c r="D86" s="10"/>
      <c r="E86" s="7"/>
      <c r="G86" s="30"/>
      <c r="H86" s="25"/>
    </row>
    <row r="87" spans="2:8" x14ac:dyDescent="0.25">
      <c r="B87" s="4"/>
      <c r="C87" s="9"/>
      <c r="D87" s="15"/>
      <c r="E87" s="7"/>
      <c r="G87" s="30"/>
      <c r="H87" s="25"/>
    </row>
    <row r="88" spans="2:8" x14ac:dyDescent="0.25">
      <c r="B88" s="4"/>
      <c r="C88" s="9"/>
      <c r="D88" s="15"/>
      <c r="E88" s="7"/>
      <c r="G88" s="30"/>
      <c r="H88" s="25"/>
    </row>
    <row r="89" spans="2:8" x14ac:dyDescent="0.25">
      <c r="B89" s="4"/>
      <c r="C89" s="9"/>
      <c r="D89" s="15"/>
      <c r="E89" s="7"/>
      <c r="G89" s="30"/>
      <c r="H89" s="25"/>
    </row>
    <row r="90" spans="2:8" x14ac:dyDescent="0.25">
      <c r="B90" s="4"/>
      <c r="C90" s="9"/>
      <c r="D90" s="15"/>
      <c r="E90" s="7"/>
      <c r="G90" s="30"/>
      <c r="H90" s="25"/>
    </row>
    <row r="91" spans="2:8" x14ac:dyDescent="0.25">
      <c r="B91" s="4"/>
      <c r="C91" s="8"/>
      <c r="D91" s="15"/>
      <c r="E91" s="7"/>
      <c r="G91" s="30"/>
      <c r="H91" s="25"/>
    </row>
    <row r="92" spans="2:8" x14ac:dyDescent="0.25">
      <c r="B92" s="4"/>
      <c r="C92" s="9"/>
      <c r="D92" s="15"/>
      <c r="E92" s="7"/>
      <c r="G92" s="30"/>
      <c r="H92" s="25"/>
    </row>
    <row r="93" spans="2:8" x14ac:dyDescent="0.25">
      <c r="B93" s="4"/>
      <c r="C93" s="9"/>
      <c r="D93" s="15"/>
      <c r="E93" s="7"/>
      <c r="G93" s="30"/>
      <c r="H93" s="25"/>
    </row>
    <row r="94" spans="2:8" x14ac:dyDescent="0.25">
      <c r="B94" s="3"/>
      <c r="C94" s="9"/>
      <c r="D94" s="15"/>
      <c r="E94" s="7"/>
      <c r="G94" s="30"/>
      <c r="H94" s="25"/>
    </row>
    <row r="95" spans="2:8" x14ac:dyDescent="0.25">
      <c r="B95" s="4"/>
      <c r="C95" s="8"/>
      <c r="D95" s="15"/>
      <c r="E95" s="7"/>
      <c r="G95" s="30"/>
      <c r="H95" s="25"/>
    </row>
    <row r="96" spans="2:8" x14ac:dyDescent="0.25">
      <c r="B96" s="4"/>
      <c r="C96" s="8"/>
      <c r="D96" s="15"/>
      <c r="E96" s="7"/>
      <c r="G96" s="30"/>
      <c r="H96" s="25"/>
    </row>
    <row r="97" spans="2:8" x14ac:dyDescent="0.25">
      <c r="B97" s="4"/>
      <c r="C97" s="9"/>
      <c r="D97" s="15"/>
      <c r="E97" s="7"/>
      <c r="G97" s="30"/>
      <c r="H97" s="25"/>
    </row>
    <row r="98" spans="2:8" x14ac:dyDescent="0.25">
      <c r="B98" s="4"/>
      <c r="C98" s="9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3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4"/>
      <c r="C103" s="9"/>
      <c r="D103" s="15"/>
      <c r="E103" s="7"/>
      <c r="G103" s="30"/>
      <c r="H103" s="25"/>
    </row>
    <row r="104" spans="2:8" x14ac:dyDescent="0.25">
      <c r="B104" s="4"/>
      <c r="C104" s="8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9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9"/>
      <c r="D115" s="10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5"/>
      <c r="E117" s="7"/>
      <c r="G117" s="30"/>
      <c r="H117" s="25"/>
    </row>
    <row r="118" spans="2:8" x14ac:dyDescent="0.25">
      <c r="B118" s="4"/>
      <c r="C118" s="9"/>
      <c r="D118" s="15"/>
      <c r="E118" s="7"/>
      <c r="G118" s="30"/>
      <c r="H118" s="25"/>
    </row>
    <row r="119" spans="2:8" x14ac:dyDescent="0.25">
      <c r="B119" s="4"/>
      <c r="C119" s="9"/>
      <c r="D119" s="15"/>
      <c r="E119" s="7"/>
      <c r="G119" s="30"/>
      <c r="H119" s="25"/>
    </row>
    <row r="120" spans="2:8" x14ac:dyDescent="0.25">
      <c r="B120" s="4"/>
      <c r="C120" s="9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4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9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8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8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9"/>
      <c r="D138" s="15"/>
      <c r="E138" s="7"/>
      <c r="G138" s="30"/>
      <c r="H138" s="25"/>
    </row>
    <row r="139" spans="2:8" x14ac:dyDescent="0.25">
      <c r="B139" s="4"/>
      <c r="C139" s="9"/>
      <c r="D139" s="15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8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9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0"/>
      <c r="E152" s="7"/>
      <c r="G152" s="30"/>
      <c r="H152" s="25"/>
    </row>
    <row r="153" spans="2:8" x14ac:dyDescent="0.25">
      <c r="B153" s="3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3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4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8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8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8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8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9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3"/>
      <c r="C193" s="8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8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8"/>
      <c r="D201" s="15"/>
      <c r="E201" s="7"/>
      <c r="G201" s="30"/>
      <c r="H201" s="25"/>
    </row>
    <row r="202" spans="2:8" x14ac:dyDescent="0.25">
      <c r="B202" s="4"/>
      <c r="C202" s="8"/>
      <c r="D202" s="15"/>
      <c r="E202" s="7"/>
      <c r="G202" s="30"/>
      <c r="H202" s="25"/>
    </row>
    <row r="203" spans="2:8" x14ac:dyDescent="0.25">
      <c r="B203" s="4"/>
      <c r="C203" s="9"/>
      <c r="D203" s="15"/>
      <c r="E203" s="7"/>
      <c r="G203" s="30"/>
      <c r="H203" s="25"/>
    </row>
    <row r="204" spans="2:8" x14ac:dyDescent="0.25">
      <c r="B204" s="4"/>
      <c r="C204" s="8"/>
      <c r="D204" s="15"/>
      <c r="E204" s="7"/>
      <c r="G204" s="30"/>
      <c r="H204" s="25"/>
    </row>
    <row r="205" spans="2:8" x14ac:dyDescent="0.25">
      <c r="B205" s="4"/>
      <c r="C205" s="9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8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9"/>
      <c r="D213" s="15"/>
      <c r="E213" s="7"/>
      <c r="G213" s="30"/>
      <c r="H213" s="25"/>
    </row>
    <row r="214" spans="2:8" x14ac:dyDescent="0.25">
      <c r="B214" s="3"/>
      <c r="C214" s="8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9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ht="13.5" customHeight="1" x14ac:dyDescent="0.25">
      <c r="B220" s="4"/>
      <c r="C220" s="9"/>
      <c r="D220" s="15"/>
      <c r="E220" s="7"/>
      <c r="G220" s="30"/>
      <c r="H220" s="25"/>
    </row>
    <row r="221" spans="2:8" ht="13.5" customHeight="1" x14ac:dyDescent="0.25">
      <c r="B221" s="4"/>
      <c r="C221" s="9"/>
      <c r="D221" s="15"/>
      <c r="E221" s="7"/>
      <c r="G221" s="30"/>
      <c r="H221" s="25"/>
    </row>
    <row r="222" spans="2:8" ht="13.5" customHeight="1" x14ac:dyDescent="0.25">
      <c r="B222" s="4"/>
      <c r="C222" s="8"/>
      <c r="D222" s="15"/>
      <c r="E222" s="7"/>
      <c r="G222" s="30"/>
      <c r="H222" s="25"/>
    </row>
    <row r="223" spans="2:8" ht="13.5" customHeight="1" x14ac:dyDescent="0.25">
      <c r="B223" s="4"/>
      <c r="C223" s="9"/>
      <c r="D223" s="15"/>
      <c r="E223" s="7"/>
      <c r="G223" s="30"/>
      <c r="H223" s="25"/>
    </row>
    <row r="224" spans="2:8" ht="13.5" customHeight="1" x14ac:dyDescent="0.25">
      <c r="B224" s="4"/>
      <c r="C224" s="9"/>
      <c r="D224" s="15"/>
      <c r="E224" s="7"/>
      <c r="G224" s="30"/>
      <c r="H224" s="25"/>
    </row>
    <row r="225" spans="2:8" ht="13.5" customHeight="1" x14ac:dyDescent="0.25">
      <c r="B225" s="4"/>
      <c r="C225" s="9"/>
      <c r="D225" s="15"/>
      <c r="E225" s="7"/>
      <c r="G225" s="30"/>
      <c r="H225" s="25"/>
    </row>
    <row r="226" spans="2:8" ht="13.5" customHeight="1" x14ac:dyDescent="0.25">
      <c r="B226" s="4"/>
      <c r="C226" s="9"/>
      <c r="D226" s="15"/>
      <c r="E226" s="7"/>
      <c r="G226" s="30"/>
      <c r="H226" s="25"/>
    </row>
    <row r="227" spans="2:8" ht="13.5" customHeight="1" x14ac:dyDescent="0.25">
      <c r="B227" s="4"/>
      <c r="C227" s="8"/>
      <c r="D227" s="15"/>
      <c r="E227" s="7"/>
      <c r="G227" s="30"/>
      <c r="H227" s="25"/>
    </row>
    <row r="228" spans="2:8" ht="13.5" customHeight="1" x14ac:dyDescent="0.25">
      <c r="B228" s="4"/>
      <c r="C228" s="9"/>
      <c r="D228" s="15"/>
      <c r="E228" s="7"/>
      <c r="G228" s="30"/>
      <c r="H228" s="25"/>
    </row>
    <row r="229" spans="2:8" ht="13.5" customHeight="1" x14ac:dyDescent="0.25">
      <c r="B229" s="4"/>
      <c r="C229" s="9"/>
      <c r="D229" s="15"/>
      <c r="E229" s="7"/>
      <c r="G229" s="30"/>
      <c r="H229" s="25"/>
    </row>
    <row r="230" spans="2:8" ht="13.5" customHeight="1" x14ac:dyDescent="0.25">
      <c r="B230" s="4"/>
      <c r="C230" s="9"/>
      <c r="D230" s="15"/>
      <c r="E230" s="7"/>
      <c r="G230" s="30"/>
      <c r="H230" s="25"/>
    </row>
    <row r="231" spans="2:8" ht="13.5" customHeight="1" x14ac:dyDescent="0.25">
      <c r="B231" s="4"/>
      <c r="C231" s="9"/>
      <c r="D231" s="15"/>
      <c r="E231" s="7"/>
      <c r="G231" s="30"/>
      <c r="H231" s="25"/>
    </row>
    <row r="232" spans="2:8" ht="13.5" customHeight="1" x14ac:dyDescent="0.25">
      <c r="B232" s="4"/>
      <c r="C232" s="9"/>
      <c r="D232" s="15"/>
      <c r="E232" s="7"/>
      <c r="G232" s="30"/>
      <c r="H232" s="25"/>
    </row>
    <row r="233" spans="2:8" ht="13.5" customHeight="1" x14ac:dyDescent="0.25">
      <c r="B233" s="4"/>
      <c r="C233" s="9"/>
      <c r="D233" s="15"/>
      <c r="E233" s="7"/>
      <c r="G233" s="30"/>
      <c r="H233" s="25"/>
    </row>
    <row r="234" spans="2:8" ht="13.5" customHeight="1" x14ac:dyDescent="0.25">
      <c r="B234" s="4"/>
      <c r="C234" s="8"/>
      <c r="D234" s="15"/>
      <c r="E234" s="7"/>
      <c r="G234" s="30"/>
      <c r="H234" s="25"/>
    </row>
    <row r="235" spans="2:8" ht="13.5" customHeight="1" x14ac:dyDescent="0.25">
      <c r="B235" s="4"/>
      <c r="C235" s="9"/>
      <c r="D235" s="15"/>
      <c r="E235" s="7"/>
      <c r="G235" s="30"/>
      <c r="H235" s="25"/>
    </row>
    <row r="236" spans="2:8" ht="13.5" customHeight="1" x14ac:dyDescent="0.25">
      <c r="B236" s="4"/>
      <c r="C236" s="9"/>
      <c r="D236" s="15"/>
      <c r="E236" s="7"/>
      <c r="G236" s="30"/>
      <c r="H236" s="25"/>
    </row>
    <row r="237" spans="2:8" ht="13.5" customHeight="1" x14ac:dyDescent="0.25">
      <c r="B237" s="4"/>
      <c r="C237" s="9"/>
      <c r="D237" s="15"/>
      <c r="E237" s="7"/>
      <c r="G237" s="30"/>
      <c r="H237" s="25"/>
    </row>
    <row r="238" spans="2:8" ht="13.5" customHeight="1" x14ac:dyDescent="0.25">
      <c r="B238" s="4"/>
      <c r="C238" s="9"/>
      <c r="D238" s="10"/>
      <c r="E238" s="7"/>
      <c r="G238" s="30"/>
      <c r="H238" s="25"/>
    </row>
    <row r="239" spans="2:8" ht="13.5" customHeight="1" x14ac:dyDescent="0.25">
      <c r="B239" s="4"/>
      <c r="C239" s="9"/>
      <c r="D239" s="15"/>
      <c r="E239" s="7"/>
      <c r="G239" s="30"/>
      <c r="H239" s="25"/>
    </row>
    <row r="240" spans="2:8" ht="13.5" customHeight="1" x14ac:dyDescent="0.25">
      <c r="B240" s="4"/>
      <c r="C240" s="9"/>
      <c r="D240" s="15"/>
      <c r="E240" s="7"/>
      <c r="G240" s="30"/>
      <c r="H240" s="25"/>
    </row>
    <row r="241" spans="1:8" ht="13.5" customHeight="1" x14ac:dyDescent="0.25">
      <c r="B241" s="4"/>
      <c r="C241" s="9"/>
      <c r="D241" s="10"/>
      <c r="E241" s="7"/>
      <c r="G241" s="30"/>
      <c r="H241" s="25"/>
    </row>
    <row r="242" spans="1:8" ht="13.5" customHeight="1" x14ac:dyDescent="0.25">
      <c r="B242" s="4"/>
      <c r="C242" s="9"/>
      <c r="D242" s="10"/>
      <c r="E242" s="7"/>
      <c r="G242" s="30"/>
      <c r="H242" s="25"/>
    </row>
    <row r="243" spans="1:8" x14ac:dyDescent="0.25">
      <c r="B243" s="4"/>
      <c r="C243" s="8"/>
      <c r="D243" s="15"/>
      <c r="E243" s="7"/>
      <c r="G243" s="30"/>
      <c r="H243" s="25"/>
    </row>
    <row r="244" spans="1:8" x14ac:dyDescent="0.25">
      <c r="G244" s="30"/>
      <c r="H244" s="25"/>
    </row>
    <row r="245" spans="1:8" x14ac:dyDescent="0.25">
      <c r="G245" s="30"/>
      <c r="H245" s="25"/>
    </row>
    <row r="246" spans="1:8" x14ac:dyDescent="0.25">
      <c r="G246" s="30"/>
      <c r="H246" s="25"/>
    </row>
    <row r="247" spans="1:8" x14ac:dyDescent="0.25">
      <c r="G247" s="30"/>
      <c r="H247" s="25"/>
    </row>
    <row r="248" spans="1:8" x14ac:dyDescent="0.25">
      <c r="B248" s="4"/>
      <c r="C248" s="9"/>
      <c r="D248" s="15"/>
      <c r="E248" s="7"/>
      <c r="G248" s="30"/>
      <c r="H248" s="25"/>
    </row>
    <row r="249" spans="1:8" x14ac:dyDescent="0.25">
      <c r="B249" s="4"/>
      <c r="C249" s="9"/>
      <c r="D249" s="10"/>
      <c r="E249" s="7"/>
      <c r="H249" s="25"/>
    </row>
    <row r="250" spans="1:8" x14ac:dyDescent="0.25">
      <c r="B250" s="4"/>
      <c r="C250" s="9"/>
      <c r="D250" s="10"/>
      <c r="E250" s="7"/>
      <c r="H250" s="25"/>
    </row>
    <row r="251" spans="1:8" x14ac:dyDescent="0.25">
      <c r="B251" s="4"/>
      <c r="C251" s="8"/>
      <c r="D251" s="10"/>
      <c r="E251" s="7"/>
      <c r="H251" s="25"/>
    </row>
    <row r="252" spans="1:8" x14ac:dyDescent="0.25">
      <c r="B252" s="4"/>
      <c r="C252" s="8"/>
      <c r="D252" s="15"/>
      <c r="E252" s="7"/>
      <c r="H252" s="25"/>
    </row>
    <row r="253" spans="1:8" x14ac:dyDescent="0.25">
      <c r="B253" s="4"/>
      <c r="C253" s="8"/>
      <c r="D253" s="10"/>
      <c r="E253" s="7"/>
      <c r="H253" s="25"/>
    </row>
    <row r="254" spans="1:8" x14ac:dyDescent="0.25">
      <c r="B254" s="4"/>
      <c r="C254" s="8"/>
      <c r="D254" s="10"/>
      <c r="E254" s="7"/>
      <c r="H254" s="25"/>
    </row>
    <row r="255" spans="1:8" x14ac:dyDescent="0.25">
      <c r="B255" s="4"/>
      <c r="C255" s="9"/>
      <c r="D255" s="10"/>
      <c r="E255" s="7"/>
      <c r="H255" s="25"/>
    </row>
    <row r="256" spans="1:8" x14ac:dyDescent="0.25">
      <c r="A256" s="13"/>
      <c r="B256" s="4"/>
      <c r="C256" s="9"/>
      <c r="D256" s="15"/>
      <c r="E256" s="7"/>
      <c r="H256" s="25"/>
    </row>
    <row r="257" spans="1:8" x14ac:dyDescent="0.25">
      <c r="A257" s="13"/>
      <c r="B257" s="4"/>
      <c r="C257" s="8"/>
      <c r="D257" s="15"/>
      <c r="E257" s="7"/>
      <c r="H257" s="25"/>
    </row>
    <row r="258" spans="1:8" x14ac:dyDescent="0.25">
      <c r="A258" s="13"/>
      <c r="B258" s="4"/>
      <c r="C258" s="8"/>
      <c r="D258" s="10"/>
      <c r="E258" s="7"/>
      <c r="H258" s="25"/>
    </row>
    <row r="259" spans="1:8" x14ac:dyDescent="0.25">
      <c r="A259" s="13"/>
      <c r="B259" s="4"/>
      <c r="C259" s="9"/>
      <c r="D259" s="10"/>
      <c r="E259" s="7"/>
      <c r="H259" s="25"/>
    </row>
    <row r="260" spans="1:8" x14ac:dyDescent="0.25">
      <c r="A260" s="13"/>
      <c r="B260" s="4"/>
      <c r="C260" s="9"/>
      <c r="D260" s="15"/>
      <c r="E260" s="7"/>
      <c r="H260" s="25"/>
    </row>
    <row r="261" spans="1:8" x14ac:dyDescent="0.25">
      <c r="A261" s="13"/>
      <c r="B261" s="4"/>
      <c r="C261" s="9"/>
      <c r="D261" s="10"/>
      <c r="E261" s="7"/>
      <c r="H261" s="25"/>
    </row>
    <row r="262" spans="1:8" x14ac:dyDescent="0.25">
      <c r="A262" s="13"/>
      <c r="B262" s="4"/>
      <c r="C262" s="9"/>
      <c r="D262" s="15"/>
      <c r="E262" s="7"/>
      <c r="H262" s="25"/>
    </row>
    <row r="263" spans="1:8" x14ac:dyDescent="0.25">
      <c r="A263" s="13"/>
      <c r="B263" s="4"/>
      <c r="C263" s="9"/>
      <c r="D263" s="10"/>
      <c r="E263" s="7"/>
      <c r="H263" s="25"/>
    </row>
    <row r="264" spans="1:8" x14ac:dyDescent="0.25">
      <c r="A264" s="13"/>
      <c r="B264" s="4"/>
      <c r="C264" s="8"/>
      <c r="D264" s="15"/>
      <c r="E264" s="7"/>
      <c r="H264" s="25"/>
    </row>
    <row r="265" spans="1:8" x14ac:dyDescent="0.25">
      <c r="A265" s="13"/>
      <c r="B265" s="4"/>
      <c r="C265" s="9"/>
      <c r="D265" s="15"/>
      <c r="E265" s="7"/>
      <c r="H265" s="25"/>
    </row>
    <row r="266" spans="1:8" x14ac:dyDescent="0.25">
      <c r="A266" s="13"/>
      <c r="B266" s="4"/>
      <c r="C266" s="9"/>
      <c r="D266" s="10"/>
      <c r="E266" s="7"/>
      <c r="H266" s="25"/>
    </row>
    <row r="267" spans="1:8" x14ac:dyDescent="0.25">
      <c r="A267" s="13"/>
      <c r="B267" s="4"/>
      <c r="C267" s="9"/>
      <c r="D267" s="15"/>
      <c r="E267" s="7"/>
      <c r="H267" s="25"/>
    </row>
    <row r="268" spans="1:8" x14ac:dyDescent="0.25">
      <c r="A268" s="13"/>
      <c r="B268" s="4"/>
      <c r="C268" s="9"/>
      <c r="D268" s="15"/>
      <c r="E268" s="7"/>
      <c r="H268" s="25"/>
    </row>
    <row r="269" spans="1:8" x14ac:dyDescent="0.25">
      <c r="A269" s="13"/>
      <c r="B269" s="4"/>
      <c r="C269" s="9"/>
      <c r="D269" s="10"/>
      <c r="E269" s="7"/>
      <c r="H269" s="25"/>
    </row>
    <row r="270" spans="1:8" x14ac:dyDescent="0.25">
      <c r="A270" s="13"/>
      <c r="B270" s="4"/>
      <c r="C270" s="9"/>
      <c r="D270" s="15"/>
      <c r="E270" s="7"/>
      <c r="H270" s="25"/>
    </row>
    <row r="271" spans="1:8" x14ac:dyDescent="0.25">
      <c r="A271" s="13"/>
      <c r="B271" s="4"/>
      <c r="C271" s="9"/>
      <c r="D271" s="10"/>
      <c r="E271" s="7"/>
      <c r="H271" s="25"/>
    </row>
    <row r="272" spans="1:8" x14ac:dyDescent="0.25">
      <c r="A272" s="13"/>
      <c r="B272" s="4"/>
      <c r="C272" s="9"/>
      <c r="D272" s="10"/>
      <c r="E272" s="7"/>
      <c r="H272" s="25"/>
    </row>
    <row r="273" spans="1:8" x14ac:dyDescent="0.25">
      <c r="A273" s="13"/>
      <c r="B273" s="4"/>
      <c r="C273" s="9"/>
      <c r="D273" s="15"/>
      <c r="E273" s="7"/>
      <c r="H273" s="25"/>
    </row>
    <row r="274" spans="1:8" x14ac:dyDescent="0.25">
      <c r="A274" s="13"/>
      <c r="B274" s="4"/>
      <c r="C274" s="9"/>
      <c r="D274" s="10"/>
      <c r="E274" s="7"/>
      <c r="H274" s="25"/>
    </row>
    <row r="275" spans="1:8" x14ac:dyDescent="0.25">
      <c r="A275" s="13"/>
      <c r="B275" s="4"/>
      <c r="C275" s="8"/>
      <c r="D275" s="10"/>
      <c r="E275" s="7"/>
      <c r="H275" s="25"/>
    </row>
    <row r="276" spans="1:8" x14ac:dyDescent="0.25">
      <c r="A276" s="13"/>
      <c r="B276" s="4"/>
      <c r="C276" s="8"/>
      <c r="D276" s="10"/>
      <c r="E276" s="7"/>
      <c r="H276" s="25"/>
    </row>
    <row r="277" spans="1:8" x14ac:dyDescent="0.25">
      <c r="A277" s="13"/>
      <c r="B277" s="4"/>
      <c r="C277" s="8"/>
      <c r="D277" s="10"/>
      <c r="E277" s="7"/>
      <c r="H277" s="25"/>
    </row>
    <row r="278" spans="1:8" x14ac:dyDescent="0.25">
      <c r="A278" s="13"/>
      <c r="B278" s="4"/>
      <c r="C278" s="9"/>
      <c r="D278" s="10"/>
      <c r="E278" s="7"/>
      <c r="H278" s="25"/>
    </row>
    <row r="279" spans="1:8" x14ac:dyDescent="0.25">
      <c r="A279" s="13"/>
      <c r="B279" s="4"/>
      <c r="C279" s="9"/>
      <c r="D279" s="15"/>
      <c r="E279" s="7"/>
      <c r="H279" s="25"/>
    </row>
    <row r="280" spans="1:8" x14ac:dyDescent="0.25">
      <c r="A280" s="13"/>
      <c r="B280" s="4"/>
      <c r="C280" s="8"/>
      <c r="D280" s="15"/>
      <c r="E280" s="7"/>
      <c r="H280" s="25"/>
    </row>
    <row r="281" spans="1:8" x14ac:dyDescent="0.25">
      <c r="A281" s="13"/>
      <c r="B281" s="4"/>
      <c r="C281" s="9"/>
      <c r="D281" s="10"/>
      <c r="E281" s="7"/>
      <c r="H281" s="25"/>
    </row>
    <row r="282" spans="1:8" x14ac:dyDescent="0.25">
      <c r="A282" s="13"/>
      <c r="B282" s="4"/>
      <c r="C282" s="9"/>
      <c r="D282" s="10"/>
      <c r="E282" s="7"/>
      <c r="H282" s="25"/>
    </row>
    <row r="283" spans="1:8" x14ac:dyDescent="0.25">
      <c r="A283" s="13"/>
      <c r="B283" s="4"/>
      <c r="C283" s="9"/>
      <c r="D283" s="10"/>
      <c r="E283" s="7"/>
      <c r="H283" s="25"/>
    </row>
    <row r="284" spans="1:8" x14ac:dyDescent="0.25">
      <c r="A284" s="13"/>
      <c r="B284" s="4"/>
      <c r="C284" s="9"/>
      <c r="D284" s="15"/>
      <c r="E284" s="7"/>
      <c r="H284" s="25"/>
    </row>
    <row r="285" spans="1:8" x14ac:dyDescent="0.25">
      <c r="A285" s="13"/>
      <c r="B285" s="4"/>
      <c r="C285" s="9"/>
      <c r="D285" s="15"/>
      <c r="E285" s="7"/>
      <c r="H285" s="25"/>
    </row>
    <row r="286" spans="1:8" x14ac:dyDescent="0.25">
      <c r="A286" s="13"/>
      <c r="B286" s="4"/>
      <c r="C286" s="8"/>
      <c r="D286" s="15"/>
      <c r="E286" s="7"/>
      <c r="H286" s="25"/>
    </row>
    <row r="287" spans="1:8" x14ac:dyDescent="0.25">
      <c r="A287" s="13"/>
      <c r="B287" s="4"/>
      <c r="C287" s="9"/>
      <c r="D287" s="10"/>
      <c r="E287" s="7"/>
      <c r="H287" s="25"/>
    </row>
    <row r="288" spans="1:8" x14ac:dyDescent="0.25">
      <c r="A288" s="13"/>
      <c r="B288" s="4"/>
      <c r="C288" s="9"/>
      <c r="D288" s="10"/>
      <c r="E288" s="7"/>
      <c r="H288" s="25"/>
    </row>
    <row r="289" spans="1:8" x14ac:dyDescent="0.25">
      <c r="A289" s="13"/>
      <c r="B289" s="4"/>
      <c r="C289" s="9"/>
      <c r="D289" s="10"/>
      <c r="E289" s="7"/>
      <c r="H289" s="25"/>
    </row>
    <row r="290" spans="1:8" x14ac:dyDescent="0.25">
      <c r="A290" s="13"/>
      <c r="B290" s="4"/>
      <c r="C290" s="9"/>
      <c r="D290" s="10"/>
      <c r="E290" s="7"/>
      <c r="H290" s="25"/>
    </row>
    <row r="291" spans="1:8" x14ac:dyDescent="0.25">
      <c r="A291" s="13"/>
      <c r="B291" s="4"/>
      <c r="C291" s="9"/>
      <c r="D291" s="10"/>
      <c r="E291" s="7"/>
      <c r="H291" s="25"/>
    </row>
    <row r="292" spans="1:8" x14ac:dyDescent="0.25">
      <c r="A292" s="13"/>
      <c r="B292" s="4"/>
      <c r="C292" s="9"/>
      <c r="D292" s="10"/>
      <c r="E292" s="7"/>
      <c r="H292" s="25"/>
    </row>
    <row r="293" spans="1:8" x14ac:dyDescent="0.25">
      <c r="A293" s="13"/>
      <c r="B293" s="4"/>
      <c r="C293" s="9"/>
      <c r="D293" s="15"/>
      <c r="E293" s="7"/>
      <c r="H293" s="25"/>
    </row>
    <row r="294" spans="1:8" x14ac:dyDescent="0.25">
      <c r="A294" s="13"/>
      <c r="B294" s="4"/>
      <c r="C294" s="9"/>
      <c r="D294" s="10"/>
      <c r="E294" s="7"/>
      <c r="H294" s="25"/>
    </row>
    <row r="295" spans="1:8" x14ac:dyDescent="0.25">
      <c r="A295" s="13"/>
      <c r="B295" s="4"/>
      <c r="C295" s="9"/>
      <c r="D295" s="10"/>
      <c r="E295" s="7"/>
      <c r="H295" s="25"/>
    </row>
    <row r="296" spans="1:8" x14ac:dyDescent="0.25">
      <c r="A296" s="13"/>
      <c r="B296" s="4"/>
      <c r="C296" s="8"/>
      <c r="D296" s="15"/>
      <c r="E296" s="7"/>
      <c r="H296" s="25"/>
    </row>
    <row r="297" spans="1:8" x14ac:dyDescent="0.25">
      <c r="A297" s="13"/>
      <c r="B297" s="4"/>
      <c r="C297" s="9"/>
      <c r="D297" s="10"/>
      <c r="E297" s="7"/>
      <c r="H297" s="25"/>
    </row>
    <row r="298" spans="1:8" x14ac:dyDescent="0.25">
      <c r="A298" s="13"/>
      <c r="B298" s="4"/>
      <c r="C298" s="9"/>
      <c r="D298" s="10"/>
      <c r="E298" s="7"/>
      <c r="H298" s="25"/>
    </row>
    <row r="299" spans="1:8" x14ac:dyDescent="0.25">
      <c r="A299" s="13"/>
      <c r="B299" s="4"/>
      <c r="C299" s="8"/>
      <c r="D299" s="10"/>
      <c r="E299" s="7"/>
      <c r="H299" s="25"/>
    </row>
    <row r="300" spans="1:8" x14ac:dyDescent="0.25">
      <c r="A300" s="13"/>
      <c r="B300" s="4"/>
      <c r="C300" s="8"/>
      <c r="D300" s="10"/>
      <c r="E300" s="7"/>
      <c r="H300" s="25"/>
    </row>
    <row r="301" spans="1:8" x14ac:dyDescent="0.25">
      <c r="A301" s="13"/>
      <c r="B301" s="4"/>
      <c r="C301" s="9"/>
      <c r="D301" s="10"/>
      <c r="E301" s="7"/>
      <c r="H301" s="25"/>
    </row>
    <row r="302" spans="1:8" x14ac:dyDescent="0.25">
      <c r="A302" s="13"/>
      <c r="B302" s="4"/>
      <c r="C302" s="9"/>
      <c r="D302" s="10"/>
      <c r="E302" s="7"/>
      <c r="H302" s="25"/>
    </row>
    <row r="303" spans="1:8" x14ac:dyDescent="0.25">
      <c r="A303" s="13"/>
      <c r="B303" s="4"/>
      <c r="C303" s="9"/>
      <c r="D303" s="10"/>
      <c r="E303" s="7"/>
      <c r="H303" s="25"/>
    </row>
    <row r="304" spans="1:8" x14ac:dyDescent="0.25">
      <c r="A304" s="13"/>
      <c r="B304" s="4"/>
      <c r="C304" s="9"/>
      <c r="D304" s="10"/>
      <c r="E304" s="7"/>
      <c r="H304" s="25"/>
    </row>
    <row r="305" spans="1:8" x14ac:dyDescent="0.25">
      <c r="A305" s="13"/>
      <c r="B305" s="4"/>
      <c r="C305" s="8"/>
      <c r="D305" s="10"/>
      <c r="E305" s="7"/>
      <c r="H305" s="25"/>
    </row>
    <row r="306" spans="1:8" x14ac:dyDescent="0.25">
      <c r="A306" s="13"/>
      <c r="B306" s="4"/>
      <c r="C306" s="9"/>
      <c r="D306" s="10"/>
      <c r="E306" s="7"/>
      <c r="H306" s="25"/>
    </row>
    <row r="307" spans="1:8" x14ac:dyDescent="0.25">
      <c r="A307" s="13"/>
      <c r="B307" s="4"/>
      <c r="C307" s="9"/>
      <c r="D307" s="15"/>
      <c r="E307" s="7"/>
      <c r="H307" s="25"/>
    </row>
    <row r="308" spans="1:8" x14ac:dyDescent="0.25">
      <c r="A308" s="13"/>
      <c r="B308" s="4"/>
      <c r="C308" s="8"/>
      <c r="D308" s="15"/>
      <c r="E308" s="7"/>
      <c r="H308" s="25"/>
    </row>
    <row r="309" spans="1:8" x14ac:dyDescent="0.25">
      <c r="A309" s="13"/>
      <c r="B309" s="4"/>
      <c r="C309" s="9"/>
      <c r="D309" s="10"/>
      <c r="E309" s="7"/>
      <c r="H309" s="25"/>
    </row>
    <row r="310" spans="1:8" x14ac:dyDescent="0.25">
      <c r="A310" s="13"/>
      <c r="B310" s="4"/>
      <c r="C310" s="9"/>
      <c r="D310" s="10"/>
      <c r="E310" s="7"/>
      <c r="H310" s="25"/>
    </row>
    <row r="311" spans="1:8" x14ac:dyDescent="0.25">
      <c r="A311" s="13"/>
      <c r="B311" s="4"/>
      <c r="C311" s="8"/>
      <c r="D311" s="10"/>
      <c r="E311" s="7"/>
      <c r="H311" s="25"/>
    </row>
    <row r="312" spans="1:8" x14ac:dyDescent="0.25">
      <c r="A312" s="13"/>
      <c r="B312" s="4"/>
      <c r="C312" s="9"/>
      <c r="D312" s="10"/>
      <c r="E312" s="7"/>
      <c r="H312" s="25"/>
    </row>
    <row r="313" spans="1:8" x14ac:dyDescent="0.25">
      <c r="A313" s="13"/>
      <c r="B313" s="4"/>
      <c r="C313" s="9"/>
      <c r="D313" s="10"/>
      <c r="E313" s="7"/>
      <c r="H313" s="25"/>
    </row>
    <row r="314" spans="1:8" x14ac:dyDescent="0.25">
      <c r="A314" s="13"/>
      <c r="B314" s="4"/>
      <c r="C314" s="8"/>
      <c r="D314" s="15"/>
      <c r="E314" s="7"/>
      <c r="H314" s="25"/>
    </row>
    <row r="315" spans="1:8" x14ac:dyDescent="0.25">
      <c r="A315" s="13"/>
      <c r="B315" s="4"/>
      <c r="C315" s="9"/>
      <c r="D315" s="15"/>
      <c r="E315" s="7"/>
      <c r="H315" s="25"/>
    </row>
    <row r="316" spans="1:8" x14ac:dyDescent="0.25">
      <c r="A316" s="13"/>
      <c r="B316" s="4"/>
      <c r="C316" s="9"/>
      <c r="D316" s="10"/>
      <c r="E316" s="7"/>
      <c r="H316" s="25"/>
    </row>
    <row r="317" spans="1:8" x14ac:dyDescent="0.25">
      <c r="A317" s="13"/>
      <c r="B317" s="4"/>
      <c r="C317" s="9"/>
      <c r="D317" s="15"/>
      <c r="E317" s="7"/>
      <c r="H317" s="25"/>
    </row>
    <row r="318" spans="1:8" x14ac:dyDescent="0.25">
      <c r="A318" s="13"/>
      <c r="B318" s="4"/>
      <c r="C318" s="8"/>
      <c r="D318" s="10"/>
      <c r="E318" s="7"/>
      <c r="H318" s="25"/>
    </row>
    <row r="319" spans="1:8" x14ac:dyDescent="0.25">
      <c r="A319" s="13"/>
      <c r="B319" s="4"/>
      <c r="C319" s="9"/>
      <c r="D319" s="15"/>
      <c r="E319" s="7"/>
      <c r="H319" s="25"/>
    </row>
    <row r="320" spans="1:8" x14ac:dyDescent="0.25">
      <c r="A320" s="13"/>
      <c r="B320" s="4"/>
      <c r="C320" s="9"/>
      <c r="D320" s="10"/>
      <c r="E320" s="7"/>
      <c r="H320" s="25"/>
    </row>
    <row r="321" spans="1:8" x14ac:dyDescent="0.25">
      <c r="A321" s="13"/>
      <c r="B321" s="4"/>
      <c r="C321" s="9"/>
      <c r="D321" s="15"/>
      <c r="E321" s="7"/>
      <c r="H321" s="25"/>
    </row>
    <row r="322" spans="1:8" x14ac:dyDescent="0.25">
      <c r="A322" s="13"/>
      <c r="B322" s="4"/>
      <c r="C322" s="9"/>
      <c r="D322" s="10"/>
      <c r="E322" s="7"/>
      <c r="H322" s="25"/>
    </row>
    <row r="323" spans="1:8" x14ac:dyDescent="0.25">
      <c r="A323" s="13"/>
      <c r="B323" s="4"/>
      <c r="C323" s="9"/>
      <c r="D323" s="10"/>
      <c r="E323" s="7"/>
      <c r="H323" s="25"/>
    </row>
    <row r="324" spans="1:8" x14ac:dyDescent="0.25">
      <c r="A324" s="13"/>
      <c r="B324" s="4"/>
      <c r="C324" s="9"/>
      <c r="D324" s="15"/>
      <c r="E324" s="7"/>
      <c r="H324" s="25"/>
    </row>
    <row r="325" spans="1:8" x14ac:dyDescent="0.25">
      <c r="A325" s="13"/>
      <c r="B325" s="4"/>
      <c r="C325" s="9"/>
      <c r="D325" s="15"/>
      <c r="E325" s="7"/>
      <c r="H325" s="25"/>
    </row>
    <row r="326" spans="1:8" x14ac:dyDescent="0.25">
      <c r="A326" s="13"/>
      <c r="B326" s="4"/>
      <c r="C326" s="9"/>
      <c r="D326" s="15"/>
      <c r="E326" s="7"/>
      <c r="H326" s="25"/>
    </row>
    <row r="327" spans="1:8" x14ac:dyDescent="0.25">
      <c r="A327" s="13"/>
      <c r="B327" s="4"/>
      <c r="C327" s="9"/>
      <c r="D327" s="15"/>
      <c r="E327" s="7"/>
      <c r="H327" s="25"/>
    </row>
    <row r="328" spans="1:8" x14ac:dyDescent="0.25">
      <c r="A328" s="13"/>
      <c r="B328" s="4"/>
      <c r="C328" s="8"/>
      <c r="D328" s="10"/>
      <c r="E328" s="7"/>
      <c r="H328" s="25"/>
    </row>
    <row r="329" spans="1:8" x14ac:dyDescent="0.25">
      <c r="A329" s="13"/>
      <c r="B329" s="4"/>
      <c r="C329" s="9"/>
      <c r="D329" s="15"/>
      <c r="E329" s="7"/>
      <c r="H329" s="25"/>
    </row>
    <row r="330" spans="1:8" x14ac:dyDescent="0.25">
      <c r="A330" s="13"/>
      <c r="B330" s="4"/>
      <c r="C330" s="9"/>
      <c r="D330" s="15"/>
      <c r="E330" s="7"/>
      <c r="H330" s="25"/>
    </row>
    <row r="331" spans="1:8" x14ac:dyDescent="0.25">
      <c r="A331" s="13"/>
      <c r="B331" s="4"/>
      <c r="C331" s="9"/>
      <c r="D331" s="10"/>
      <c r="E331" s="7"/>
      <c r="H331" s="25"/>
    </row>
    <row r="332" spans="1:8" x14ac:dyDescent="0.25">
      <c r="A332" s="13"/>
      <c r="B332" s="4"/>
      <c r="C332" s="9"/>
      <c r="D332" s="15"/>
      <c r="E332" s="7"/>
      <c r="H332" s="25"/>
    </row>
    <row r="333" spans="1:8" x14ac:dyDescent="0.25">
      <c r="A333" s="13"/>
      <c r="B333" s="4"/>
      <c r="C333" s="8"/>
      <c r="D333" s="15"/>
      <c r="E333" s="7"/>
      <c r="H333" s="25"/>
    </row>
    <row r="334" spans="1:8" x14ac:dyDescent="0.25">
      <c r="A334" s="13"/>
      <c r="B334" s="4"/>
      <c r="C334" s="9"/>
      <c r="D334" s="10"/>
      <c r="E334" s="7"/>
      <c r="H334" s="25"/>
    </row>
    <row r="335" spans="1:8" x14ac:dyDescent="0.25">
      <c r="A335" s="13"/>
      <c r="B335" s="4"/>
      <c r="C335" s="9"/>
      <c r="D335" s="10"/>
      <c r="E335" s="7"/>
      <c r="H335" s="25"/>
    </row>
    <row r="336" spans="1:8" x14ac:dyDescent="0.25">
      <c r="A336" s="13"/>
      <c r="B336" s="4"/>
      <c r="C336" s="9"/>
      <c r="D336" s="10"/>
      <c r="E336" s="7"/>
      <c r="H336" s="25"/>
    </row>
    <row r="337" spans="1:8" x14ac:dyDescent="0.25">
      <c r="A337" s="13"/>
      <c r="B337" s="4"/>
      <c r="C337" s="8"/>
      <c r="D337" s="15"/>
      <c r="E337" s="7"/>
      <c r="H337" s="25"/>
    </row>
    <row r="338" spans="1:8" x14ac:dyDescent="0.25">
      <c r="A338" s="13"/>
      <c r="B338" s="4"/>
      <c r="C338" s="9"/>
      <c r="D338" s="10"/>
      <c r="E338" s="7"/>
      <c r="H338" s="25"/>
    </row>
    <row r="339" spans="1:8" x14ac:dyDescent="0.25">
      <c r="A339" s="13"/>
      <c r="B339" s="4"/>
      <c r="C339" s="9"/>
      <c r="D339" s="15"/>
      <c r="E339" s="7"/>
      <c r="H339" s="25"/>
    </row>
    <row r="340" spans="1:8" x14ac:dyDescent="0.25">
      <c r="A340" s="13"/>
      <c r="B340" s="4"/>
      <c r="C340" s="9"/>
      <c r="D340" s="10"/>
      <c r="E340" s="7"/>
      <c r="H340" s="25"/>
    </row>
    <row r="341" spans="1:8" x14ac:dyDescent="0.25">
      <c r="A341" s="13"/>
      <c r="B341" s="4"/>
      <c r="C341" s="9"/>
      <c r="D341" s="10"/>
      <c r="E341" s="7"/>
      <c r="H341" s="25"/>
    </row>
    <row r="342" spans="1:8" x14ac:dyDescent="0.25">
      <c r="A342" s="13"/>
      <c r="B342" s="4"/>
      <c r="C342" s="9"/>
      <c r="D342" s="10"/>
      <c r="E342" s="7"/>
      <c r="H342" s="25"/>
    </row>
    <row r="343" spans="1:8" x14ac:dyDescent="0.25">
      <c r="A343" s="13"/>
      <c r="B343" s="4"/>
      <c r="C343" s="9"/>
      <c r="D343" s="15"/>
      <c r="E343" s="7"/>
      <c r="H343" s="25"/>
    </row>
    <row r="344" spans="1:8" x14ac:dyDescent="0.25">
      <c r="A344" s="13"/>
      <c r="B344" s="4"/>
      <c r="C344" s="9"/>
      <c r="D344" s="10"/>
      <c r="E344" s="7"/>
      <c r="H344" s="25"/>
    </row>
    <row r="345" spans="1:8" x14ac:dyDescent="0.25">
      <c r="A345" s="13"/>
      <c r="B345" s="4"/>
      <c r="C345" s="9"/>
      <c r="D345" s="10"/>
      <c r="E345" s="7"/>
      <c r="H345" s="25"/>
    </row>
    <row r="346" spans="1:8" x14ac:dyDescent="0.25">
      <c r="A346" s="13"/>
      <c r="B346" s="4"/>
      <c r="C346" s="9"/>
      <c r="D346" s="10"/>
      <c r="E346" s="7"/>
      <c r="H346" s="25"/>
    </row>
    <row r="347" spans="1:8" x14ac:dyDescent="0.25">
      <c r="A347" s="13"/>
      <c r="B347" s="4"/>
      <c r="C347" s="8"/>
      <c r="D347" s="10"/>
      <c r="E347" s="7"/>
      <c r="H347" s="25"/>
    </row>
    <row r="348" spans="1:8" x14ac:dyDescent="0.25">
      <c r="A348" s="13"/>
      <c r="B348" s="4"/>
      <c r="C348" s="9"/>
      <c r="D348" s="15"/>
      <c r="E348" s="7"/>
      <c r="H348" s="25"/>
    </row>
    <row r="349" spans="1:8" x14ac:dyDescent="0.25">
      <c r="A349" s="13"/>
      <c r="B349" s="4"/>
      <c r="C349" s="9"/>
      <c r="D349" s="10"/>
      <c r="E349" s="7"/>
      <c r="H349" s="25"/>
    </row>
    <row r="350" spans="1:8" x14ac:dyDescent="0.25">
      <c r="A350" s="13"/>
      <c r="H350" s="25"/>
    </row>
    <row r="351" spans="1:8" x14ac:dyDescent="0.25">
      <c r="H351" s="25"/>
    </row>
    <row r="352" spans="1:8" x14ac:dyDescent="0.25">
      <c r="H352" s="25"/>
    </row>
    <row r="353" spans="8:8" x14ac:dyDescent="0.25">
      <c r="H353" s="29"/>
    </row>
  </sheetData>
  <autoFilter ref="A1:H28"/>
  <sortState ref="B3:H26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/>
  <dimension ref="A1:AE360"/>
  <sheetViews>
    <sheetView zoomScaleNormal="100" workbookViewId="0">
      <pane ySplit="1" topLeftCell="A2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28515625" style="23" customWidth="1"/>
    <col min="2" max="2" width="48.5703125" style="20" customWidth="1"/>
    <col min="3" max="3" width="4.7109375" style="21" bestFit="1" customWidth="1"/>
    <col min="4" max="4" width="3.5703125" style="375" customWidth="1"/>
    <col min="5" max="5" width="3.42578125" style="492" customWidth="1"/>
    <col min="6" max="6" width="3.5703125" style="375" customWidth="1"/>
    <col min="7" max="7" width="3.7109375" style="492" customWidth="1"/>
    <col min="8" max="8" width="3.140625" style="375" customWidth="1"/>
    <col min="9" max="9" width="3.7109375" style="492" customWidth="1"/>
    <col min="10" max="10" width="3.42578125" style="375" customWidth="1"/>
    <col min="11" max="11" width="3.5703125" style="492" customWidth="1"/>
    <col min="12" max="12" width="3.140625" style="375" customWidth="1"/>
    <col min="13" max="13" width="3.5703125" style="492" customWidth="1"/>
    <col min="14" max="14" width="3.5703125" style="567" customWidth="1"/>
    <col min="15" max="15" width="5" style="52" customWidth="1"/>
    <col min="16" max="16" width="6.28515625" style="119" bestFit="1" customWidth="1"/>
    <col min="17" max="17" width="7.85546875" style="80" bestFit="1" customWidth="1"/>
    <col min="18" max="18" width="8.140625" style="18" customWidth="1"/>
    <col min="19" max="19" width="8.140625" style="150" bestFit="1" customWidth="1"/>
    <col min="20" max="20" width="3.28515625" style="252" customWidth="1"/>
    <col min="21" max="21" width="3.7109375" style="252" customWidth="1"/>
    <col min="22" max="22" width="8.5703125" style="14" customWidth="1"/>
    <col min="23" max="23" width="4" style="14" customWidth="1"/>
    <col min="24" max="25" width="3.42578125" style="14" customWidth="1"/>
    <col min="26" max="26" width="3.5703125" style="28" customWidth="1"/>
    <col min="27" max="27" width="3.28515625" style="135" customWidth="1"/>
    <col min="28" max="28" width="4.140625" style="135" customWidth="1"/>
    <col min="29" max="29" width="3.140625" style="132" customWidth="1"/>
    <col min="30" max="30" width="4.140625" style="135" customWidth="1"/>
    <col min="31" max="31" width="5" style="16" customWidth="1"/>
  </cols>
  <sheetData>
    <row r="1" spans="1:31" ht="71.25" x14ac:dyDescent="0.25">
      <c r="A1" s="116" t="s">
        <v>0</v>
      </c>
      <c r="B1" s="1" t="s">
        <v>1</v>
      </c>
      <c r="C1" s="2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182" t="s">
        <v>4</v>
      </c>
      <c r="P1" s="307" t="s">
        <v>110</v>
      </c>
      <c r="Q1" s="183" t="s">
        <v>5</v>
      </c>
      <c r="R1" s="68" t="s">
        <v>111</v>
      </c>
      <c r="S1" s="555" t="s">
        <v>107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  <c r="AE1" s="128"/>
    </row>
    <row r="2" spans="1:31" x14ac:dyDescent="0.25">
      <c r="A2" s="13">
        <v>1</v>
      </c>
      <c r="B2" s="4" t="s">
        <v>431</v>
      </c>
      <c r="C2" s="279">
        <v>9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47">
        <f t="shared" ref="O2:O27" si="0">SUM(C2-D2-E2-F2-G2-H2-I2-J2-L2-M2-K2-N2)</f>
        <v>9</v>
      </c>
      <c r="P2" s="695">
        <v>1</v>
      </c>
      <c r="Q2" s="7">
        <v>20</v>
      </c>
      <c r="R2" s="8"/>
      <c r="S2" s="175">
        <v>47058</v>
      </c>
      <c r="T2" s="120">
        <v>0</v>
      </c>
      <c r="U2" s="120">
        <v>1</v>
      </c>
      <c r="V2" s="175">
        <v>45717</v>
      </c>
      <c r="W2" s="122">
        <v>1</v>
      </c>
      <c r="X2" s="122">
        <v>3</v>
      </c>
      <c r="Y2" s="122">
        <v>2</v>
      </c>
      <c r="Z2" s="309">
        <v>1</v>
      </c>
      <c r="AA2" s="184">
        <f t="shared" ref="AA2:AA27" si="1">W2+X2+Y2+Z2</f>
        <v>7</v>
      </c>
      <c r="AB2" s="185">
        <f t="shared" ref="AB2:AB27" si="2">AA2/4</f>
        <v>1.75</v>
      </c>
      <c r="AC2" s="185">
        <f t="shared" ref="AC2:AC27" si="3">AB2*4</f>
        <v>7</v>
      </c>
      <c r="AD2" s="185">
        <f t="shared" ref="AD2:AD27" si="4">AC2*2</f>
        <v>14</v>
      </c>
    </row>
    <row r="3" spans="1:31" x14ac:dyDescent="0.25">
      <c r="A3" s="13">
        <f>A2+1</f>
        <v>2</v>
      </c>
      <c r="B3" s="3" t="s">
        <v>330</v>
      </c>
      <c r="C3" s="280">
        <v>7</v>
      </c>
      <c r="D3" s="359"/>
      <c r="E3" s="478"/>
      <c r="F3" s="359"/>
      <c r="G3" s="478"/>
      <c r="H3" s="359"/>
      <c r="I3" s="478"/>
      <c r="J3" s="359"/>
      <c r="K3" s="478"/>
      <c r="L3" s="359"/>
      <c r="M3" s="478"/>
      <c r="N3" s="561"/>
      <c r="O3" s="340">
        <f t="shared" si="0"/>
        <v>7</v>
      </c>
      <c r="P3" s="438">
        <f t="shared" ref="P3:P27" si="5">AD3-O3</f>
        <v>5</v>
      </c>
      <c r="Q3" s="7">
        <v>16</v>
      </c>
      <c r="R3" s="10"/>
      <c r="S3" s="175">
        <v>46631</v>
      </c>
      <c r="T3" s="120">
        <v>1</v>
      </c>
      <c r="U3" s="120"/>
      <c r="V3" s="175">
        <v>45658</v>
      </c>
      <c r="W3" s="120">
        <v>2</v>
      </c>
      <c r="X3" s="122">
        <v>2</v>
      </c>
      <c r="Y3" s="122">
        <v>1</v>
      </c>
      <c r="Z3" s="309">
        <v>1</v>
      </c>
      <c r="AA3" s="184">
        <f t="shared" si="1"/>
        <v>6</v>
      </c>
      <c r="AB3" s="185">
        <f t="shared" si="2"/>
        <v>1.5</v>
      </c>
      <c r="AC3" s="185">
        <f t="shared" si="3"/>
        <v>6</v>
      </c>
      <c r="AD3" s="185">
        <f t="shared" si="4"/>
        <v>12</v>
      </c>
    </row>
    <row r="4" spans="1:31" x14ac:dyDescent="0.25">
      <c r="A4" s="13">
        <f t="shared" ref="A4:A28" si="6">A3+1</f>
        <v>3</v>
      </c>
      <c r="B4" s="4" t="s">
        <v>193</v>
      </c>
      <c r="C4" s="280">
        <v>15</v>
      </c>
      <c r="D4" s="359"/>
      <c r="E4" s="478"/>
      <c r="F4" s="359"/>
      <c r="G4" s="478"/>
      <c r="H4" s="359"/>
      <c r="I4" s="478"/>
      <c r="J4" s="359"/>
      <c r="K4" s="478"/>
      <c r="L4" s="359"/>
      <c r="M4" s="478"/>
      <c r="N4" s="561"/>
      <c r="O4" s="340">
        <f t="shared" si="0"/>
        <v>15</v>
      </c>
      <c r="P4" s="438">
        <f t="shared" si="5"/>
        <v>3</v>
      </c>
      <c r="Q4" s="7">
        <v>49</v>
      </c>
      <c r="R4" s="10"/>
      <c r="S4" s="175">
        <v>46600</v>
      </c>
      <c r="T4" s="120">
        <v>1</v>
      </c>
      <c r="U4" s="120">
        <v>1</v>
      </c>
      <c r="V4" s="175">
        <v>45717</v>
      </c>
      <c r="W4" s="120">
        <v>2</v>
      </c>
      <c r="X4" s="122">
        <v>2</v>
      </c>
      <c r="Y4" s="122">
        <v>2</v>
      </c>
      <c r="Z4" s="309">
        <v>3</v>
      </c>
      <c r="AA4" s="184">
        <f t="shared" si="1"/>
        <v>9</v>
      </c>
      <c r="AB4" s="185">
        <f t="shared" si="2"/>
        <v>2.25</v>
      </c>
      <c r="AC4" s="185">
        <f t="shared" si="3"/>
        <v>9</v>
      </c>
      <c r="AD4" s="185">
        <f t="shared" si="4"/>
        <v>18</v>
      </c>
    </row>
    <row r="5" spans="1:31" ht="15.75" x14ac:dyDescent="0.25">
      <c r="A5" s="13">
        <f t="shared" si="6"/>
        <v>4</v>
      </c>
      <c r="B5" s="314" t="s">
        <v>846</v>
      </c>
      <c r="C5" s="280">
        <v>1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1</v>
      </c>
      <c r="P5" s="438">
        <f t="shared" si="5"/>
        <v>5</v>
      </c>
      <c r="Q5" s="7">
        <v>51</v>
      </c>
      <c r="R5" s="8"/>
      <c r="S5" s="175">
        <v>46327</v>
      </c>
      <c r="T5" s="120">
        <v>3</v>
      </c>
      <c r="U5" s="120">
        <v>3</v>
      </c>
      <c r="V5" s="175">
        <v>45717</v>
      </c>
      <c r="W5" s="222">
        <v>1</v>
      </c>
      <c r="X5" s="223">
        <v>1</v>
      </c>
      <c r="Y5" s="223"/>
      <c r="Z5" s="223">
        <v>1</v>
      </c>
      <c r="AA5" s="184">
        <f t="shared" si="1"/>
        <v>3</v>
      </c>
      <c r="AB5" s="185">
        <f t="shared" si="2"/>
        <v>0.75</v>
      </c>
      <c r="AC5" s="185">
        <f t="shared" si="3"/>
        <v>3</v>
      </c>
      <c r="AD5" s="185">
        <f t="shared" si="4"/>
        <v>6</v>
      </c>
    </row>
    <row r="6" spans="1:31" x14ac:dyDescent="0.25">
      <c r="A6" s="13">
        <f t="shared" si="6"/>
        <v>5</v>
      </c>
      <c r="B6" s="4" t="s">
        <v>721</v>
      </c>
      <c r="C6" s="280">
        <v>6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0">
        <f t="shared" si="0"/>
        <v>6</v>
      </c>
      <c r="P6" s="438">
        <f t="shared" si="5"/>
        <v>4</v>
      </c>
      <c r="Q6" s="7">
        <v>29</v>
      </c>
      <c r="R6" s="94"/>
      <c r="S6" s="175">
        <v>46388</v>
      </c>
      <c r="T6" s="120">
        <v>0</v>
      </c>
      <c r="U6" s="120"/>
      <c r="V6" s="175">
        <v>45597</v>
      </c>
      <c r="W6" s="120">
        <v>2</v>
      </c>
      <c r="X6" s="122">
        <v>1</v>
      </c>
      <c r="Y6" s="122">
        <v>1</v>
      </c>
      <c r="Z6" s="309">
        <v>1</v>
      </c>
      <c r="AA6" s="184">
        <f t="shared" si="1"/>
        <v>5</v>
      </c>
      <c r="AB6" s="185">
        <f t="shared" si="2"/>
        <v>1.25</v>
      </c>
      <c r="AC6" s="185">
        <f t="shared" si="3"/>
        <v>5</v>
      </c>
      <c r="AD6" s="185">
        <f t="shared" si="4"/>
        <v>10</v>
      </c>
    </row>
    <row r="7" spans="1:31" x14ac:dyDescent="0.25">
      <c r="A7" s="315">
        <f t="shared" si="6"/>
        <v>6</v>
      </c>
      <c r="B7" s="4" t="s">
        <v>229</v>
      </c>
      <c r="C7" s="280">
        <v>7</v>
      </c>
      <c r="D7" s="359"/>
      <c r="E7" s="478"/>
      <c r="F7" s="359"/>
      <c r="G7" s="478">
        <v>1</v>
      </c>
      <c r="H7" s="359"/>
      <c r="I7" s="478"/>
      <c r="J7" s="359"/>
      <c r="K7" s="478">
        <v>2</v>
      </c>
      <c r="M7" s="478"/>
      <c r="N7" s="561"/>
      <c r="O7" s="340">
        <f t="shared" si="0"/>
        <v>4</v>
      </c>
      <c r="P7" s="695">
        <v>1</v>
      </c>
      <c r="Q7" s="7">
        <v>27</v>
      </c>
      <c r="R7" s="64"/>
      <c r="S7" s="344">
        <v>46388</v>
      </c>
      <c r="T7" s="120">
        <v>2</v>
      </c>
      <c r="U7" s="120">
        <v>2</v>
      </c>
      <c r="V7" s="175">
        <v>45717</v>
      </c>
      <c r="W7" s="120">
        <v>1</v>
      </c>
      <c r="X7" s="122">
        <v>2</v>
      </c>
      <c r="Y7" s="122">
        <v>1</v>
      </c>
      <c r="Z7" s="309">
        <v>4</v>
      </c>
      <c r="AA7" s="184">
        <f t="shared" si="1"/>
        <v>8</v>
      </c>
      <c r="AB7" s="185">
        <f t="shared" si="2"/>
        <v>2</v>
      </c>
      <c r="AC7" s="185">
        <f t="shared" si="3"/>
        <v>8</v>
      </c>
      <c r="AD7" s="185">
        <f t="shared" si="4"/>
        <v>16</v>
      </c>
    </row>
    <row r="8" spans="1:31" x14ac:dyDescent="0.25">
      <c r="A8" s="315">
        <f t="shared" si="6"/>
        <v>7</v>
      </c>
      <c r="B8" s="3" t="s">
        <v>1339</v>
      </c>
      <c r="C8" s="340">
        <v>14</v>
      </c>
      <c r="D8" s="359"/>
      <c r="E8" s="478"/>
      <c r="F8" s="359"/>
      <c r="G8" s="478"/>
      <c r="H8" s="359"/>
      <c r="I8" s="478"/>
      <c r="J8" s="359"/>
      <c r="K8" s="478"/>
      <c r="L8" s="374">
        <v>1</v>
      </c>
      <c r="M8" s="478"/>
      <c r="N8" s="561"/>
      <c r="O8" s="340">
        <f t="shared" si="0"/>
        <v>13</v>
      </c>
      <c r="P8" s="438">
        <f t="shared" si="5"/>
        <v>13</v>
      </c>
      <c r="Q8" s="7">
        <v>17</v>
      </c>
      <c r="R8" s="63"/>
      <c r="S8" s="344">
        <v>46266</v>
      </c>
      <c r="T8" s="318">
        <v>0</v>
      </c>
      <c r="U8" s="318"/>
      <c r="V8" s="344">
        <v>45658</v>
      </c>
      <c r="W8" s="318">
        <v>6</v>
      </c>
      <c r="X8" s="309">
        <v>4</v>
      </c>
      <c r="Y8" s="309">
        <v>1</v>
      </c>
      <c r="Z8" s="309">
        <v>2</v>
      </c>
      <c r="AA8" s="184">
        <f t="shared" si="1"/>
        <v>13</v>
      </c>
      <c r="AB8" s="185">
        <f t="shared" si="2"/>
        <v>3.25</v>
      </c>
      <c r="AC8" s="185">
        <f t="shared" si="3"/>
        <v>13</v>
      </c>
      <c r="AD8" s="185">
        <f t="shared" si="4"/>
        <v>26</v>
      </c>
    </row>
    <row r="9" spans="1:31" x14ac:dyDescent="0.25">
      <c r="A9" s="315">
        <f t="shared" si="6"/>
        <v>8</v>
      </c>
      <c r="B9" s="314" t="s">
        <v>178</v>
      </c>
      <c r="C9" s="280">
        <v>2</v>
      </c>
      <c r="D9" s="359"/>
      <c r="E9" s="478"/>
      <c r="F9" s="359"/>
      <c r="G9" s="478"/>
      <c r="H9" s="359"/>
      <c r="I9" s="478"/>
      <c r="J9" s="359"/>
      <c r="K9" s="478"/>
      <c r="L9" s="369"/>
      <c r="M9" s="478"/>
      <c r="N9" s="561"/>
      <c r="O9" s="340">
        <f t="shared" si="0"/>
        <v>2</v>
      </c>
      <c r="P9" s="438">
        <f t="shared" si="5"/>
        <v>6</v>
      </c>
      <c r="Q9" s="7">
        <v>20</v>
      </c>
      <c r="R9" s="64"/>
      <c r="S9" s="344">
        <v>46113</v>
      </c>
      <c r="T9" s="318">
        <v>0</v>
      </c>
      <c r="U9" s="318"/>
      <c r="V9" s="344">
        <v>45444</v>
      </c>
      <c r="W9" s="318">
        <v>1</v>
      </c>
      <c r="X9" s="309">
        <v>1</v>
      </c>
      <c r="Y9" s="309">
        <v>1</v>
      </c>
      <c r="Z9" s="309">
        <v>1</v>
      </c>
      <c r="AA9" s="184">
        <f t="shared" si="1"/>
        <v>4</v>
      </c>
      <c r="AB9" s="185">
        <f t="shared" si="2"/>
        <v>1</v>
      </c>
      <c r="AC9" s="185">
        <f t="shared" si="3"/>
        <v>4</v>
      </c>
      <c r="AD9" s="185">
        <f t="shared" si="4"/>
        <v>8</v>
      </c>
    </row>
    <row r="10" spans="1:31" x14ac:dyDescent="0.25">
      <c r="A10" s="315">
        <f t="shared" si="6"/>
        <v>9</v>
      </c>
      <c r="B10" s="314" t="s">
        <v>1069</v>
      </c>
      <c r="C10" s="280">
        <v>14</v>
      </c>
      <c r="D10" s="359"/>
      <c r="E10" s="478"/>
      <c r="F10" s="359"/>
      <c r="G10" s="478"/>
      <c r="H10" s="359"/>
      <c r="I10" s="478"/>
      <c r="J10" s="359"/>
      <c r="K10" s="478"/>
      <c r="L10" s="359"/>
      <c r="M10" s="478">
        <v>1</v>
      </c>
      <c r="N10" s="561"/>
      <c r="O10" s="340">
        <f t="shared" si="0"/>
        <v>13</v>
      </c>
      <c r="P10" s="438">
        <f t="shared" si="5"/>
        <v>21</v>
      </c>
      <c r="Q10" s="7">
        <v>9</v>
      </c>
      <c r="R10" s="90"/>
      <c r="S10" s="118">
        <v>45992</v>
      </c>
      <c r="T10" s="316">
        <v>3</v>
      </c>
      <c r="U10" s="316"/>
      <c r="V10" s="118">
        <v>45627</v>
      </c>
      <c r="W10" s="309">
        <v>10</v>
      </c>
      <c r="X10" s="309">
        <v>4</v>
      </c>
      <c r="Y10" s="309">
        <v>2</v>
      </c>
      <c r="Z10" s="309">
        <v>1</v>
      </c>
      <c r="AA10" s="184">
        <f t="shared" si="1"/>
        <v>17</v>
      </c>
      <c r="AB10" s="185">
        <f t="shared" si="2"/>
        <v>4.25</v>
      </c>
      <c r="AC10" s="185">
        <f t="shared" si="3"/>
        <v>17</v>
      </c>
      <c r="AD10" s="185">
        <f t="shared" si="4"/>
        <v>34</v>
      </c>
    </row>
    <row r="11" spans="1:31" s="113" customFormat="1" x14ac:dyDescent="0.25">
      <c r="A11" s="315">
        <f t="shared" si="6"/>
        <v>10</v>
      </c>
      <c r="B11" s="314" t="s">
        <v>1068</v>
      </c>
      <c r="C11" s="280">
        <v>20</v>
      </c>
      <c r="D11" s="359">
        <v>2</v>
      </c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340">
        <f t="shared" si="0"/>
        <v>18</v>
      </c>
      <c r="P11" s="340">
        <f t="shared" si="5"/>
        <v>-10</v>
      </c>
      <c r="Q11" s="7">
        <v>19</v>
      </c>
      <c r="R11" s="63"/>
      <c r="S11" s="344">
        <v>45931</v>
      </c>
      <c r="T11" s="318">
        <v>2</v>
      </c>
      <c r="U11" s="318"/>
      <c r="V11" s="344">
        <v>45323</v>
      </c>
      <c r="W11" s="318"/>
      <c r="X11" s="309"/>
      <c r="Y11" s="309">
        <v>2</v>
      </c>
      <c r="Z11" s="309">
        <v>2</v>
      </c>
      <c r="AA11" s="184">
        <f t="shared" si="1"/>
        <v>4</v>
      </c>
      <c r="AB11" s="185">
        <f t="shared" si="2"/>
        <v>1</v>
      </c>
      <c r="AC11" s="185">
        <f t="shared" si="3"/>
        <v>4</v>
      </c>
      <c r="AD11" s="185">
        <f t="shared" si="4"/>
        <v>8</v>
      </c>
      <c r="AE11" s="16"/>
    </row>
    <row r="12" spans="1:31" s="113" customFormat="1" x14ac:dyDescent="0.25">
      <c r="A12" s="315">
        <f t="shared" si="6"/>
        <v>11</v>
      </c>
      <c r="B12" s="4" t="s">
        <v>691</v>
      </c>
      <c r="C12" s="280">
        <v>20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340">
        <f t="shared" si="0"/>
        <v>20</v>
      </c>
      <c r="P12" s="438">
        <f t="shared" si="5"/>
        <v>50</v>
      </c>
      <c r="Q12" s="7">
        <v>4</v>
      </c>
      <c r="R12" s="63"/>
      <c r="S12" s="199">
        <v>46204</v>
      </c>
      <c r="T12" s="318">
        <v>1</v>
      </c>
      <c r="U12" s="318"/>
      <c r="V12" s="199">
        <v>45689</v>
      </c>
      <c r="W12" s="107">
        <v>14</v>
      </c>
      <c r="X12" s="107">
        <v>1</v>
      </c>
      <c r="Y12" s="107">
        <v>10</v>
      </c>
      <c r="Z12" s="309">
        <v>10</v>
      </c>
      <c r="AA12" s="184">
        <f t="shared" si="1"/>
        <v>35</v>
      </c>
      <c r="AB12" s="185">
        <f t="shared" si="2"/>
        <v>8.75</v>
      </c>
      <c r="AC12" s="185">
        <f t="shared" si="3"/>
        <v>35</v>
      </c>
      <c r="AD12" s="185">
        <f t="shared" si="4"/>
        <v>70</v>
      </c>
      <c r="AE12" s="13"/>
    </row>
    <row r="13" spans="1:31" s="113" customFormat="1" x14ac:dyDescent="0.25">
      <c r="A13" s="315">
        <f t="shared" si="6"/>
        <v>12</v>
      </c>
      <c r="B13" s="314" t="s">
        <v>1071</v>
      </c>
      <c r="C13" s="340">
        <v>12</v>
      </c>
      <c r="D13" s="359"/>
      <c r="E13" s="478"/>
      <c r="F13" s="359"/>
      <c r="G13" s="478"/>
      <c r="H13" s="359"/>
      <c r="I13" s="478"/>
      <c r="J13" s="359"/>
      <c r="K13" s="478"/>
      <c r="L13" s="359">
        <v>1</v>
      </c>
      <c r="M13" s="478"/>
      <c r="N13" s="561"/>
      <c r="O13" s="340">
        <f t="shared" si="0"/>
        <v>11</v>
      </c>
      <c r="P13" s="695">
        <v>1</v>
      </c>
      <c r="Q13" s="7">
        <v>10</v>
      </c>
      <c r="R13" s="63"/>
      <c r="S13" s="118">
        <v>46357</v>
      </c>
      <c r="T13" s="316">
        <v>1</v>
      </c>
      <c r="U13" s="316">
        <v>2</v>
      </c>
      <c r="V13" s="81">
        <v>45717</v>
      </c>
      <c r="W13" s="14">
        <v>1</v>
      </c>
      <c r="X13" s="14">
        <v>3</v>
      </c>
      <c r="Y13" s="14">
        <v>1</v>
      </c>
      <c r="Z13" s="28">
        <v>7</v>
      </c>
      <c r="AA13" s="184">
        <f t="shared" si="1"/>
        <v>12</v>
      </c>
      <c r="AB13" s="185">
        <f t="shared" si="2"/>
        <v>3</v>
      </c>
      <c r="AC13" s="185">
        <f t="shared" si="3"/>
        <v>12</v>
      </c>
      <c r="AD13" s="185">
        <f t="shared" si="4"/>
        <v>24</v>
      </c>
      <c r="AE13" s="13"/>
    </row>
    <row r="14" spans="1:31" x14ac:dyDescent="0.25">
      <c r="A14" s="315">
        <f t="shared" si="6"/>
        <v>13</v>
      </c>
      <c r="B14" s="314" t="s">
        <v>1070</v>
      </c>
      <c r="C14" s="340">
        <v>2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0">
        <f t="shared" si="0"/>
        <v>2</v>
      </c>
      <c r="P14" s="438">
        <f t="shared" si="5"/>
        <v>10</v>
      </c>
      <c r="Q14" s="7">
        <v>51</v>
      </c>
      <c r="R14" s="63"/>
      <c r="S14" s="118">
        <v>46266</v>
      </c>
      <c r="T14" s="316">
        <v>0</v>
      </c>
      <c r="U14" s="316"/>
      <c r="V14" s="81">
        <v>45658</v>
      </c>
      <c r="W14" s="14">
        <v>1</v>
      </c>
      <c r="X14" s="14">
        <v>2</v>
      </c>
      <c r="Y14" s="14">
        <v>3</v>
      </c>
      <c r="AA14" s="184">
        <f t="shared" si="1"/>
        <v>6</v>
      </c>
      <c r="AB14" s="185">
        <f t="shared" si="2"/>
        <v>1.5</v>
      </c>
      <c r="AC14" s="185">
        <f t="shared" si="3"/>
        <v>6</v>
      </c>
      <c r="AD14" s="185">
        <f t="shared" si="4"/>
        <v>12</v>
      </c>
      <c r="AE14" s="13"/>
    </row>
    <row r="15" spans="1:31" x14ac:dyDescent="0.25">
      <c r="A15" s="315">
        <f t="shared" si="6"/>
        <v>14</v>
      </c>
      <c r="B15" s="3" t="s">
        <v>15</v>
      </c>
      <c r="C15" s="340">
        <v>4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40">
        <f t="shared" si="0"/>
        <v>4</v>
      </c>
      <c r="P15" s="438">
        <f t="shared" si="5"/>
        <v>2</v>
      </c>
      <c r="Q15" s="7">
        <v>70</v>
      </c>
      <c r="R15" s="63"/>
      <c r="S15" s="81">
        <v>46569</v>
      </c>
      <c r="T15" s="14">
        <v>0</v>
      </c>
      <c r="U15" s="14"/>
      <c r="V15" s="81">
        <v>45536</v>
      </c>
      <c r="X15" s="14">
        <v>1</v>
      </c>
      <c r="Y15" s="14">
        <v>1</v>
      </c>
      <c r="Z15" s="28">
        <v>1</v>
      </c>
      <c r="AA15" s="184">
        <f t="shared" si="1"/>
        <v>3</v>
      </c>
      <c r="AB15" s="185">
        <f t="shared" si="2"/>
        <v>0.75</v>
      </c>
      <c r="AC15" s="185">
        <f t="shared" si="3"/>
        <v>3</v>
      </c>
      <c r="AD15" s="185">
        <f t="shared" si="4"/>
        <v>6</v>
      </c>
      <c r="AE15" s="13"/>
    </row>
    <row r="16" spans="1:31" x14ac:dyDescent="0.25">
      <c r="A16" s="315">
        <f t="shared" si="6"/>
        <v>15</v>
      </c>
      <c r="B16" s="3" t="s">
        <v>112</v>
      </c>
      <c r="C16" s="340">
        <v>5</v>
      </c>
      <c r="D16" s="359">
        <v>1</v>
      </c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0">
        <f t="shared" si="0"/>
        <v>4</v>
      </c>
      <c r="P16" s="438">
        <f t="shared" si="5"/>
        <v>4</v>
      </c>
      <c r="Q16" s="7">
        <v>75</v>
      </c>
      <c r="R16" s="63"/>
      <c r="S16" s="81">
        <v>46631</v>
      </c>
      <c r="T16" s="14">
        <v>2</v>
      </c>
      <c r="U16" s="14">
        <v>4</v>
      </c>
      <c r="V16" s="81">
        <v>45717</v>
      </c>
      <c r="W16" s="14">
        <v>1</v>
      </c>
      <c r="X16" s="14">
        <v>1</v>
      </c>
      <c r="Y16" s="14">
        <v>1</v>
      </c>
      <c r="Z16" s="28">
        <v>1</v>
      </c>
      <c r="AA16" s="184">
        <f t="shared" si="1"/>
        <v>4</v>
      </c>
      <c r="AB16" s="185">
        <f t="shared" si="2"/>
        <v>1</v>
      </c>
      <c r="AC16" s="185">
        <f t="shared" si="3"/>
        <v>4</v>
      </c>
      <c r="AD16" s="185">
        <f t="shared" si="4"/>
        <v>8</v>
      </c>
    </row>
    <row r="17" spans="1:31" x14ac:dyDescent="0.25">
      <c r="A17" s="315">
        <f t="shared" si="6"/>
        <v>16</v>
      </c>
      <c r="B17" s="314" t="s">
        <v>491</v>
      </c>
      <c r="C17" s="280">
        <v>68</v>
      </c>
      <c r="D17" s="359"/>
      <c r="E17" s="478"/>
      <c r="F17" s="359"/>
      <c r="G17" s="478"/>
      <c r="H17" s="359"/>
      <c r="I17" s="478"/>
      <c r="J17" s="359">
        <v>2</v>
      </c>
      <c r="K17" s="478"/>
      <c r="L17" s="359"/>
      <c r="M17" s="478"/>
      <c r="N17" s="561"/>
      <c r="O17" s="340">
        <f t="shared" si="0"/>
        <v>66</v>
      </c>
      <c r="P17" s="438">
        <f t="shared" si="5"/>
        <v>52</v>
      </c>
      <c r="Q17" s="7">
        <v>3.75</v>
      </c>
      <c r="R17" s="90"/>
      <c r="S17" s="175">
        <v>46296</v>
      </c>
      <c r="T17" s="120">
        <v>1</v>
      </c>
      <c r="U17" s="120"/>
      <c r="V17" s="175">
        <v>45658</v>
      </c>
      <c r="W17" s="120">
        <v>14</v>
      </c>
      <c r="X17" s="122">
        <v>5</v>
      </c>
      <c r="Y17" s="122">
        <v>9</v>
      </c>
      <c r="Z17" s="309">
        <v>31</v>
      </c>
      <c r="AA17" s="184">
        <f t="shared" si="1"/>
        <v>59</v>
      </c>
      <c r="AB17" s="185">
        <f t="shared" si="2"/>
        <v>14.75</v>
      </c>
      <c r="AC17" s="185">
        <f t="shared" si="3"/>
        <v>59</v>
      </c>
      <c r="AD17" s="185">
        <f t="shared" si="4"/>
        <v>118</v>
      </c>
    </row>
    <row r="18" spans="1:31" x14ac:dyDescent="0.25">
      <c r="A18" s="315">
        <f t="shared" si="6"/>
        <v>17</v>
      </c>
      <c r="B18" s="314" t="s">
        <v>402</v>
      </c>
      <c r="C18" s="280">
        <v>13</v>
      </c>
      <c r="D18" s="359"/>
      <c r="E18" s="478">
        <v>1</v>
      </c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12</v>
      </c>
      <c r="P18" s="340">
        <f t="shared" si="5"/>
        <v>-2</v>
      </c>
      <c r="Q18" s="7">
        <v>6</v>
      </c>
      <c r="R18" s="63"/>
      <c r="S18" s="175">
        <v>46631</v>
      </c>
      <c r="T18" s="120">
        <v>0</v>
      </c>
      <c r="U18" s="120"/>
      <c r="V18" s="175">
        <v>45658</v>
      </c>
      <c r="W18" s="120">
        <v>1</v>
      </c>
      <c r="X18" s="122">
        <v>1</v>
      </c>
      <c r="Y18" s="122">
        <v>2</v>
      </c>
      <c r="Z18" s="309">
        <v>1</v>
      </c>
      <c r="AA18" s="184">
        <f t="shared" si="1"/>
        <v>5</v>
      </c>
      <c r="AB18" s="185">
        <f t="shared" si="2"/>
        <v>1.25</v>
      </c>
      <c r="AC18" s="185">
        <f t="shared" si="3"/>
        <v>5</v>
      </c>
      <c r="AD18" s="185">
        <f t="shared" si="4"/>
        <v>10</v>
      </c>
    </row>
    <row r="19" spans="1:31" x14ac:dyDescent="0.25">
      <c r="A19" s="315">
        <f t="shared" si="6"/>
        <v>18</v>
      </c>
      <c r="B19" s="314" t="s">
        <v>1072</v>
      </c>
      <c r="C19" s="280">
        <v>27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0">
        <f t="shared" si="0"/>
        <v>27</v>
      </c>
      <c r="P19" s="438">
        <f t="shared" si="5"/>
        <v>3</v>
      </c>
      <c r="Q19" s="7">
        <v>4</v>
      </c>
      <c r="R19" s="63"/>
      <c r="S19" s="175">
        <v>46874</v>
      </c>
      <c r="T19" s="120">
        <v>3</v>
      </c>
      <c r="U19" s="120"/>
      <c r="V19" s="175">
        <v>45536</v>
      </c>
      <c r="W19" s="318">
        <v>2</v>
      </c>
      <c r="X19" s="309">
        <v>3</v>
      </c>
      <c r="Y19" s="309">
        <v>6</v>
      </c>
      <c r="Z19" s="309">
        <v>4</v>
      </c>
      <c r="AA19" s="184">
        <f t="shared" si="1"/>
        <v>15</v>
      </c>
      <c r="AB19" s="185">
        <f t="shared" si="2"/>
        <v>3.75</v>
      </c>
      <c r="AC19" s="185">
        <f t="shared" si="3"/>
        <v>15</v>
      </c>
      <c r="AD19" s="185">
        <f t="shared" si="4"/>
        <v>30</v>
      </c>
    </row>
    <row r="20" spans="1:31" x14ac:dyDescent="0.25">
      <c r="A20" s="315">
        <f t="shared" si="6"/>
        <v>19</v>
      </c>
      <c r="B20" s="314" t="s">
        <v>1073</v>
      </c>
      <c r="C20" s="280">
        <v>9</v>
      </c>
      <c r="D20" s="359"/>
      <c r="E20" s="478"/>
      <c r="F20" s="359">
        <v>2</v>
      </c>
      <c r="G20" s="478"/>
      <c r="H20" s="359"/>
      <c r="I20" s="478">
        <v>1</v>
      </c>
      <c r="J20" s="359"/>
      <c r="K20" s="478"/>
      <c r="L20" s="359"/>
      <c r="M20" s="478"/>
      <c r="N20" s="561"/>
      <c r="O20" s="340">
        <f t="shared" si="0"/>
        <v>6</v>
      </c>
      <c r="P20" s="695">
        <v>1</v>
      </c>
      <c r="Q20" s="7">
        <v>6</v>
      </c>
      <c r="R20" s="63"/>
      <c r="S20" s="344">
        <v>46327</v>
      </c>
      <c r="T20" s="318">
        <v>0</v>
      </c>
      <c r="U20" s="318">
        <v>1</v>
      </c>
      <c r="V20" s="344">
        <v>45717</v>
      </c>
      <c r="W20" s="318">
        <v>3</v>
      </c>
      <c r="X20" s="309">
        <v>1</v>
      </c>
      <c r="Y20" s="309">
        <v>2</v>
      </c>
      <c r="Z20" s="309">
        <v>2</v>
      </c>
      <c r="AA20" s="184">
        <f t="shared" si="1"/>
        <v>8</v>
      </c>
      <c r="AB20" s="185">
        <f t="shared" si="2"/>
        <v>2</v>
      </c>
      <c r="AC20" s="185">
        <f t="shared" si="3"/>
        <v>8</v>
      </c>
      <c r="AD20" s="185">
        <f t="shared" si="4"/>
        <v>16</v>
      </c>
      <c r="AE20" s="13"/>
    </row>
    <row r="21" spans="1:31" x14ac:dyDescent="0.25">
      <c r="A21" s="315">
        <f t="shared" si="6"/>
        <v>20</v>
      </c>
      <c r="B21" s="651" t="s">
        <v>358</v>
      </c>
      <c r="C21" s="658">
        <v>1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0">
        <f t="shared" si="0"/>
        <v>1</v>
      </c>
      <c r="P21" s="438">
        <f t="shared" si="5"/>
        <v>11</v>
      </c>
      <c r="Q21" s="7">
        <v>68</v>
      </c>
      <c r="R21" s="63"/>
      <c r="S21" s="655">
        <v>45901</v>
      </c>
      <c r="T21" s="120">
        <v>0</v>
      </c>
      <c r="U21" s="120"/>
      <c r="V21" s="344">
        <v>45261</v>
      </c>
      <c r="W21" s="318">
        <v>2</v>
      </c>
      <c r="X21" s="309">
        <v>2</v>
      </c>
      <c r="Y21" s="309">
        <v>1</v>
      </c>
      <c r="Z21" s="309">
        <v>1</v>
      </c>
      <c r="AA21" s="184">
        <f t="shared" si="1"/>
        <v>6</v>
      </c>
      <c r="AB21" s="185">
        <f t="shared" si="2"/>
        <v>1.5</v>
      </c>
      <c r="AC21" s="185">
        <f t="shared" si="3"/>
        <v>6</v>
      </c>
      <c r="AD21" s="185">
        <f t="shared" si="4"/>
        <v>12</v>
      </c>
    </row>
    <row r="22" spans="1:31" x14ac:dyDescent="0.25">
      <c r="A22" s="315">
        <f t="shared" si="6"/>
        <v>21</v>
      </c>
      <c r="B22" s="314" t="s">
        <v>86</v>
      </c>
      <c r="C22" s="280">
        <v>1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87"/>
      <c r="O22" s="340">
        <f t="shared" si="0"/>
        <v>1</v>
      </c>
      <c r="P22" s="438">
        <f t="shared" si="5"/>
        <v>7</v>
      </c>
      <c r="Q22" s="7">
        <v>41</v>
      </c>
      <c r="R22" s="63"/>
      <c r="S22" s="344">
        <v>46296</v>
      </c>
      <c r="T22" s="318">
        <v>1</v>
      </c>
      <c r="U22" s="318"/>
      <c r="V22" s="344">
        <v>45597</v>
      </c>
      <c r="W22" s="318">
        <v>1</v>
      </c>
      <c r="X22" s="309">
        <v>1</v>
      </c>
      <c r="Y22" s="309">
        <v>1</v>
      </c>
      <c r="Z22" s="309">
        <v>1</v>
      </c>
      <c r="AA22" s="184">
        <f t="shared" si="1"/>
        <v>4</v>
      </c>
      <c r="AB22" s="185">
        <f t="shared" si="2"/>
        <v>1</v>
      </c>
      <c r="AC22" s="185">
        <f t="shared" si="3"/>
        <v>4</v>
      </c>
      <c r="AD22" s="185">
        <f t="shared" si="4"/>
        <v>8</v>
      </c>
    </row>
    <row r="23" spans="1:31" x14ac:dyDescent="0.25">
      <c r="A23" s="315">
        <f t="shared" si="6"/>
        <v>22</v>
      </c>
      <c r="B23" s="16" t="s">
        <v>1423</v>
      </c>
      <c r="C23" s="280">
        <v>4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0">
        <f t="shared" si="0"/>
        <v>4</v>
      </c>
      <c r="P23" s="438">
        <f t="shared" si="5"/>
        <v>28</v>
      </c>
      <c r="Q23" s="7">
        <v>2.2000000000000002</v>
      </c>
      <c r="R23" s="10" t="s">
        <v>360</v>
      </c>
      <c r="S23" s="94">
        <v>46235</v>
      </c>
      <c r="T23" s="8"/>
      <c r="U23" s="8"/>
      <c r="V23" s="81">
        <v>45689</v>
      </c>
      <c r="W23" s="14">
        <v>1</v>
      </c>
      <c r="X23" s="14">
        <v>5</v>
      </c>
      <c r="Y23" s="14">
        <v>5</v>
      </c>
      <c r="Z23" s="28">
        <v>5</v>
      </c>
      <c r="AA23" s="184">
        <f t="shared" si="1"/>
        <v>16</v>
      </c>
      <c r="AB23" s="185">
        <f t="shared" si="2"/>
        <v>4</v>
      </c>
      <c r="AC23" s="185">
        <f t="shared" si="3"/>
        <v>16</v>
      </c>
      <c r="AD23" s="185">
        <f t="shared" si="4"/>
        <v>32</v>
      </c>
    </row>
    <row r="24" spans="1:31" x14ac:dyDescent="0.25">
      <c r="A24" s="315">
        <f t="shared" si="6"/>
        <v>23</v>
      </c>
      <c r="B24" s="16" t="s">
        <v>886</v>
      </c>
      <c r="C24" s="280">
        <v>24</v>
      </c>
      <c r="D24" s="359"/>
      <c r="E24" s="478"/>
      <c r="F24" s="359"/>
      <c r="G24" s="478"/>
      <c r="H24" s="359"/>
      <c r="I24" s="478"/>
      <c r="J24" s="359"/>
      <c r="K24" s="478"/>
      <c r="L24" s="359"/>
      <c r="M24" s="478">
        <v>2</v>
      </c>
      <c r="N24" s="561"/>
      <c r="O24" s="340">
        <f t="shared" si="0"/>
        <v>22</v>
      </c>
      <c r="P24" s="695">
        <f t="shared" si="5"/>
        <v>26</v>
      </c>
      <c r="Q24" s="7">
        <v>3</v>
      </c>
      <c r="R24" s="10"/>
      <c r="S24" s="90">
        <v>46266</v>
      </c>
      <c r="T24" s="63">
        <v>0</v>
      </c>
      <c r="U24" s="63"/>
      <c r="V24" s="81">
        <v>45658</v>
      </c>
      <c r="W24" s="14">
        <v>7</v>
      </c>
      <c r="X24" s="14">
        <v>3</v>
      </c>
      <c r="Y24" s="14">
        <v>2</v>
      </c>
      <c r="Z24" s="28">
        <v>12</v>
      </c>
      <c r="AA24" s="184">
        <f t="shared" si="1"/>
        <v>24</v>
      </c>
      <c r="AB24" s="185">
        <f t="shared" si="2"/>
        <v>6</v>
      </c>
      <c r="AC24" s="185">
        <f t="shared" si="3"/>
        <v>24</v>
      </c>
      <c r="AD24" s="185">
        <f t="shared" si="4"/>
        <v>48</v>
      </c>
    </row>
    <row r="25" spans="1:31" x14ac:dyDescent="0.25">
      <c r="A25" s="315">
        <f t="shared" si="6"/>
        <v>24</v>
      </c>
      <c r="B25" s="314" t="s">
        <v>1074</v>
      </c>
      <c r="C25" s="280">
        <v>14</v>
      </c>
      <c r="D25" s="359"/>
      <c r="E25" s="478"/>
      <c r="F25" s="359"/>
      <c r="G25" s="478">
        <v>3</v>
      </c>
      <c r="H25" s="359"/>
      <c r="I25" s="478"/>
      <c r="J25" s="359"/>
      <c r="K25" s="478"/>
      <c r="L25" s="359"/>
      <c r="M25" s="478"/>
      <c r="N25" s="561"/>
      <c r="O25" s="340">
        <f t="shared" si="0"/>
        <v>11</v>
      </c>
      <c r="P25" s="438">
        <f t="shared" si="5"/>
        <v>53</v>
      </c>
      <c r="Q25" s="7">
        <v>12</v>
      </c>
      <c r="R25" s="8"/>
      <c r="S25" s="204">
        <v>47058</v>
      </c>
      <c r="T25" s="312">
        <v>54</v>
      </c>
      <c r="U25" s="312">
        <v>72</v>
      </c>
      <c r="V25" s="199">
        <v>45717</v>
      </c>
      <c r="W25" s="107">
        <v>6</v>
      </c>
      <c r="X25" s="107">
        <v>8</v>
      </c>
      <c r="Y25" s="107">
        <v>8</v>
      </c>
      <c r="Z25" s="309">
        <v>10</v>
      </c>
      <c r="AA25" s="184">
        <f t="shared" si="1"/>
        <v>32</v>
      </c>
      <c r="AB25" s="185">
        <f t="shared" si="2"/>
        <v>8</v>
      </c>
      <c r="AC25" s="185">
        <f t="shared" si="3"/>
        <v>32</v>
      </c>
      <c r="AD25" s="185">
        <f t="shared" si="4"/>
        <v>64</v>
      </c>
    </row>
    <row r="26" spans="1:31" x14ac:dyDescent="0.25">
      <c r="A26" s="315">
        <f t="shared" si="6"/>
        <v>25</v>
      </c>
      <c r="B26" s="314" t="s">
        <v>62</v>
      </c>
      <c r="C26" s="280">
        <v>14</v>
      </c>
      <c r="D26" s="359"/>
      <c r="E26" s="478"/>
      <c r="F26" s="359"/>
      <c r="G26" s="478">
        <v>2</v>
      </c>
      <c r="H26" s="359"/>
      <c r="I26" s="478"/>
      <c r="J26" s="359"/>
      <c r="K26" s="478"/>
      <c r="L26" s="359"/>
      <c r="M26" s="478"/>
      <c r="N26" s="561"/>
      <c r="O26" s="340">
        <f t="shared" si="0"/>
        <v>12</v>
      </c>
      <c r="P26" s="689">
        <f t="shared" si="5"/>
        <v>2</v>
      </c>
      <c r="Q26" s="7">
        <v>5</v>
      </c>
      <c r="R26" s="63"/>
      <c r="S26" s="344">
        <v>46235</v>
      </c>
      <c r="T26" s="318">
        <v>1</v>
      </c>
      <c r="U26" s="318">
        <v>1</v>
      </c>
      <c r="V26" s="344">
        <v>45717</v>
      </c>
      <c r="W26" s="318">
        <v>3</v>
      </c>
      <c r="X26" s="309">
        <v>2</v>
      </c>
      <c r="Y26" s="309">
        <v>1</v>
      </c>
      <c r="Z26" s="309">
        <v>1</v>
      </c>
      <c r="AA26" s="184">
        <f t="shared" si="1"/>
        <v>7</v>
      </c>
      <c r="AB26" s="185">
        <f t="shared" si="2"/>
        <v>1.75</v>
      </c>
      <c r="AC26" s="185">
        <f t="shared" si="3"/>
        <v>7</v>
      </c>
      <c r="AD26" s="185">
        <f t="shared" si="4"/>
        <v>14</v>
      </c>
    </row>
    <row r="27" spans="1:31" x14ac:dyDescent="0.25">
      <c r="A27" s="315">
        <f t="shared" si="6"/>
        <v>26</v>
      </c>
      <c r="B27" s="315" t="s">
        <v>532</v>
      </c>
      <c r="C27" s="280">
        <v>3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0">
        <f t="shared" si="0"/>
        <v>3</v>
      </c>
      <c r="P27" s="438">
        <f t="shared" si="5"/>
        <v>5</v>
      </c>
      <c r="Q27" s="7">
        <v>20</v>
      </c>
      <c r="R27" s="63"/>
      <c r="S27" s="118">
        <v>46388</v>
      </c>
      <c r="T27" s="316">
        <v>2</v>
      </c>
      <c r="U27" s="316">
        <v>4</v>
      </c>
      <c r="V27" s="81">
        <v>45717</v>
      </c>
      <c r="W27" s="14">
        <v>1</v>
      </c>
      <c r="X27" s="14">
        <v>1</v>
      </c>
      <c r="Y27" s="14">
        <v>1</v>
      </c>
      <c r="Z27" s="28">
        <v>1</v>
      </c>
      <c r="AA27" s="184">
        <f t="shared" si="1"/>
        <v>4</v>
      </c>
      <c r="AB27" s="185">
        <f t="shared" si="2"/>
        <v>1</v>
      </c>
      <c r="AC27" s="185">
        <f t="shared" si="3"/>
        <v>4</v>
      </c>
      <c r="AD27" s="185">
        <f t="shared" si="4"/>
        <v>8</v>
      </c>
    </row>
    <row r="28" spans="1:31" x14ac:dyDescent="0.25">
      <c r="A28" s="315">
        <f t="shared" si="6"/>
        <v>27</v>
      </c>
      <c r="B28" s="4"/>
      <c r="C28" s="47"/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47"/>
      <c r="P28" s="338"/>
      <c r="Q28" s="8"/>
      <c r="R28" s="10"/>
      <c r="S28" s="63"/>
      <c r="T28" s="63"/>
      <c r="U28" s="63"/>
    </row>
    <row r="29" spans="1:31" x14ac:dyDescent="0.25">
      <c r="A29" s="3"/>
      <c r="B29" s="4"/>
      <c r="C29" s="47"/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47"/>
      <c r="P29" s="338"/>
      <c r="Q29" s="8"/>
      <c r="R29" s="10"/>
      <c r="S29" s="63"/>
      <c r="T29" s="63"/>
      <c r="U29" s="63"/>
    </row>
    <row r="30" spans="1:31" x14ac:dyDescent="0.25">
      <c r="A30" s="3"/>
      <c r="B30" s="4"/>
      <c r="C30" s="47"/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47"/>
      <c r="P30" s="338"/>
      <c r="Q30" s="8"/>
      <c r="R30" s="10"/>
      <c r="S30" s="63"/>
      <c r="T30" s="63"/>
      <c r="U30" s="63"/>
    </row>
    <row r="31" spans="1:31" x14ac:dyDescent="0.25">
      <c r="A31" s="3"/>
      <c r="B31" s="4"/>
      <c r="C31" s="47"/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47"/>
      <c r="P31" s="338"/>
      <c r="Q31" s="8"/>
      <c r="R31" s="10"/>
      <c r="S31" s="63"/>
      <c r="T31" s="63"/>
      <c r="U31" s="63"/>
    </row>
    <row r="32" spans="1:31" x14ac:dyDescent="0.25">
      <c r="A32" s="3"/>
      <c r="B32" s="4"/>
      <c r="C32" s="47"/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47"/>
      <c r="P32" s="338"/>
      <c r="Q32" s="8"/>
      <c r="R32" s="10"/>
      <c r="S32" s="63"/>
      <c r="T32" s="63"/>
      <c r="U32" s="63"/>
    </row>
    <row r="33" spans="1:21" x14ac:dyDescent="0.25">
      <c r="A33" s="3"/>
      <c r="B33" s="4"/>
      <c r="C33" s="8"/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47"/>
      <c r="P33" s="338"/>
      <c r="Q33" s="8"/>
      <c r="R33" s="10"/>
      <c r="S33" s="63"/>
      <c r="T33" s="63"/>
      <c r="U33" s="63"/>
    </row>
    <row r="34" spans="1:21" x14ac:dyDescent="0.25">
      <c r="A34" s="3"/>
      <c r="B34" s="4"/>
      <c r="C34" s="9"/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47"/>
      <c r="P34" s="338"/>
      <c r="Q34" s="8"/>
      <c r="R34" s="10"/>
      <c r="S34" s="63"/>
      <c r="T34" s="63"/>
      <c r="U34" s="63"/>
    </row>
    <row r="35" spans="1:21" x14ac:dyDescent="0.25">
      <c r="A35" s="3"/>
      <c r="B35" s="4"/>
      <c r="C35" s="9"/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47"/>
      <c r="P35" s="338"/>
      <c r="Q35" s="8"/>
      <c r="R35" s="10"/>
      <c r="S35" s="63"/>
      <c r="T35" s="63"/>
      <c r="U35" s="63"/>
    </row>
    <row r="36" spans="1:21" x14ac:dyDescent="0.25">
      <c r="A36" s="3"/>
      <c r="B36" s="4"/>
      <c r="C36" s="9"/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47"/>
      <c r="P36" s="338"/>
      <c r="Q36" s="8"/>
      <c r="R36" s="10"/>
      <c r="S36" s="63"/>
      <c r="T36" s="63"/>
      <c r="U36" s="63"/>
    </row>
    <row r="37" spans="1:21" x14ac:dyDescent="0.25">
      <c r="A37" s="3"/>
      <c r="B37" s="4"/>
      <c r="C37" s="8"/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47"/>
      <c r="P37" s="338"/>
      <c r="Q37" s="8"/>
      <c r="R37" s="10"/>
      <c r="S37" s="63"/>
      <c r="T37" s="63"/>
      <c r="U37" s="63"/>
    </row>
    <row r="38" spans="1:21" x14ac:dyDescent="0.25">
      <c r="A38" s="3"/>
      <c r="B38" s="4"/>
      <c r="C38" s="8"/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47"/>
      <c r="P38" s="338"/>
      <c r="Q38" s="8"/>
      <c r="R38" s="10"/>
      <c r="S38" s="63"/>
      <c r="T38" s="63"/>
      <c r="U38" s="63"/>
    </row>
    <row r="39" spans="1:21" x14ac:dyDescent="0.25">
      <c r="A39" s="3"/>
      <c r="B39" s="4"/>
      <c r="C39" s="8"/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47"/>
      <c r="P39" s="338"/>
      <c r="Q39" s="8"/>
      <c r="R39" s="10"/>
      <c r="S39" s="63"/>
      <c r="T39" s="63"/>
      <c r="U39" s="63"/>
    </row>
    <row r="40" spans="1:21" x14ac:dyDescent="0.25">
      <c r="A40" s="3"/>
      <c r="B40" s="4"/>
      <c r="C40" s="9"/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47"/>
      <c r="P40" s="338"/>
      <c r="Q40" s="8"/>
      <c r="R40" s="10"/>
      <c r="S40" s="63"/>
      <c r="T40" s="63"/>
      <c r="U40" s="63"/>
    </row>
    <row r="41" spans="1:21" x14ac:dyDescent="0.25">
      <c r="A41" s="3"/>
      <c r="B41" s="4"/>
      <c r="C41" s="9"/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47"/>
      <c r="P41" s="338"/>
      <c r="Q41" s="8"/>
      <c r="R41" s="10"/>
      <c r="S41" s="63"/>
      <c r="T41" s="63"/>
      <c r="U41" s="63"/>
    </row>
    <row r="42" spans="1:21" x14ac:dyDescent="0.25">
      <c r="A42" s="3"/>
      <c r="B42" s="4"/>
      <c r="C42" s="9"/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47"/>
      <c r="P42" s="338"/>
      <c r="Q42" s="8"/>
      <c r="R42" s="10"/>
      <c r="S42" s="63"/>
      <c r="T42" s="63"/>
      <c r="U42" s="63"/>
    </row>
    <row r="43" spans="1:21" x14ac:dyDescent="0.25">
      <c r="A43" s="3"/>
      <c r="B43" s="4"/>
      <c r="C43" s="8"/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47"/>
      <c r="P43" s="338"/>
      <c r="Q43" s="8"/>
      <c r="R43" s="10"/>
      <c r="S43" s="63"/>
      <c r="T43" s="63"/>
      <c r="U43" s="63"/>
    </row>
    <row r="44" spans="1:21" x14ac:dyDescent="0.25">
      <c r="A44" s="3"/>
      <c r="B44" s="4"/>
      <c r="C44" s="9"/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47"/>
      <c r="P44" s="338"/>
      <c r="Q44" s="8"/>
      <c r="R44" s="10"/>
      <c r="S44" s="63"/>
      <c r="T44" s="63"/>
      <c r="U44" s="63"/>
    </row>
    <row r="45" spans="1:21" x14ac:dyDescent="0.25">
      <c r="A45" s="3"/>
      <c r="B45" s="4"/>
      <c r="C45" s="9"/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47"/>
      <c r="P45" s="338"/>
      <c r="Q45" s="8"/>
      <c r="R45" s="10"/>
      <c r="S45" s="63"/>
      <c r="T45" s="63"/>
      <c r="U45" s="63"/>
    </row>
    <row r="46" spans="1:21" x14ac:dyDescent="0.25">
      <c r="A46" s="3"/>
      <c r="B46" s="4"/>
      <c r="C46" s="8"/>
      <c r="D46" s="359"/>
      <c r="E46" s="478"/>
      <c r="F46" s="359"/>
      <c r="G46" s="478"/>
      <c r="H46" s="359"/>
      <c r="I46" s="478"/>
      <c r="J46" s="359"/>
      <c r="K46" s="478"/>
      <c r="L46" s="359"/>
      <c r="M46" s="478"/>
      <c r="N46" s="561"/>
      <c r="O46" s="47"/>
      <c r="P46" s="338"/>
      <c r="Q46" s="8"/>
      <c r="R46" s="10"/>
      <c r="S46" s="63"/>
      <c r="T46" s="63"/>
      <c r="U46" s="63"/>
    </row>
    <row r="47" spans="1:21" x14ac:dyDescent="0.25">
      <c r="A47" s="3"/>
      <c r="B47" s="4"/>
      <c r="C47" s="9"/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47"/>
      <c r="P47" s="338"/>
      <c r="Q47" s="8"/>
      <c r="R47" s="10"/>
      <c r="S47" s="63"/>
      <c r="T47" s="63"/>
      <c r="U47" s="63"/>
    </row>
    <row r="48" spans="1:21" x14ac:dyDescent="0.25">
      <c r="A48" s="3"/>
      <c r="B48" s="4"/>
      <c r="C48" s="8"/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47"/>
      <c r="P48" s="338"/>
      <c r="Q48" s="8"/>
      <c r="R48" s="10"/>
      <c r="S48" s="63"/>
      <c r="T48" s="63"/>
      <c r="U48" s="63"/>
    </row>
    <row r="49" spans="1:21" x14ac:dyDescent="0.25">
      <c r="A49" s="3"/>
      <c r="B49" s="4"/>
      <c r="C49" s="8"/>
      <c r="D49" s="359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47"/>
      <c r="P49" s="338"/>
      <c r="Q49" s="8"/>
      <c r="R49" s="10"/>
      <c r="S49" s="63"/>
      <c r="T49" s="63"/>
      <c r="U49" s="63"/>
    </row>
    <row r="50" spans="1:21" x14ac:dyDescent="0.25">
      <c r="A50" s="3"/>
      <c r="B50" s="4"/>
      <c r="C50" s="8"/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47"/>
      <c r="P50" s="338"/>
      <c r="Q50" s="8"/>
      <c r="R50" s="10"/>
      <c r="S50" s="63"/>
      <c r="T50" s="63"/>
      <c r="U50" s="63"/>
    </row>
    <row r="51" spans="1:21" x14ac:dyDescent="0.25">
      <c r="A51" s="3"/>
      <c r="B51" s="4"/>
      <c r="C51" s="9"/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47"/>
      <c r="P51" s="338"/>
      <c r="Q51" s="8"/>
      <c r="R51" s="10"/>
      <c r="S51" s="63"/>
      <c r="T51" s="63"/>
      <c r="U51" s="63"/>
    </row>
    <row r="52" spans="1:21" x14ac:dyDescent="0.25">
      <c r="A52" s="3"/>
      <c r="B52" s="4"/>
      <c r="C52" s="9"/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47"/>
      <c r="P52" s="338"/>
      <c r="Q52" s="8"/>
      <c r="R52" s="10"/>
      <c r="S52" s="63"/>
      <c r="T52" s="63"/>
      <c r="U52" s="63"/>
    </row>
    <row r="53" spans="1:21" x14ac:dyDescent="0.25">
      <c r="A53" s="3"/>
      <c r="B53" s="4"/>
      <c r="C53" s="9"/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47"/>
      <c r="P53" s="338"/>
      <c r="Q53" s="8"/>
      <c r="R53" s="10"/>
      <c r="S53" s="63"/>
      <c r="T53" s="63"/>
      <c r="U53" s="63"/>
    </row>
    <row r="54" spans="1:21" x14ac:dyDescent="0.25">
      <c r="A54" s="3"/>
      <c r="B54" s="4"/>
      <c r="C54" s="9"/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47"/>
      <c r="P54" s="338"/>
      <c r="Q54" s="8"/>
      <c r="R54" s="10"/>
      <c r="S54" s="63"/>
      <c r="T54" s="63"/>
      <c r="U54" s="63"/>
    </row>
    <row r="55" spans="1:21" x14ac:dyDescent="0.25">
      <c r="A55" s="3"/>
      <c r="B55" s="4"/>
      <c r="C55" s="9"/>
      <c r="D55" s="359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47"/>
      <c r="P55" s="338"/>
      <c r="Q55" s="8"/>
      <c r="R55" s="10"/>
      <c r="S55" s="63"/>
      <c r="T55" s="63"/>
      <c r="U55" s="63"/>
    </row>
    <row r="56" spans="1:21" x14ac:dyDescent="0.25">
      <c r="A56" s="3"/>
      <c r="B56" s="4"/>
      <c r="C56" s="9"/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47"/>
      <c r="P56" s="338"/>
      <c r="Q56" s="8"/>
      <c r="R56" s="10"/>
      <c r="S56" s="63"/>
      <c r="T56" s="63"/>
      <c r="U56" s="63"/>
    </row>
    <row r="57" spans="1:21" x14ac:dyDescent="0.25">
      <c r="A57" s="3"/>
      <c r="B57" s="4"/>
      <c r="C57" s="8"/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47"/>
      <c r="P57" s="338"/>
      <c r="Q57" s="8"/>
      <c r="R57" s="10"/>
      <c r="S57" s="63"/>
      <c r="T57" s="63"/>
      <c r="U57" s="63"/>
    </row>
    <row r="58" spans="1:21" x14ac:dyDescent="0.25">
      <c r="A58" s="3"/>
      <c r="B58" s="4"/>
      <c r="C58" s="9"/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47"/>
      <c r="P58" s="338"/>
      <c r="Q58" s="8"/>
      <c r="R58" s="10"/>
      <c r="S58" s="63"/>
      <c r="T58" s="63"/>
      <c r="U58" s="63"/>
    </row>
    <row r="59" spans="1:21" x14ac:dyDescent="0.25">
      <c r="A59" s="3"/>
      <c r="B59" s="4"/>
      <c r="C59" s="9"/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47"/>
      <c r="P59" s="338"/>
      <c r="Q59" s="8"/>
      <c r="R59" s="10"/>
      <c r="S59" s="63"/>
      <c r="T59" s="63"/>
      <c r="U59" s="63"/>
    </row>
    <row r="60" spans="1:21" x14ac:dyDescent="0.25">
      <c r="A60" s="3"/>
      <c r="B60" s="4"/>
      <c r="C60" s="9"/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47"/>
      <c r="P60" s="338"/>
      <c r="Q60" s="8"/>
      <c r="R60" s="10"/>
      <c r="S60" s="63"/>
      <c r="T60" s="63"/>
      <c r="U60" s="63"/>
    </row>
    <row r="61" spans="1:21" x14ac:dyDescent="0.25">
      <c r="A61" s="3"/>
      <c r="B61" s="4"/>
      <c r="C61" s="9"/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47"/>
      <c r="P61" s="338"/>
      <c r="Q61" s="8"/>
      <c r="R61" s="10"/>
      <c r="S61" s="63"/>
      <c r="T61" s="63"/>
      <c r="U61" s="63"/>
    </row>
    <row r="62" spans="1:21" x14ac:dyDescent="0.25">
      <c r="A62" s="3"/>
      <c r="B62" s="4"/>
      <c r="C62" s="9"/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47"/>
      <c r="P62" s="338"/>
      <c r="Q62" s="8"/>
      <c r="R62" s="10"/>
      <c r="S62" s="63"/>
      <c r="T62" s="63"/>
      <c r="U62" s="63"/>
    </row>
    <row r="63" spans="1:21" x14ac:dyDescent="0.25">
      <c r="A63" s="3"/>
      <c r="B63" s="4"/>
      <c r="C63" s="9"/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47"/>
      <c r="P63" s="338"/>
      <c r="Q63" s="8"/>
      <c r="R63" s="10"/>
      <c r="S63" s="63"/>
      <c r="T63" s="63"/>
      <c r="U63" s="63"/>
    </row>
    <row r="64" spans="1:21" x14ac:dyDescent="0.25">
      <c r="A64" s="3"/>
      <c r="B64" s="4"/>
      <c r="C64" s="9"/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47"/>
      <c r="P64" s="338"/>
      <c r="Q64" s="8"/>
      <c r="R64" s="10"/>
      <c r="S64" s="63"/>
      <c r="T64" s="63"/>
      <c r="U64" s="63"/>
    </row>
    <row r="65" spans="1:21" x14ac:dyDescent="0.25">
      <c r="A65" s="3"/>
      <c r="B65" s="4"/>
      <c r="C65" s="9"/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47"/>
      <c r="P65" s="338"/>
      <c r="Q65" s="8"/>
      <c r="R65" s="10"/>
      <c r="S65" s="63"/>
      <c r="T65" s="63"/>
      <c r="U65" s="63"/>
    </row>
    <row r="66" spans="1:21" x14ac:dyDescent="0.25">
      <c r="A66" s="3"/>
      <c r="B66" s="4"/>
      <c r="C66" s="9"/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47"/>
      <c r="P66" s="338"/>
      <c r="Q66" s="8"/>
      <c r="R66" s="10"/>
      <c r="S66" s="63"/>
      <c r="T66" s="63"/>
      <c r="U66" s="63"/>
    </row>
    <row r="67" spans="1:21" x14ac:dyDescent="0.25">
      <c r="A67" s="3"/>
      <c r="B67" s="4"/>
      <c r="C67" s="9"/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47"/>
      <c r="P67" s="338"/>
      <c r="Q67" s="8"/>
      <c r="R67" s="10"/>
      <c r="S67" s="63"/>
      <c r="T67" s="63"/>
      <c r="U67" s="63"/>
    </row>
    <row r="68" spans="1:21" x14ac:dyDescent="0.25">
      <c r="A68" s="3"/>
      <c r="B68" s="4"/>
      <c r="C68" s="9"/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47"/>
      <c r="P68" s="338"/>
      <c r="Q68" s="8"/>
      <c r="R68" s="10"/>
      <c r="S68" s="63"/>
      <c r="T68" s="63"/>
      <c r="U68" s="63"/>
    </row>
    <row r="69" spans="1:21" x14ac:dyDescent="0.25">
      <c r="A69" s="3"/>
      <c r="B69" s="3"/>
      <c r="C69" s="9"/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47"/>
      <c r="P69" s="338"/>
      <c r="Q69" s="8"/>
      <c r="R69" s="10"/>
      <c r="S69" s="63"/>
      <c r="T69" s="63"/>
      <c r="U69" s="63"/>
    </row>
    <row r="70" spans="1:21" x14ac:dyDescent="0.25">
      <c r="A70" s="3"/>
      <c r="B70" s="4"/>
      <c r="C70" s="9"/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47"/>
      <c r="P70" s="338"/>
      <c r="Q70" s="8"/>
      <c r="R70" s="10"/>
      <c r="S70" s="63"/>
      <c r="T70" s="63"/>
      <c r="U70" s="63"/>
    </row>
    <row r="71" spans="1:21" x14ac:dyDescent="0.25">
      <c r="A71" s="3"/>
      <c r="B71" s="4"/>
      <c r="C71" s="9"/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47"/>
      <c r="P71" s="338"/>
      <c r="Q71" s="8"/>
      <c r="R71" s="10"/>
      <c r="S71" s="63"/>
      <c r="T71" s="63"/>
      <c r="U71" s="63"/>
    </row>
    <row r="72" spans="1:21" x14ac:dyDescent="0.25">
      <c r="A72" s="3"/>
      <c r="B72" s="4"/>
      <c r="C72" s="9"/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47"/>
      <c r="P72" s="338"/>
      <c r="Q72" s="8"/>
      <c r="R72" s="10"/>
      <c r="S72" s="63"/>
      <c r="T72" s="63"/>
      <c r="U72" s="63"/>
    </row>
    <row r="73" spans="1:21" x14ac:dyDescent="0.25">
      <c r="A73" s="3"/>
      <c r="B73" s="4"/>
      <c r="C73" s="9"/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47"/>
      <c r="P73" s="338"/>
      <c r="Q73" s="8"/>
      <c r="R73" s="10"/>
      <c r="S73" s="64"/>
      <c r="T73" s="64"/>
      <c r="U73" s="64"/>
    </row>
    <row r="74" spans="1:21" x14ac:dyDescent="0.25">
      <c r="A74" s="3"/>
      <c r="B74" s="4"/>
      <c r="C74" s="9"/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47"/>
      <c r="P74" s="338"/>
      <c r="Q74" s="8"/>
      <c r="R74" s="10"/>
      <c r="S74" s="63"/>
      <c r="T74" s="63"/>
      <c r="U74" s="63"/>
    </row>
    <row r="75" spans="1:21" x14ac:dyDescent="0.25">
      <c r="A75" s="3"/>
      <c r="B75" s="4"/>
      <c r="C75" s="9"/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47"/>
      <c r="P75" s="338"/>
      <c r="Q75" s="8"/>
      <c r="R75" s="10"/>
      <c r="S75" s="63"/>
      <c r="T75" s="63"/>
      <c r="U75" s="63"/>
    </row>
    <row r="76" spans="1:21" x14ac:dyDescent="0.25">
      <c r="A76" s="3"/>
      <c r="B76" s="4"/>
      <c r="C76" s="9"/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47"/>
      <c r="P76" s="338"/>
      <c r="Q76" s="8"/>
      <c r="R76" s="10"/>
      <c r="S76" s="63"/>
      <c r="T76" s="63"/>
      <c r="U76" s="63"/>
    </row>
    <row r="77" spans="1:21" x14ac:dyDescent="0.25">
      <c r="A77" s="3"/>
      <c r="B77" s="4"/>
      <c r="C77" s="9"/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47"/>
      <c r="P77" s="338"/>
      <c r="Q77" s="8"/>
      <c r="R77" s="10"/>
      <c r="S77" s="63"/>
      <c r="T77" s="63"/>
      <c r="U77" s="63"/>
    </row>
    <row r="78" spans="1:21" x14ac:dyDescent="0.25">
      <c r="A78" s="3"/>
      <c r="B78" s="4"/>
      <c r="C78" s="9"/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47"/>
      <c r="P78" s="338"/>
      <c r="Q78" s="8"/>
      <c r="R78" s="10"/>
      <c r="S78" s="63"/>
      <c r="T78" s="63"/>
      <c r="U78" s="63"/>
    </row>
    <row r="79" spans="1:21" x14ac:dyDescent="0.25">
      <c r="A79" s="3"/>
      <c r="B79" s="4"/>
      <c r="C79" s="9"/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47"/>
      <c r="P79" s="338"/>
      <c r="Q79" s="8"/>
      <c r="R79" s="10"/>
      <c r="S79" s="63"/>
      <c r="T79" s="63"/>
      <c r="U79" s="63"/>
    </row>
    <row r="80" spans="1:21" x14ac:dyDescent="0.25">
      <c r="A80" s="3"/>
      <c r="B80" s="4"/>
      <c r="C80" s="9"/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47"/>
      <c r="P80" s="338"/>
      <c r="Q80" s="8"/>
      <c r="R80" s="10"/>
      <c r="S80" s="63"/>
      <c r="T80" s="63"/>
      <c r="U80" s="63"/>
    </row>
    <row r="81" spans="1:21" x14ac:dyDescent="0.25">
      <c r="A81" s="3"/>
      <c r="B81" s="4"/>
      <c r="C81" s="9"/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47"/>
      <c r="P81" s="338"/>
      <c r="Q81" s="8"/>
      <c r="R81" s="10"/>
      <c r="S81" s="63"/>
      <c r="T81" s="63"/>
      <c r="U81" s="63"/>
    </row>
    <row r="82" spans="1:21" x14ac:dyDescent="0.25">
      <c r="A82" s="3"/>
      <c r="B82" s="4"/>
      <c r="C82" s="9"/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47"/>
      <c r="P82" s="338"/>
      <c r="Q82" s="8"/>
      <c r="R82" s="10"/>
      <c r="S82" s="63"/>
      <c r="T82" s="63"/>
      <c r="U82" s="63"/>
    </row>
    <row r="83" spans="1:21" x14ac:dyDescent="0.25">
      <c r="A83" s="3"/>
      <c r="B83" s="4"/>
      <c r="C83" s="9"/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47"/>
      <c r="P83" s="338"/>
      <c r="Q83" s="8"/>
      <c r="R83" s="10"/>
      <c r="S83" s="63"/>
      <c r="T83" s="63"/>
      <c r="U83" s="63"/>
    </row>
    <row r="84" spans="1:21" x14ac:dyDescent="0.25">
      <c r="A84" s="3"/>
      <c r="B84" s="4"/>
      <c r="C84" s="8"/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47"/>
      <c r="P84" s="338"/>
      <c r="Q84" s="8"/>
      <c r="R84" s="10"/>
      <c r="S84" s="63"/>
      <c r="T84" s="63"/>
      <c r="U84" s="63"/>
    </row>
    <row r="85" spans="1:21" x14ac:dyDescent="0.25">
      <c r="A85" s="3"/>
      <c r="B85" s="4"/>
      <c r="C85" s="8"/>
      <c r="D85" s="359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47"/>
      <c r="P85" s="338"/>
      <c r="Q85" s="8"/>
      <c r="R85" s="10"/>
      <c r="S85" s="63"/>
      <c r="T85" s="63"/>
      <c r="U85" s="63"/>
    </row>
    <row r="86" spans="1:21" x14ac:dyDescent="0.25">
      <c r="A86" s="3"/>
      <c r="B86" s="4"/>
      <c r="C86" s="8"/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47"/>
      <c r="P86" s="338"/>
      <c r="Q86" s="8"/>
      <c r="R86" s="10"/>
      <c r="S86" s="63"/>
      <c r="T86" s="63"/>
      <c r="U86" s="63"/>
    </row>
    <row r="87" spans="1:21" x14ac:dyDescent="0.25">
      <c r="A87" s="3"/>
      <c r="B87" s="4"/>
      <c r="C87" s="9"/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47"/>
      <c r="P87" s="338"/>
      <c r="Q87" s="8"/>
      <c r="R87" s="10"/>
      <c r="S87" s="63"/>
      <c r="T87" s="63"/>
      <c r="U87" s="63"/>
    </row>
    <row r="88" spans="1:21" x14ac:dyDescent="0.25">
      <c r="A88" s="3"/>
      <c r="B88" s="4"/>
      <c r="C88" s="9"/>
      <c r="D88" s="359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47"/>
      <c r="P88" s="338"/>
      <c r="Q88" s="8"/>
      <c r="R88" s="10"/>
      <c r="S88" s="63"/>
      <c r="T88" s="63"/>
      <c r="U88" s="63"/>
    </row>
    <row r="89" spans="1:21" x14ac:dyDescent="0.25">
      <c r="A89" s="3"/>
      <c r="B89" s="4"/>
      <c r="C89" s="9"/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47"/>
      <c r="P89" s="338"/>
      <c r="Q89" s="8"/>
      <c r="R89" s="10"/>
      <c r="S89" s="63"/>
      <c r="T89" s="63"/>
      <c r="U89" s="63"/>
    </row>
    <row r="90" spans="1:21" x14ac:dyDescent="0.25">
      <c r="A90" s="3"/>
      <c r="B90" s="4"/>
      <c r="C90" s="9"/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47"/>
      <c r="P90" s="338"/>
      <c r="Q90" s="8"/>
      <c r="R90" s="10"/>
      <c r="S90" s="63"/>
      <c r="T90" s="63"/>
      <c r="U90" s="63"/>
    </row>
    <row r="91" spans="1:21" x14ac:dyDescent="0.25">
      <c r="A91" s="3"/>
      <c r="B91" s="4"/>
      <c r="C91" s="8"/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47"/>
      <c r="P91" s="338"/>
      <c r="Q91" s="8"/>
      <c r="R91" s="10"/>
      <c r="S91" s="63"/>
      <c r="T91" s="63"/>
      <c r="U91" s="63"/>
    </row>
    <row r="92" spans="1:21" x14ac:dyDescent="0.25">
      <c r="A92" s="3" t="e">
        <f>'INV INFASA'!L15A106+1</f>
        <v>#NAME?</v>
      </c>
      <c r="B92" s="4"/>
      <c r="C92" s="9"/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47"/>
      <c r="P92" s="338"/>
      <c r="Q92" s="8"/>
      <c r="R92" s="10"/>
      <c r="S92" s="63"/>
      <c r="T92" s="63"/>
      <c r="U92" s="63"/>
    </row>
    <row r="93" spans="1:21" x14ac:dyDescent="0.25">
      <c r="A93" s="3"/>
      <c r="B93" s="4"/>
      <c r="C93" s="9"/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47"/>
      <c r="P93" s="338"/>
      <c r="Q93" s="8"/>
      <c r="R93" s="10"/>
      <c r="S93" s="63"/>
      <c r="T93" s="63"/>
      <c r="U93" s="63"/>
    </row>
    <row r="94" spans="1:21" x14ac:dyDescent="0.25">
      <c r="A94" s="3"/>
      <c r="B94" s="4"/>
      <c r="C94" s="9"/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47"/>
      <c r="P94" s="338"/>
      <c r="Q94" s="8"/>
      <c r="R94" s="10"/>
      <c r="S94" s="63"/>
      <c r="T94" s="63"/>
      <c r="U94" s="63"/>
    </row>
    <row r="95" spans="1:21" x14ac:dyDescent="0.25">
      <c r="A95" s="3"/>
      <c r="B95" s="4"/>
      <c r="C95" s="9"/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47"/>
      <c r="P95" s="338"/>
      <c r="Q95" s="8"/>
      <c r="R95" s="10"/>
      <c r="S95" s="63"/>
      <c r="T95" s="63"/>
      <c r="U95" s="63"/>
    </row>
    <row r="96" spans="1:21" x14ac:dyDescent="0.25">
      <c r="A96" s="3"/>
      <c r="B96" s="4"/>
      <c r="C96" s="9"/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47"/>
      <c r="P96" s="338"/>
      <c r="Q96" s="8"/>
      <c r="R96" s="10"/>
      <c r="S96" s="63"/>
      <c r="T96" s="63"/>
      <c r="U96" s="63"/>
    </row>
    <row r="97" spans="1:21" x14ac:dyDescent="0.25">
      <c r="A97" s="3"/>
      <c r="B97" s="4"/>
      <c r="C97" s="8"/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47"/>
      <c r="P97" s="338"/>
      <c r="Q97" s="8"/>
      <c r="R97" s="10"/>
      <c r="S97" s="63"/>
      <c r="T97" s="63"/>
      <c r="U97" s="63"/>
    </row>
    <row r="98" spans="1:21" x14ac:dyDescent="0.25">
      <c r="A98" s="3"/>
      <c r="B98" s="4"/>
      <c r="C98" s="9"/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47"/>
      <c r="P98" s="338"/>
      <c r="Q98" s="8"/>
      <c r="R98" s="10"/>
      <c r="S98" s="63"/>
      <c r="T98" s="63"/>
      <c r="U98" s="63"/>
    </row>
    <row r="99" spans="1:21" x14ac:dyDescent="0.25">
      <c r="A99" s="3"/>
      <c r="B99" s="4"/>
      <c r="C99" s="9"/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47"/>
      <c r="P99" s="338"/>
      <c r="Q99" s="8"/>
      <c r="R99" s="10"/>
      <c r="S99" s="63"/>
      <c r="T99" s="63"/>
      <c r="U99" s="63"/>
    </row>
    <row r="100" spans="1:21" x14ac:dyDescent="0.25">
      <c r="A100" s="3"/>
      <c r="B100" s="3"/>
      <c r="C100" s="9"/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47"/>
      <c r="P100" s="338"/>
      <c r="Q100" s="8"/>
      <c r="R100" s="10"/>
      <c r="S100" s="63"/>
      <c r="T100" s="63"/>
      <c r="U100" s="63"/>
    </row>
    <row r="101" spans="1:21" x14ac:dyDescent="0.25">
      <c r="A101" s="3"/>
      <c r="B101" s="4"/>
      <c r="C101" s="8"/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47"/>
      <c r="P101" s="338"/>
      <c r="Q101" s="8"/>
      <c r="R101" s="10"/>
      <c r="S101" s="63"/>
      <c r="T101" s="63"/>
      <c r="U101" s="63"/>
    </row>
    <row r="102" spans="1:21" x14ac:dyDescent="0.25">
      <c r="A102" s="3"/>
      <c r="B102" s="4"/>
      <c r="C102" s="8"/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47"/>
      <c r="P102" s="338"/>
      <c r="Q102" s="8"/>
      <c r="R102" s="10"/>
      <c r="S102" s="63"/>
      <c r="T102" s="63"/>
      <c r="U102" s="63"/>
    </row>
    <row r="103" spans="1:21" x14ac:dyDescent="0.25">
      <c r="A103" s="3"/>
      <c r="B103" s="4"/>
      <c r="C103" s="9"/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47"/>
      <c r="P103" s="338"/>
      <c r="Q103" s="8"/>
      <c r="R103" s="10"/>
      <c r="S103" s="63"/>
      <c r="T103" s="63"/>
      <c r="U103" s="63"/>
    </row>
    <row r="104" spans="1:21" x14ac:dyDescent="0.25">
      <c r="A104" s="3"/>
      <c r="B104" s="4"/>
      <c r="C104" s="9"/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47"/>
      <c r="P104" s="338"/>
      <c r="Q104" s="8"/>
      <c r="R104" s="10"/>
      <c r="S104" s="63"/>
      <c r="T104" s="63"/>
      <c r="U104" s="63"/>
    </row>
    <row r="105" spans="1:21" x14ac:dyDescent="0.25">
      <c r="A105" s="3"/>
      <c r="B105" s="4"/>
      <c r="C105" s="9"/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47"/>
      <c r="P105" s="338"/>
      <c r="Q105" s="8"/>
      <c r="R105" s="10"/>
      <c r="S105" s="63"/>
      <c r="T105" s="63"/>
      <c r="U105" s="63"/>
    </row>
    <row r="106" spans="1:21" x14ac:dyDescent="0.25">
      <c r="A106" s="3"/>
      <c r="B106" s="4"/>
      <c r="C106" s="9"/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47"/>
      <c r="P106" s="338"/>
      <c r="Q106" s="8"/>
      <c r="R106" s="10"/>
      <c r="S106" s="63"/>
      <c r="T106" s="63"/>
      <c r="U106" s="63"/>
    </row>
    <row r="107" spans="1:21" x14ac:dyDescent="0.25">
      <c r="A107" s="3"/>
      <c r="B107" s="3"/>
      <c r="C107" s="9"/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47"/>
      <c r="P107" s="338"/>
      <c r="Q107" s="8"/>
      <c r="R107" s="10"/>
      <c r="S107" s="63"/>
      <c r="T107" s="63"/>
      <c r="U107" s="63"/>
    </row>
    <row r="108" spans="1:21" x14ac:dyDescent="0.25">
      <c r="A108" s="3"/>
      <c r="B108" s="4"/>
      <c r="C108" s="9"/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47"/>
      <c r="P108" s="338"/>
      <c r="Q108" s="8"/>
      <c r="R108" s="10"/>
      <c r="S108" s="63"/>
      <c r="T108" s="63"/>
      <c r="U108" s="63"/>
    </row>
    <row r="109" spans="1:21" x14ac:dyDescent="0.25">
      <c r="A109" s="3"/>
      <c r="B109" s="4"/>
      <c r="C109" s="9"/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47"/>
      <c r="P109" s="338"/>
      <c r="Q109" s="8"/>
      <c r="R109" s="10"/>
      <c r="S109" s="63"/>
      <c r="T109" s="63"/>
      <c r="U109" s="63"/>
    </row>
    <row r="110" spans="1:21" x14ac:dyDescent="0.25">
      <c r="A110" s="3"/>
      <c r="B110" s="4"/>
      <c r="C110" s="8"/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47"/>
      <c r="P110" s="338"/>
      <c r="Q110" s="8"/>
      <c r="R110" s="10"/>
      <c r="S110" s="63"/>
      <c r="T110" s="63"/>
      <c r="U110" s="63"/>
    </row>
    <row r="111" spans="1:21" x14ac:dyDescent="0.25">
      <c r="A111" s="3"/>
      <c r="B111" s="4"/>
      <c r="C111" s="9"/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47"/>
      <c r="P111" s="338"/>
      <c r="Q111" s="8"/>
      <c r="R111" s="10"/>
      <c r="S111" s="63"/>
      <c r="T111" s="63"/>
      <c r="U111" s="63"/>
    </row>
    <row r="112" spans="1:21" x14ac:dyDescent="0.25">
      <c r="A112" s="3"/>
      <c r="B112" s="4"/>
      <c r="C112" s="9"/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47"/>
      <c r="P112" s="338"/>
      <c r="Q112" s="8"/>
      <c r="R112" s="10"/>
      <c r="S112" s="63"/>
      <c r="T112" s="63"/>
      <c r="U112" s="63"/>
    </row>
    <row r="113" spans="1:21" x14ac:dyDescent="0.25">
      <c r="A113" s="3">
        <f t="shared" ref="A113:A175" si="7">A112+1</f>
        <v>1</v>
      </c>
      <c r="B113" s="4"/>
      <c r="C113" s="9"/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47">
        <f t="shared" ref="O113:O118" si="8">SUM(C113:N113)</f>
        <v>0</v>
      </c>
      <c r="P113" s="338"/>
      <c r="Q113" s="8"/>
      <c r="R113" s="10"/>
      <c r="S113" s="63"/>
      <c r="T113" s="63"/>
      <c r="U113" s="63"/>
    </row>
    <row r="114" spans="1:21" x14ac:dyDescent="0.25">
      <c r="A114" s="3">
        <f t="shared" si="7"/>
        <v>2</v>
      </c>
      <c r="B114" s="4"/>
      <c r="C114" s="9"/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47">
        <f t="shared" si="8"/>
        <v>0</v>
      </c>
      <c r="P114" s="338"/>
      <c r="Q114" s="8"/>
      <c r="R114" s="10"/>
      <c r="S114" s="63"/>
      <c r="T114" s="63"/>
      <c r="U114" s="63"/>
    </row>
    <row r="115" spans="1:21" x14ac:dyDescent="0.25">
      <c r="A115" s="3">
        <f t="shared" si="7"/>
        <v>3</v>
      </c>
      <c r="B115" s="4"/>
      <c r="C115" s="9"/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47">
        <f t="shared" si="8"/>
        <v>0</v>
      </c>
      <c r="P115" s="338"/>
      <c r="Q115" s="8"/>
      <c r="R115" s="10"/>
      <c r="S115" s="63"/>
      <c r="T115" s="63"/>
      <c r="U115" s="63"/>
    </row>
    <row r="116" spans="1:21" x14ac:dyDescent="0.25">
      <c r="A116" s="3">
        <f t="shared" si="7"/>
        <v>4</v>
      </c>
      <c r="B116" s="4"/>
      <c r="C116" s="9"/>
      <c r="D116" s="359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47">
        <f t="shared" si="8"/>
        <v>0</v>
      </c>
      <c r="P116" s="338"/>
      <c r="Q116" s="8"/>
      <c r="R116" s="10"/>
      <c r="S116" s="63"/>
      <c r="T116" s="63"/>
      <c r="U116" s="63"/>
    </row>
    <row r="117" spans="1:21" x14ac:dyDescent="0.25">
      <c r="A117" s="3">
        <f t="shared" si="7"/>
        <v>5</v>
      </c>
      <c r="B117" s="4"/>
      <c r="C117" s="9"/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47">
        <f t="shared" si="8"/>
        <v>0</v>
      </c>
      <c r="P117" s="338"/>
      <c r="Q117" s="8"/>
      <c r="R117" s="10"/>
      <c r="S117" s="63"/>
      <c r="T117" s="63"/>
      <c r="U117" s="63"/>
    </row>
    <row r="118" spans="1:21" x14ac:dyDescent="0.25">
      <c r="A118" s="3">
        <f t="shared" si="7"/>
        <v>6</v>
      </c>
      <c r="B118" s="4"/>
      <c r="C118" s="9"/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47">
        <f t="shared" si="8"/>
        <v>0</v>
      </c>
      <c r="P118" s="338"/>
      <c r="Q118" s="8"/>
      <c r="R118" s="10"/>
      <c r="S118" s="63"/>
      <c r="T118" s="63"/>
      <c r="U118" s="63"/>
    </row>
    <row r="119" spans="1:21" x14ac:dyDescent="0.25">
      <c r="A119" s="3">
        <f t="shared" si="7"/>
        <v>7</v>
      </c>
      <c r="B119" s="4"/>
      <c r="C119" s="9"/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47">
        <f t="shared" ref="O119:O150" si="9">SUM(C119:N119)</f>
        <v>0</v>
      </c>
      <c r="P119" s="338"/>
      <c r="Q119" s="8"/>
      <c r="R119" s="10"/>
      <c r="S119" s="63"/>
      <c r="T119" s="63"/>
      <c r="U119" s="63"/>
    </row>
    <row r="120" spans="1:21" x14ac:dyDescent="0.25">
      <c r="A120" s="3">
        <f t="shared" si="7"/>
        <v>8</v>
      </c>
      <c r="B120" s="4"/>
      <c r="C120" s="9"/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47">
        <f t="shared" si="9"/>
        <v>0</v>
      </c>
      <c r="P120" s="338"/>
      <c r="Q120" s="8"/>
      <c r="R120" s="10"/>
      <c r="S120" s="63"/>
      <c r="T120" s="63"/>
      <c r="U120" s="63"/>
    </row>
    <row r="121" spans="1:21" x14ac:dyDescent="0.25">
      <c r="A121" s="3">
        <f t="shared" si="7"/>
        <v>9</v>
      </c>
      <c r="B121" s="4"/>
      <c r="C121" s="9"/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47">
        <f t="shared" si="9"/>
        <v>0</v>
      </c>
      <c r="P121" s="338"/>
      <c r="Q121" s="8"/>
      <c r="R121" s="10"/>
      <c r="S121" s="63"/>
      <c r="T121" s="63"/>
      <c r="U121" s="63"/>
    </row>
    <row r="122" spans="1:21" x14ac:dyDescent="0.25">
      <c r="A122" s="3">
        <f t="shared" si="7"/>
        <v>10</v>
      </c>
      <c r="B122" s="4"/>
      <c r="C122" s="9"/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47">
        <f t="shared" si="9"/>
        <v>0</v>
      </c>
      <c r="P122" s="338"/>
      <c r="Q122" s="8"/>
      <c r="R122" s="10"/>
      <c r="S122" s="63"/>
      <c r="T122" s="63"/>
      <c r="U122" s="63"/>
    </row>
    <row r="123" spans="1:21" x14ac:dyDescent="0.25">
      <c r="A123" s="3">
        <f t="shared" si="7"/>
        <v>11</v>
      </c>
      <c r="B123" s="4"/>
      <c r="C123" s="9"/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47">
        <f t="shared" si="9"/>
        <v>0</v>
      </c>
      <c r="P123" s="338"/>
      <c r="Q123" s="8"/>
      <c r="R123" s="10"/>
      <c r="S123" s="64"/>
      <c r="T123" s="64"/>
      <c r="U123" s="64"/>
    </row>
    <row r="124" spans="1:21" x14ac:dyDescent="0.25">
      <c r="A124" s="3">
        <f t="shared" si="7"/>
        <v>12</v>
      </c>
      <c r="B124" s="4"/>
      <c r="C124" s="9"/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47">
        <f t="shared" si="9"/>
        <v>0</v>
      </c>
      <c r="P124" s="338"/>
      <c r="Q124" s="8"/>
      <c r="R124" s="10"/>
      <c r="S124" s="63"/>
      <c r="T124" s="63"/>
      <c r="U124" s="63"/>
    </row>
    <row r="125" spans="1:21" x14ac:dyDescent="0.25">
      <c r="A125" s="3">
        <f t="shared" si="7"/>
        <v>13</v>
      </c>
      <c r="B125" s="4"/>
      <c r="C125" s="9"/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47">
        <f t="shared" si="9"/>
        <v>0</v>
      </c>
      <c r="P125" s="338"/>
      <c r="Q125" s="8"/>
      <c r="R125" s="10"/>
      <c r="S125" s="63"/>
      <c r="T125" s="63"/>
      <c r="U125" s="63"/>
    </row>
    <row r="126" spans="1:21" x14ac:dyDescent="0.25">
      <c r="A126" s="3">
        <f t="shared" si="7"/>
        <v>14</v>
      </c>
      <c r="B126" s="4"/>
      <c r="C126" s="9"/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47">
        <f t="shared" si="9"/>
        <v>0</v>
      </c>
      <c r="P126" s="338"/>
      <c r="Q126" s="8"/>
      <c r="R126" s="10"/>
      <c r="S126" s="63"/>
      <c r="T126" s="63"/>
      <c r="U126" s="63"/>
    </row>
    <row r="127" spans="1:21" x14ac:dyDescent="0.25">
      <c r="A127" s="3">
        <f t="shared" si="7"/>
        <v>15</v>
      </c>
      <c r="B127" s="4"/>
      <c r="C127" s="9"/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47">
        <f t="shared" si="9"/>
        <v>0</v>
      </c>
      <c r="P127" s="338"/>
      <c r="Q127" s="8"/>
      <c r="R127" s="10"/>
      <c r="S127" s="63"/>
      <c r="T127" s="63"/>
      <c r="U127" s="63"/>
    </row>
    <row r="128" spans="1:21" x14ac:dyDescent="0.25">
      <c r="A128" s="3">
        <f t="shared" si="7"/>
        <v>16</v>
      </c>
      <c r="B128" s="4"/>
      <c r="C128" s="9"/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47">
        <f t="shared" si="9"/>
        <v>0</v>
      </c>
      <c r="P128" s="338"/>
      <c r="Q128" s="8"/>
      <c r="R128" s="10"/>
      <c r="S128" s="63"/>
      <c r="T128" s="63"/>
      <c r="U128" s="63"/>
    </row>
    <row r="129" spans="1:21" x14ac:dyDescent="0.25">
      <c r="A129" s="3">
        <f t="shared" si="7"/>
        <v>17</v>
      </c>
      <c r="B129" s="4"/>
      <c r="C129" s="9"/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47">
        <f t="shared" si="9"/>
        <v>0</v>
      </c>
      <c r="P129" s="338"/>
      <c r="Q129" s="8"/>
      <c r="R129" s="10"/>
      <c r="S129" s="63"/>
      <c r="T129" s="63"/>
      <c r="U129" s="63"/>
    </row>
    <row r="130" spans="1:21" x14ac:dyDescent="0.25">
      <c r="A130" s="3">
        <f t="shared" si="7"/>
        <v>18</v>
      </c>
      <c r="B130" s="4"/>
      <c r="C130" s="9"/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47">
        <f t="shared" si="9"/>
        <v>0</v>
      </c>
      <c r="P130" s="338"/>
      <c r="Q130" s="8"/>
      <c r="R130" s="10"/>
      <c r="S130" s="63"/>
      <c r="T130" s="63"/>
      <c r="U130" s="63"/>
    </row>
    <row r="131" spans="1:21" x14ac:dyDescent="0.25">
      <c r="A131" s="3">
        <f t="shared" si="7"/>
        <v>19</v>
      </c>
      <c r="B131" s="4"/>
      <c r="C131" s="9"/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47">
        <f t="shared" si="9"/>
        <v>0</v>
      </c>
      <c r="P131" s="338"/>
      <c r="Q131" s="8"/>
      <c r="R131" s="10"/>
      <c r="S131" s="63"/>
      <c r="T131" s="63"/>
      <c r="U131" s="63"/>
    </row>
    <row r="132" spans="1:21" x14ac:dyDescent="0.25">
      <c r="A132" s="3">
        <f t="shared" si="7"/>
        <v>20</v>
      </c>
      <c r="B132" s="4"/>
      <c r="C132" s="9"/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47">
        <f t="shared" si="9"/>
        <v>0</v>
      </c>
      <c r="P132" s="338"/>
      <c r="Q132" s="8"/>
      <c r="R132" s="10"/>
      <c r="S132" s="63"/>
      <c r="T132" s="63"/>
      <c r="U132" s="63"/>
    </row>
    <row r="133" spans="1:21" x14ac:dyDescent="0.25">
      <c r="A133" s="3">
        <f t="shared" si="7"/>
        <v>21</v>
      </c>
      <c r="B133" s="4"/>
      <c r="C133" s="9"/>
      <c r="D133" s="359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47">
        <f t="shared" si="9"/>
        <v>0</v>
      </c>
      <c r="P133" s="338"/>
      <c r="Q133" s="8"/>
      <c r="R133" s="10"/>
      <c r="S133" s="63"/>
      <c r="T133" s="63"/>
      <c r="U133" s="63"/>
    </row>
    <row r="134" spans="1:21" x14ac:dyDescent="0.25">
      <c r="A134" s="3">
        <f t="shared" si="7"/>
        <v>22</v>
      </c>
      <c r="B134" s="4"/>
      <c r="C134" s="9"/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47">
        <f t="shared" si="9"/>
        <v>0</v>
      </c>
      <c r="P134" s="338"/>
      <c r="Q134" s="8"/>
      <c r="R134" s="10"/>
      <c r="S134" s="63"/>
      <c r="T134" s="63"/>
      <c r="U134" s="63"/>
    </row>
    <row r="135" spans="1:21" x14ac:dyDescent="0.25">
      <c r="A135" s="3">
        <f t="shared" si="7"/>
        <v>23</v>
      </c>
      <c r="B135" s="4"/>
      <c r="C135" s="9"/>
      <c r="D135" s="359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47">
        <f t="shared" si="9"/>
        <v>0</v>
      </c>
      <c r="P135" s="338"/>
      <c r="Q135" s="8"/>
      <c r="R135" s="10"/>
      <c r="S135" s="63"/>
      <c r="T135" s="63"/>
      <c r="U135" s="63"/>
    </row>
    <row r="136" spans="1:21" x14ac:dyDescent="0.25">
      <c r="A136" s="3">
        <f t="shared" si="7"/>
        <v>24</v>
      </c>
      <c r="B136" s="4"/>
      <c r="C136" s="9"/>
      <c r="D136" s="359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47">
        <f t="shared" si="9"/>
        <v>0</v>
      </c>
      <c r="P136" s="338"/>
      <c r="Q136" s="8"/>
      <c r="R136" s="10"/>
      <c r="S136" s="63"/>
      <c r="T136" s="63"/>
      <c r="U136" s="63"/>
    </row>
    <row r="137" spans="1:21" x14ac:dyDescent="0.25">
      <c r="A137" s="3">
        <f t="shared" si="7"/>
        <v>25</v>
      </c>
      <c r="B137" s="4"/>
      <c r="C137" s="9"/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47">
        <f t="shared" si="9"/>
        <v>0</v>
      </c>
      <c r="P137" s="338"/>
      <c r="Q137" s="8"/>
      <c r="R137" s="10"/>
      <c r="S137" s="63"/>
      <c r="T137" s="63"/>
      <c r="U137" s="63"/>
    </row>
    <row r="138" spans="1:21" x14ac:dyDescent="0.25">
      <c r="A138" s="3">
        <f t="shared" si="7"/>
        <v>26</v>
      </c>
      <c r="B138" s="4"/>
      <c r="C138" s="9"/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47">
        <f t="shared" si="9"/>
        <v>0</v>
      </c>
      <c r="P138" s="338"/>
      <c r="Q138" s="8"/>
      <c r="R138" s="10"/>
      <c r="S138" s="63"/>
      <c r="T138" s="63"/>
      <c r="U138" s="63"/>
    </row>
    <row r="139" spans="1:21" x14ac:dyDescent="0.25">
      <c r="A139" s="3">
        <f t="shared" si="7"/>
        <v>27</v>
      </c>
      <c r="B139" s="4"/>
      <c r="C139" s="9"/>
      <c r="D139" s="359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47">
        <f t="shared" si="9"/>
        <v>0</v>
      </c>
      <c r="P139" s="338"/>
      <c r="Q139" s="8"/>
      <c r="R139" s="10"/>
      <c r="S139" s="63"/>
      <c r="T139" s="63"/>
      <c r="U139" s="63"/>
    </row>
    <row r="140" spans="1:21" x14ac:dyDescent="0.25">
      <c r="A140" s="3">
        <f t="shared" si="7"/>
        <v>28</v>
      </c>
      <c r="B140" s="4"/>
      <c r="C140" s="8"/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47">
        <f t="shared" si="9"/>
        <v>0</v>
      </c>
      <c r="P140" s="338"/>
      <c r="Q140" s="8"/>
      <c r="R140" s="10"/>
      <c r="S140" s="63"/>
      <c r="T140" s="63"/>
      <c r="U140" s="63"/>
    </row>
    <row r="141" spans="1:21" x14ac:dyDescent="0.25">
      <c r="A141" s="3">
        <f t="shared" si="7"/>
        <v>29</v>
      </c>
      <c r="B141" s="4"/>
      <c r="C141" s="9"/>
      <c r="D141" s="359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47">
        <f t="shared" si="9"/>
        <v>0</v>
      </c>
      <c r="P141" s="338"/>
      <c r="Q141" s="8"/>
      <c r="R141" s="10"/>
      <c r="S141" s="63"/>
      <c r="T141" s="63"/>
      <c r="U141" s="63"/>
    </row>
    <row r="142" spans="1:21" x14ac:dyDescent="0.25">
      <c r="A142" s="3">
        <f t="shared" si="7"/>
        <v>30</v>
      </c>
      <c r="B142" s="4"/>
      <c r="C142" s="8"/>
      <c r="D142" s="359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47">
        <f t="shared" si="9"/>
        <v>0</v>
      </c>
      <c r="P142" s="338"/>
      <c r="Q142" s="8"/>
      <c r="R142" s="10"/>
      <c r="S142" s="63"/>
      <c r="T142" s="63"/>
      <c r="U142" s="63"/>
    </row>
    <row r="143" spans="1:21" x14ac:dyDescent="0.25">
      <c r="A143" s="3">
        <f t="shared" si="7"/>
        <v>31</v>
      </c>
      <c r="B143" s="4"/>
      <c r="C143" s="9"/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47">
        <f t="shared" si="9"/>
        <v>0</v>
      </c>
      <c r="P143" s="338"/>
      <c r="Q143" s="8"/>
      <c r="R143" s="10"/>
      <c r="S143" s="63"/>
      <c r="T143" s="63"/>
      <c r="U143" s="63"/>
    </row>
    <row r="144" spans="1:21" x14ac:dyDescent="0.25">
      <c r="A144" s="3">
        <f t="shared" si="7"/>
        <v>32</v>
      </c>
      <c r="B144" s="4"/>
      <c r="C144" s="9"/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47">
        <f t="shared" si="9"/>
        <v>0</v>
      </c>
      <c r="P144" s="338"/>
      <c r="Q144" s="8"/>
      <c r="R144" s="10"/>
      <c r="S144" s="63"/>
      <c r="T144" s="63"/>
      <c r="U144" s="63"/>
    </row>
    <row r="145" spans="1:21" x14ac:dyDescent="0.25">
      <c r="A145" s="3">
        <f t="shared" si="7"/>
        <v>33</v>
      </c>
      <c r="B145" s="4"/>
      <c r="C145" s="9"/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47">
        <f t="shared" si="9"/>
        <v>0</v>
      </c>
      <c r="P145" s="338"/>
      <c r="Q145" s="8"/>
      <c r="R145" s="10"/>
      <c r="S145" s="63"/>
      <c r="T145" s="63"/>
      <c r="U145" s="63"/>
    </row>
    <row r="146" spans="1:21" x14ac:dyDescent="0.25">
      <c r="A146" s="3">
        <f t="shared" si="7"/>
        <v>34</v>
      </c>
      <c r="B146" s="4"/>
      <c r="C146" s="9"/>
      <c r="D146" s="359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47">
        <f t="shared" si="9"/>
        <v>0</v>
      </c>
      <c r="P146" s="338"/>
      <c r="Q146" s="8"/>
      <c r="R146" s="10"/>
      <c r="S146" s="63"/>
      <c r="T146" s="63"/>
      <c r="U146" s="63"/>
    </row>
    <row r="147" spans="1:21" x14ac:dyDescent="0.25">
      <c r="A147" s="3">
        <f t="shared" si="7"/>
        <v>35</v>
      </c>
      <c r="B147" s="4"/>
      <c r="C147" s="9"/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47">
        <f t="shared" si="9"/>
        <v>0</v>
      </c>
      <c r="P147" s="338"/>
      <c r="Q147" s="8"/>
      <c r="R147" s="10"/>
      <c r="S147" s="63"/>
      <c r="T147" s="63"/>
      <c r="U147" s="63"/>
    </row>
    <row r="148" spans="1:21" x14ac:dyDescent="0.25">
      <c r="A148" s="3">
        <f t="shared" si="7"/>
        <v>36</v>
      </c>
      <c r="B148" s="4"/>
      <c r="C148" s="9"/>
      <c r="D148" s="359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47">
        <f t="shared" si="9"/>
        <v>0</v>
      </c>
      <c r="P148" s="338"/>
      <c r="Q148" s="8"/>
      <c r="R148" s="10"/>
      <c r="S148" s="63"/>
      <c r="T148" s="63"/>
      <c r="U148" s="63"/>
    </row>
    <row r="149" spans="1:21" x14ac:dyDescent="0.25">
      <c r="A149" s="3">
        <f t="shared" si="7"/>
        <v>37</v>
      </c>
      <c r="B149" s="4"/>
      <c r="C149" s="9"/>
      <c r="D149" s="359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47">
        <f t="shared" si="9"/>
        <v>0</v>
      </c>
      <c r="P149" s="338"/>
      <c r="Q149" s="8"/>
      <c r="R149" s="10"/>
      <c r="S149" s="63"/>
      <c r="T149" s="63"/>
      <c r="U149" s="63"/>
    </row>
    <row r="150" spans="1:21" x14ac:dyDescent="0.25">
      <c r="A150" s="3">
        <f t="shared" si="7"/>
        <v>38</v>
      </c>
      <c r="B150" s="4"/>
      <c r="C150" s="8"/>
      <c r="D150" s="359"/>
      <c r="E150" s="478"/>
      <c r="F150" s="359"/>
      <c r="G150" s="478"/>
      <c r="H150" s="359"/>
      <c r="I150" s="478"/>
      <c r="J150" s="359"/>
      <c r="K150" s="478"/>
      <c r="L150" s="359"/>
      <c r="M150" s="478"/>
      <c r="N150" s="561"/>
      <c r="O150" s="47">
        <f t="shared" si="9"/>
        <v>0</v>
      </c>
      <c r="P150" s="338"/>
      <c r="Q150" s="8"/>
      <c r="R150" s="10"/>
      <c r="S150" s="63"/>
      <c r="T150" s="63"/>
      <c r="U150" s="63"/>
    </row>
    <row r="151" spans="1:21" x14ac:dyDescent="0.25">
      <c r="A151" s="3">
        <f t="shared" si="7"/>
        <v>39</v>
      </c>
      <c r="B151" s="4"/>
      <c r="C151" s="9"/>
      <c r="D151" s="359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47">
        <f t="shared" ref="O151:O182" si="10">SUM(C151:N151)</f>
        <v>0</v>
      </c>
      <c r="P151" s="338"/>
      <c r="Q151" s="8"/>
      <c r="R151" s="10"/>
      <c r="S151" s="63"/>
      <c r="T151" s="63"/>
      <c r="U151" s="63"/>
    </row>
    <row r="152" spans="1:21" x14ac:dyDescent="0.25">
      <c r="A152" s="3">
        <f t="shared" si="7"/>
        <v>40</v>
      </c>
      <c r="B152" s="4"/>
      <c r="C152" s="9"/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47">
        <f t="shared" si="10"/>
        <v>0</v>
      </c>
      <c r="P152" s="338"/>
      <c r="Q152" s="8"/>
      <c r="R152" s="10"/>
      <c r="S152" s="63"/>
      <c r="T152" s="63"/>
      <c r="U152" s="63"/>
    </row>
    <row r="153" spans="1:21" x14ac:dyDescent="0.25">
      <c r="A153" s="3">
        <f t="shared" si="7"/>
        <v>41</v>
      </c>
      <c r="B153" s="4"/>
      <c r="C153" s="9"/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47">
        <f t="shared" si="10"/>
        <v>0</v>
      </c>
      <c r="P153" s="338"/>
      <c r="Q153" s="8"/>
      <c r="R153" s="10"/>
      <c r="S153" s="63"/>
      <c r="T153" s="63"/>
      <c r="U153" s="63"/>
    </row>
    <row r="154" spans="1:21" x14ac:dyDescent="0.25">
      <c r="A154" s="3">
        <f t="shared" si="7"/>
        <v>42</v>
      </c>
      <c r="B154" s="4"/>
      <c r="C154" s="9"/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47">
        <f t="shared" si="10"/>
        <v>0</v>
      </c>
      <c r="P154" s="338"/>
      <c r="Q154" s="8"/>
      <c r="R154" s="10"/>
      <c r="S154" s="63"/>
      <c r="T154" s="63"/>
      <c r="U154" s="63"/>
    </row>
    <row r="155" spans="1:21" x14ac:dyDescent="0.25">
      <c r="A155" s="3">
        <f t="shared" si="7"/>
        <v>43</v>
      </c>
      <c r="B155" s="4"/>
      <c r="C155" s="9"/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47">
        <f t="shared" si="10"/>
        <v>0</v>
      </c>
      <c r="P155" s="338"/>
      <c r="Q155" s="8"/>
      <c r="R155" s="10"/>
      <c r="S155" s="63"/>
      <c r="T155" s="63"/>
      <c r="U155" s="63"/>
    </row>
    <row r="156" spans="1:21" x14ac:dyDescent="0.25">
      <c r="A156" s="3">
        <f t="shared" si="7"/>
        <v>44</v>
      </c>
      <c r="B156" s="4"/>
      <c r="C156" s="9"/>
      <c r="D156" s="359"/>
      <c r="E156" s="478"/>
      <c r="F156" s="359"/>
      <c r="G156" s="478"/>
      <c r="H156" s="359"/>
      <c r="I156" s="478"/>
      <c r="J156" s="359"/>
      <c r="K156" s="478"/>
      <c r="L156" s="359"/>
      <c r="M156" s="478"/>
      <c r="N156" s="561"/>
      <c r="O156" s="47">
        <f t="shared" si="10"/>
        <v>0</v>
      </c>
      <c r="P156" s="338"/>
      <c r="Q156" s="8"/>
      <c r="R156" s="10"/>
      <c r="S156" s="63"/>
      <c r="T156" s="63"/>
      <c r="U156" s="63"/>
    </row>
    <row r="157" spans="1:21" x14ac:dyDescent="0.25">
      <c r="A157" s="3">
        <f t="shared" si="7"/>
        <v>45</v>
      </c>
      <c r="B157" s="4"/>
      <c r="C157" s="9"/>
      <c r="D157" s="359"/>
      <c r="E157" s="478"/>
      <c r="F157" s="359"/>
      <c r="G157" s="478"/>
      <c r="H157" s="359"/>
      <c r="I157" s="478"/>
      <c r="J157" s="359"/>
      <c r="K157" s="478"/>
      <c r="L157" s="359"/>
      <c r="M157" s="478"/>
      <c r="N157" s="561"/>
      <c r="O157" s="47">
        <f t="shared" si="10"/>
        <v>0</v>
      </c>
      <c r="P157" s="338"/>
      <c r="Q157" s="8"/>
      <c r="R157" s="10"/>
      <c r="S157" s="63"/>
      <c r="T157" s="63"/>
      <c r="U157" s="63"/>
    </row>
    <row r="158" spans="1:21" x14ac:dyDescent="0.25">
      <c r="A158" s="3">
        <f t="shared" si="7"/>
        <v>46</v>
      </c>
      <c r="B158" s="4"/>
      <c r="C158" s="9"/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47">
        <f t="shared" si="10"/>
        <v>0</v>
      </c>
      <c r="P158" s="338"/>
      <c r="Q158" s="8"/>
      <c r="R158" s="10"/>
      <c r="S158" s="63"/>
      <c r="T158" s="63"/>
      <c r="U158" s="63"/>
    </row>
    <row r="159" spans="1:21" x14ac:dyDescent="0.25">
      <c r="A159" s="3">
        <f t="shared" si="7"/>
        <v>47</v>
      </c>
      <c r="B159" s="3"/>
      <c r="C159" s="9"/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47">
        <f t="shared" si="10"/>
        <v>0</v>
      </c>
      <c r="P159" s="338"/>
      <c r="Q159" s="8"/>
      <c r="R159" s="10"/>
      <c r="S159" s="63"/>
      <c r="T159" s="63"/>
      <c r="U159" s="63"/>
    </row>
    <row r="160" spans="1:21" x14ac:dyDescent="0.25">
      <c r="A160" s="3">
        <f t="shared" si="7"/>
        <v>48</v>
      </c>
      <c r="B160" s="4"/>
      <c r="C160" s="9"/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47">
        <f t="shared" si="10"/>
        <v>0</v>
      </c>
      <c r="P160" s="338"/>
      <c r="Q160" s="8"/>
      <c r="R160" s="10"/>
      <c r="S160" s="63"/>
      <c r="T160" s="63"/>
      <c r="U160" s="63"/>
    </row>
    <row r="161" spans="1:21" x14ac:dyDescent="0.25">
      <c r="A161" s="3">
        <f t="shared" si="7"/>
        <v>49</v>
      </c>
      <c r="B161" s="4"/>
      <c r="C161" s="9"/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47">
        <f t="shared" si="10"/>
        <v>0</v>
      </c>
      <c r="P161" s="338"/>
      <c r="Q161" s="8"/>
      <c r="R161" s="10"/>
      <c r="S161" s="64"/>
      <c r="T161" s="64"/>
      <c r="U161" s="64"/>
    </row>
    <row r="162" spans="1:21" x14ac:dyDescent="0.25">
      <c r="A162" s="3">
        <f t="shared" si="7"/>
        <v>50</v>
      </c>
      <c r="B162" s="4"/>
      <c r="C162" s="9"/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47">
        <f t="shared" si="10"/>
        <v>0</v>
      </c>
      <c r="P162" s="338"/>
      <c r="Q162" s="8"/>
      <c r="R162" s="10"/>
      <c r="S162" s="63"/>
      <c r="T162" s="63"/>
      <c r="U162" s="63"/>
    </row>
    <row r="163" spans="1:21" x14ac:dyDescent="0.25">
      <c r="A163" s="3">
        <f t="shared" si="7"/>
        <v>51</v>
      </c>
      <c r="B163" s="3"/>
      <c r="C163" s="9"/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47">
        <f t="shared" si="10"/>
        <v>0</v>
      </c>
      <c r="P163" s="338"/>
      <c r="Q163" s="8"/>
      <c r="R163" s="10"/>
      <c r="S163" s="63"/>
      <c r="T163" s="63"/>
      <c r="U163" s="63"/>
    </row>
    <row r="164" spans="1:21" x14ac:dyDescent="0.25">
      <c r="A164" s="3">
        <f t="shared" si="7"/>
        <v>52</v>
      </c>
      <c r="B164" s="4"/>
      <c r="C164" s="9"/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47">
        <f t="shared" si="10"/>
        <v>0</v>
      </c>
      <c r="P164" s="338"/>
      <c r="Q164" s="8"/>
      <c r="R164" s="10"/>
      <c r="S164" s="63"/>
      <c r="T164" s="63"/>
      <c r="U164" s="63"/>
    </row>
    <row r="165" spans="1:21" x14ac:dyDescent="0.25">
      <c r="A165" s="3">
        <f t="shared" si="7"/>
        <v>53</v>
      </c>
      <c r="B165" s="4"/>
      <c r="C165" s="9"/>
      <c r="D165" s="359"/>
      <c r="E165" s="478"/>
      <c r="F165" s="359"/>
      <c r="G165" s="478"/>
      <c r="H165" s="359"/>
      <c r="I165" s="478"/>
      <c r="J165" s="359"/>
      <c r="K165" s="478"/>
      <c r="L165" s="359"/>
      <c r="M165" s="478"/>
      <c r="N165" s="561"/>
      <c r="O165" s="47">
        <f t="shared" si="10"/>
        <v>0</v>
      </c>
      <c r="P165" s="338"/>
      <c r="Q165" s="8"/>
      <c r="R165" s="10"/>
      <c r="S165" s="63"/>
      <c r="T165" s="63"/>
      <c r="U165" s="63"/>
    </row>
    <row r="166" spans="1:21" x14ac:dyDescent="0.25">
      <c r="A166" s="3">
        <f t="shared" si="7"/>
        <v>54</v>
      </c>
      <c r="B166" s="4"/>
      <c r="C166" s="9"/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47">
        <f t="shared" si="10"/>
        <v>0</v>
      </c>
      <c r="P166" s="338"/>
      <c r="Q166" s="8"/>
      <c r="R166" s="10"/>
      <c r="S166" s="63"/>
      <c r="T166" s="63"/>
      <c r="U166" s="63"/>
    </row>
    <row r="167" spans="1:21" x14ac:dyDescent="0.25">
      <c r="A167" s="3">
        <f t="shared" si="7"/>
        <v>55</v>
      </c>
      <c r="B167" s="4"/>
      <c r="C167" s="9"/>
      <c r="D167" s="359"/>
      <c r="E167" s="478"/>
      <c r="F167" s="359"/>
      <c r="G167" s="478"/>
      <c r="H167" s="359"/>
      <c r="I167" s="478"/>
      <c r="J167" s="359"/>
      <c r="K167" s="478"/>
      <c r="L167" s="359"/>
      <c r="M167" s="478"/>
      <c r="N167" s="561"/>
      <c r="O167" s="47">
        <f t="shared" si="10"/>
        <v>0</v>
      </c>
      <c r="P167" s="338"/>
      <c r="Q167" s="8"/>
      <c r="R167" s="10"/>
      <c r="S167" s="63"/>
      <c r="T167" s="63"/>
      <c r="U167" s="63"/>
    </row>
    <row r="168" spans="1:21" x14ac:dyDescent="0.25">
      <c r="A168" s="3">
        <f t="shared" si="7"/>
        <v>56</v>
      </c>
      <c r="B168" s="4"/>
      <c r="C168" s="9"/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47">
        <f t="shared" si="10"/>
        <v>0</v>
      </c>
      <c r="P168" s="338"/>
      <c r="Q168" s="8"/>
      <c r="R168" s="10"/>
      <c r="S168" s="63"/>
      <c r="T168" s="63"/>
      <c r="U168" s="63"/>
    </row>
    <row r="169" spans="1:21" x14ac:dyDescent="0.25">
      <c r="A169" s="3">
        <f t="shared" si="7"/>
        <v>57</v>
      </c>
      <c r="B169" s="4"/>
      <c r="C169" s="9"/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47">
        <f t="shared" si="10"/>
        <v>0</v>
      </c>
      <c r="P169" s="338"/>
      <c r="Q169" s="8"/>
      <c r="R169" s="10"/>
      <c r="S169" s="63"/>
      <c r="T169" s="63"/>
      <c r="U169" s="63"/>
    </row>
    <row r="170" spans="1:21" x14ac:dyDescent="0.25">
      <c r="A170" s="3">
        <f t="shared" si="7"/>
        <v>58</v>
      </c>
      <c r="B170" s="4"/>
      <c r="C170" s="9"/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47">
        <f t="shared" si="10"/>
        <v>0</v>
      </c>
      <c r="P170" s="338"/>
      <c r="Q170" s="8"/>
      <c r="R170" s="10"/>
      <c r="S170" s="63"/>
      <c r="T170" s="63"/>
      <c r="U170" s="63"/>
    </row>
    <row r="171" spans="1:21" x14ac:dyDescent="0.25">
      <c r="A171" s="3">
        <f t="shared" si="7"/>
        <v>59</v>
      </c>
      <c r="B171" s="4"/>
      <c r="C171" s="9"/>
      <c r="D171" s="359"/>
      <c r="E171" s="478"/>
      <c r="F171" s="359"/>
      <c r="G171" s="478"/>
      <c r="H171" s="359"/>
      <c r="I171" s="478"/>
      <c r="J171" s="359"/>
      <c r="K171" s="478"/>
      <c r="L171" s="359"/>
      <c r="M171" s="478"/>
      <c r="N171" s="561"/>
      <c r="O171" s="47">
        <f t="shared" si="10"/>
        <v>0</v>
      </c>
      <c r="P171" s="338"/>
      <c r="Q171" s="8"/>
      <c r="R171" s="10"/>
      <c r="S171" s="64"/>
      <c r="T171" s="64"/>
      <c r="U171" s="64"/>
    </row>
    <row r="172" spans="1:21" x14ac:dyDescent="0.25">
      <c r="A172" s="3">
        <f t="shared" si="7"/>
        <v>60</v>
      </c>
      <c r="B172" s="4"/>
      <c r="C172" s="9"/>
      <c r="D172" s="359"/>
      <c r="E172" s="478"/>
      <c r="F172" s="359"/>
      <c r="G172" s="478"/>
      <c r="H172" s="359"/>
      <c r="I172" s="478"/>
      <c r="J172" s="359"/>
      <c r="K172" s="478"/>
      <c r="L172" s="359"/>
      <c r="M172" s="478"/>
      <c r="N172" s="561"/>
      <c r="O172" s="47">
        <f t="shared" si="10"/>
        <v>0</v>
      </c>
      <c r="P172" s="338"/>
      <c r="Q172" s="8"/>
      <c r="R172" s="10"/>
      <c r="S172" s="63"/>
      <c r="T172" s="63"/>
      <c r="U172" s="63"/>
    </row>
    <row r="173" spans="1:21" x14ac:dyDescent="0.25">
      <c r="A173" s="3">
        <f t="shared" si="7"/>
        <v>61</v>
      </c>
      <c r="B173" s="4"/>
      <c r="C173" s="9"/>
      <c r="D173" s="359"/>
      <c r="E173" s="478"/>
      <c r="F173" s="359"/>
      <c r="G173" s="478"/>
      <c r="H173" s="359"/>
      <c r="I173" s="478"/>
      <c r="J173" s="359"/>
      <c r="K173" s="478"/>
      <c r="L173" s="359"/>
      <c r="M173" s="478"/>
      <c r="N173" s="561"/>
      <c r="O173" s="47">
        <f t="shared" si="10"/>
        <v>0</v>
      </c>
      <c r="P173" s="338"/>
      <c r="Q173" s="8"/>
      <c r="R173" s="10"/>
      <c r="S173" s="63"/>
      <c r="T173" s="63"/>
      <c r="U173" s="63"/>
    </row>
    <row r="174" spans="1:21" x14ac:dyDescent="0.25">
      <c r="A174" s="3">
        <f t="shared" si="7"/>
        <v>62</v>
      </c>
      <c r="B174" s="4"/>
      <c r="C174" s="9"/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47">
        <f t="shared" si="10"/>
        <v>0</v>
      </c>
      <c r="P174" s="338"/>
      <c r="Q174" s="8"/>
      <c r="R174" s="10"/>
      <c r="S174" s="63"/>
      <c r="T174" s="63"/>
      <c r="U174" s="63"/>
    </row>
    <row r="175" spans="1:21" x14ac:dyDescent="0.25">
      <c r="A175" s="3">
        <f t="shared" si="7"/>
        <v>63</v>
      </c>
      <c r="B175" s="4"/>
      <c r="C175" s="9"/>
      <c r="D175" s="359"/>
      <c r="E175" s="478"/>
      <c r="F175" s="359"/>
      <c r="G175" s="478"/>
      <c r="H175" s="359"/>
      <c r="I175" s="478"/>
      <c r="J175" s="359"/>
      <c r="K175" s="478"/>
      <c r="L175" s="359"/>
      <c r="M175" s="478"/>
      <c r="N175" s="561"/>
      <c r="O175" s="47">
        <f t="shared" si="10"/>
        <v>0</v>
      </c>
      <c r="P175" s="338"/>
      <c r="Q175" s="8"/>
      <c r="R175" s="10"/>
      <c r="S175" s="63"/>
      <c r="T175" s="63"/>
      <c r="U175" s="63"/>
    </row>
    <row r="176" spans="1:21" x14ac:dyDescent="0.25">
      <c r="A176" s="3">
        <f t="shared" ref="A176:A239" si="11">A175+1</f>
        <v>64</v>
      </c>
      <c r="B176" s="4"/>
      <c r="C176" s="9"/>
      <c r="D176" s="359"/>
      <c r="E176" s="478"/>
      <c r="F176" s="359"/>
      <c r="G176" s="478"/>
      <c r="H176" s="359"/>
      <c r="I176" s="478"/>
      <c r="J176" s="359"/>
      <c r="K176" s="478"/>
      <c r="L176" s="359"/>
      <c r="M176" s="478"/>
      <c r="N176" s="561"/>
      <c r="O176" s="47">
        <f t="shared" si="10"/>
        <v>0</v>
      </c>
      <c r="P176" s="338"/>
      <c r="Q176" s="8"/>
      <c r="R176" s="10"/>
      <c r="S176" s="63"/>
      <c r="T176" s="63"/>
      <c r="U176" s="63"/>
    </row>
    <row r="177" spans="1:21" x14ac:dyDescent="0.25">
      <c r="A177" s="3">
        <f t="shared" si="11"/>
        <v>65</v>
      </c>
      <c r="B177" s="4"/>
      <c r="C177" s="9"/>
      <c r="D177" s="359"/>
      <c r="E177" s="478"/>
      <c r="F177" s="359"/>
      <c r="G177" s="478"/>
      <c r="H177" s="359"/>
      <c r="I177" s="478"/>
      <c r="J177" s="359"/>
      <c r="K177" s="478"/>
      <c r="L177" s="359"/>
      <c r="M177" s="478"/>
      <c r="N177" s="561"/>
      <c r="O177" s="47">
        <f t="shared" si="10"/>
        <v>0</v>
      </c>
      <c r="P177" s="338"/>
      <c r="Q177" s="8"/>
      <c r="R177" s="10"/>
      <c r="S177" s="63"/>
      <c r="T177" s="63"/>
      <c r="U177" s="63"/>
    </row>
    <row r="178" spans="1:21" x14ac:dyDescent="0.25">
      <c r="A178" s="3">
        <f t="shared" si="11"/>
        <v>66</v>
      </c>
      <c r="B178" s="4"/>
      <c r="C178" s="9"/>
      <c r="D178" s="359"/>
      <c r="E178" s="478"/>
      <c r="F178" s="359"/>
      <c r="G178" s="478"/>
      <c r="H178" s="359"/>
      <c r="I178" s="478"/>
      <c r="J178" s="359"/>
      <c r="K178" s="478"/>
      <c r="L178" s="359"/>
      <c r="M178" s="478"/>
      <c r="N178" s="561"/>
      <c r="O178" s="47">
        <f t="shared" si="10"/>
        <v>0</v>
      </c>
      <c r="P178" s="338"/>
      <c r="Q178" s="8"/>
      <c r="R178" s="10"/>
      <c r="S178" s="63"/>
      <c r="T178" s="63"/>
      <c r="U178" s="63"/>
    </row>
    <row r="179" spans="1:21" x14ac:dyDescent="0.25">
      <c r="A179" s="3">
        <f t="shared" si="11"/>
        <v>67</v>
      </c>
      <c r="B179" s="4"/>
      <c r="C179" s="9"/>
      <c r="D179" s="359"/>
      <c r="E179" s="478"/>
      <c r="F179" s="359"/>
      <c r="G179" s="478"/>
      <c r="H179" s="359"/>
      <c r="I179" s="478"/>
      <c r="J179" s="359"/>
      <c r="K179" s="478"/>
      <c r="L179" s="359"/>
      <c r="M179" s="478"/>
      <c r="N179" s="561"/>
      <c r="O179" s="47">
        <f t="shared" si="10"/>
        <v>0</v>
      </c>
      <c r="P179" s="338"/>
      <c r="Q179" s="8"/>
      <c r="R179" s="10"/>
      <c r="S179" s="63"/>
      <c r="T179" s="63"/>
      <c r="U179" s="63"/>
    </row>
    <row r="180" spans="1:21" x14ac:dyDescent="0.25">
      <c r="A180" s="3">
        <f t="shared" si="11"/>
        <v>68</v>
      </c>
      <c r="B180" s="4"/>
      <c r="C180" s="9"/>
      <c r="D180" s="359"/>
      <c r="E180" s="478"/>
      <c r="F180" s="359"/>
      <c r="G180" s="478"/>
      <c r="H180" s="359"/>
      <c r="I180" s="478"/>
      <c r="J180" s="359"/>
      <c r="K180" s="478"/>
      <c r="L180" s="359"/>
      <c r="M180" s="478"/>
      <c r="N180" s="561"/>
      <c r="O180" s="47">
        <f t="shared" si="10"/>
        <v>0</v>
      </c>
      <c r="P180" s="338"/>
      <c r="Q180" s="8"/>
      <c r="R180" s="10"/>
      <c r="S180" s="63"/>
      <c r="T180" s="63"/>
      <c r="U180" s="63"/>
    </row>
    <row r="181" spans="1:21" x14ac:dyDescent="0.25">
      <c r="A181" s="3">
        <f t="shared" si="11"/>
        <v>69</v>
      </c>
      <c r="B181" s="4"/>
      <c r="C181" s="9"/>
      <c r="D181" s="359"/>
      <c r="E181" s="478"/>
      <c r="F181" s="359"/>
      <c r="G181" s="478"/>
      <c r="H181" s="359"/>
      <c r="I181" s="478"/>
      <c r="J181" s="359"/>
      <c r="K181" s="478"/>
      <c r="L181" s="359"/>
      <c r="M181" s="478"/>
      <c r="N181" s="561"/>
      <c r="O181" s="47">
        <f t="shared" si="10"/>
        <v>0</v>
      </c>
      <c r="P181" s="338"/>
      <c r="Q181" s="8"/>
      <c r="R181" s="10"/>
      <c r="S181" s="63"/>
      <c r="T181" s="63"/>
      <c r="U181" s="63"/>
    </row>
    <row r="182" spans="1:21" x14ac:dyDescent="0.25">
      <c r="A182" s="3">
        <f t="shared" si="11"/>
        <v>70</v>
      </c>
      <c r="B182" s="4"/>
      <c r="C182" s="9"/>
      <c r="D182" s="359"/>
      <c r="E182" s="478"/>
      <c r="F182" s="359"/>
      <c r="G182" s="478"/>
      <c r="H182" s="359"/>
      <c r="I182" s="478"/>
      <c r="J182" s="359"/>
      <c r="K182" s="478"/>
      <c r="L182" s="359"/>
      <c r="M182" s="478"/>
      <c r="N182" s="561"/>
      <c r="O182" s="47">
        <f t="shared" si="10"/>
        <v>0</v>
      </c>
      <c r="P182" s="338"/>
      <c r="Q182" s="8"/>
      <c r="R182" s="10"/>
      <c r="S182" s="63"/>
      <c r="T182" s="63"/>
      <c r="U182" s="63"/>
    </row>
    <row r="183" spans="1:21" x14ac:dyDescent="0.25">
      <c r="A183" s="3">
        <f t="shared" si="11"/>
        <v>71</v>
      </c>
      <c r="B183" s="4"/>
      <c r="C183" s="9"/>
      <c r="D183" s="359"/>
      <c r="E183" s="478"/>
      <c r="F183" s="359"/>
      <c r="G183" s="478"/>
      <c r="H183" s="359"/>
      <c r="I183" s="478"/>
      <c r="J183" s="359"/>
      <c r="K183" s="478"/>
      <c r="L183" s="359"/>
      <c r="M183" s="478"/>
      <c r="N183" s="561"/>
      <c r="O183" s="47">
        <f t="shared" ref="O183:O214" si="12">SUM(C183:N183)</f>
        <v>0</v>
      </c>
      <c r="P183" s="338"/>
      <c r="Q183" s="8"/>
      <c r="R183" s="10"/>
      <c r="S183" s="63"/>
      <c r="T183" s="63"/>
      <c r="U183" s="63"/>
    </row>
    <row r="184" spans="1:21" x14ac:dyDescent="0.25">
      <c r="A184" s="3">
        <f t="shared" si="11"/>
        <v>72</v>
      </c>
      <c r="B184" s="4"/>
      <c r="C184" s="9"/>
      <c r="D184" s="359"/>
      <c r="E184" s="478"/>
      <c r="F184" s="359"/>
      <c r="G184" s="478"/>
      <c r="H184" s="359"/>
      <c r="I184" s="478"/>
      <c r="J184" s="359"/>
      <c r="K184" s="478"/>
      <c r="L184" s="359"/>
      <c r="M184" s="478"/>
      <c r="N184" s="561"/>
      <c r="O184" s="47">
        <f t="shared" si="12"/>
        <v>0</v>
      </c>
      <c r="P184" s="338"/>
      <c r="Q184" s="8"/>
      <c r="R184" s="10"/>
      <c r="S184" s="63"/>
      <c r="T184" s="63"/>
      <c r="U184" s="63"/>
    </row>
    <row r="185" spans="1:21" x14ac:dyDescent="0.25">
      <c r="A185" s="3">
        <f t="shared" si="11"/>
        <v>73</v>
      </c>
      <c r="B185" s="4"/>
      <c r="C185" s="8"/>
      <c r="D185" s="359"/>
      <c r="E185" s="478"/>
      <c r="F185" s="359"/>
      <c r="G185" s="478"/>
      <c r="H185" s="359"/>
      <c r="I185" s="478"/>
      <c r="J185" s="359"/>
      <c r="K185" s="478"/>
      <c r="L185" s="359"/>
      <c r="M185" s="478"/>
      <c r="N185" s="561"/>
      <c r="O185" s="47">
        <f t="shared" si="12"/>
        <v>0</v>
      </c>
      <c r="P185" s="338"/>
      <c r="Q185" s="8"/>
      <c r="R185" s="10"/>
      <c r="S185" s="63"/>
      <c r="T185" s="63"/>
      <c r="U185" s="63"/>
    </row>
    <row r="186" spans="1:21" x14ac:dyDescent="0.25">
      <c r="A186" s="3">
        <f t="shared" si="11"/>
        <v>74</v>
      </c>
      <c r="B186" s="4"/>
      <c r="C186" s="9"/>
      <c r="D186" s="359"/>
      <c r="E186" s="478"/>
      <c r="F186" s="359"/>
      <c r="G186" s="478"/>
      <c r="H186" s="359"/>
      <c r="I186" s="478"/>
      <c r="J186" s="359"/>
      <c r="K186" s="478"/>
      <c r="L186" s="359"/>
      <c r="M186" s="478"/>
      <c r="N186" s="561"/>
      <c r="O186" s="47">
        <f t="shared" si="12"/>
        <v>0</v>
      </c>
      <c r="P186" s="338"/>
      <c r="Q186" s="8"/>
      <c r="R186" s="10"/>
      <c r="S186" s="63"/>
      <c r="T186" s="63"/>
      <c r="U186" s="63"/>
    </row>
    <row r="187" spans="1:21" x14ac:dyDescent="0.25">
      <c r="A187" s="3">
        <f t="shared" si="11"/>
        <v>75</v>
      </c>
      <c r="B187" s="4"/>
      <c r="C187" s="8"/>
      <c r="D187" s="359"/>
      <c r="E187" s="478"/>
      <c r="F187" s="359"/>
      <c r="G187" s="478"/>
      <c r="H187" s="359"/>
      <c r="I187" s="478"/>
      <c r="J187" s="359"/>
      <c r="K187" s="478"/>
      <c r="L187" s="359"/>
      <c r="M187" s="478"/>
      <c r="N187" s="561"/>
      <c r="O187" s="47">
        <f t="shared" si="12"/>
        <v>0</v>
      </c>
      <c r="P187" s="338"/>
      <c r="Q187" s="8"/>
      <c r="R187" s="10"/>
      <c r="S187" s="63"/>
      <c r="T187" s="63"/>
      <c r="U187" s="63"/>
    </row>
    <row r="188" spans="1:21" x14ac:dyDescent="0.25">
      <c r="A188" s="3">
        <f t="shared" si="11"/>
        <v>76</v>
      </c>
      <c r="B188" s="4"/>
      <c r="C188" s="9"/>
      <c r="D188" s="359"/>
      <c r="E188" s="478"/>
      <c r="F188" s="359"/>
      <c r="G188" s="478"/>
      <c r="H188" s="359"/>
      <c r="I188" s="478"/>
      <c r="J188" s="359"/>
      <c r="K188" s="478"/>
      <c r="L188" s="359"/>
      <c r="M188" s="478"/>
      <c r="N188" s="561"/>
      <c r="O188" s="47">
        <f t="shared" si="12"/>
        <v>0</v>
      </c>
      <c r="P188" s="338"/>
      <c r="Q188" s="8"/>
      <c r="R188" s="10"/>
      <c r="S188" s="63"/>
      <c r="T188" s="63"/>
      <c r="U188" s="63"/>
    </row>
    <row r="189" spans="1:21" x14ac:dyDescent="0.25">
      <c r="A189" s="3">
        <f t="shared" si="11"/>
        <v>77</v>
      </c>
      <c r="B189" s="4"/>
      <c r="C189" s="9"/>
      <c r="D189" s="359"/>
      <c r="E189" s="478"/>
      <c r="F189" s="359"/>
      <c r="G189" s="478"/>
      <c r="H189" s="359"/>
      <c r="I189" s="478"/>
      <c r="J189" s="359"/>
      <c r="K189" s="478"/>
      <c r="L189" s="359"/>
      <c r="M189" s="478"/>
      <c r="N189" s="561"/>
      <c r="O189" s="47">
        <f t="shared" si="12"/>
        <v>0</v>
      </c>
      <c r="P189" s="338"/>
      <c r="Q189" s="8"/>
      <c r="R189" s="10"/>
      <c r="S189" s="63"/>
      <c r="T189" s="63"/>
      <c r="U189" s="63"/>
    </row>
    <row r="190" spans="1:21" x14ac:dyDescent="0.25">
      <c r="A190" s="3">
        <f t="shared" si="11"/>
        <v>78</v>
      </c>
      <c r="B190" s="4"/>
      <c r="C190" s="9"/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47">
        <f t="shared" si="12"/>
        <v>0</v>
      </c>
      <c r="P190" s="338"/>
      <c r="Q190" s="8"/>
      <c r="R190" s="10"/>
      <c r="S190" s="63"/>
      <c r="T190" s="63"/>
      <c r="U190" s="63"/>
    </row>
    <row r="191" spans="1:21" x14ac:dyDescent="0.25">
      <c r="A191" s="3">
        <f t="shared" si="11"/>
        <v>79</v>
      </c>
      <c r="B191" s="4"/>
      <c r="C191" s="9"/>
      <c r="D191" s="359"/>
      <c r="E191" s="478"/>
      <c r="F191" s="359"/>
      <c r="G191" s="478"/>
      <c r="H191" s="359"/>
      <c r="I191" s="478"/>
      <c r="J191" s="359"/>
      <c r="K191" s="478"/>
      <c r="L191" s="359"/>
      <c r="M191" s="478"/>
      <c r="N191" s="561"/>
      <c r="O191" s="47">
        <f t="shared" si="12"/>
        <v>0</v>
      </c>
      <c r="P191" s="338"/>
      <c r="Q191" s="8"/>
      <c r="R191" s="10"/>
      <c r="S191" s="63"/>
      <c r="T191" s="63"/>
      <c r="U191" s="63"/>
    </row>
    <row r="192" spans="1:21" x14ac:dyDescent="0.25">
      <c r="A192" s="3">
        <f t="shared" si="11"/>
        <v>80</v>
      </c>
      <c r="B192" s="4"/>
      <c r="C192" s="9"/>
      <c r="D192" s="359"/>
      <c r="E192" s="478"/>
      <c r="F192" s="359"/>
      <c r="G192" s="478"/>
      <c r="H192" s="359"/>
      <c r="I192" s="478"/>
      <c r="J192" s="359"/>
      <c r="K192" s="478"/>
      <c r="L192" s="359"/>
      <c r="M192" s="478"/>
      <c r="N192" s="561"/>
      <c r="O192" s="47">
        <f t="shared" si="12"/>
        <v>0</v>
      </c>
      <c r="P192" s="338"/>
      <c r="Q192" s="8"/>
      <c r="R192" s="10"/>
      <c r="S192" s="63"/>
      <c r="T192" s="63"/>
      <c r="U192" s="63"/>
    </row>
    <row r="193" spans="1:21" x14ac:dyDescent="0.25">
      <c r="A193" s="3">
        <f t="shared" si="11"/>
        <v>81</v>
      </c>
      <c r="B193" s="4"/>
      <c r="C193" s="8"/>
      <c r="D193" s="359"/>
      <c r="E193" s="478"/>
      <c r="F193" s="359"/>
      <c r="G193" s="478"/>
      <c r="H193" s="359"/>
      <c r="I193" s="478"/>
      <c r="J193" s="359"/>
      <c r="K193" s="478"/>
      <c r="L193" s="359"/>
      <c r="M193" s="478"/>
      <c r="N193" s="561"/>
      <c r="O193" s="47">
        <f t="shared" si="12"/>
        <v>0</v>
      </c>
      <c r="P193" s="338"/>
      <c r="Q193" s="8"/>
      <c r="R193" s="10"/>
      <c r="S193" s="63"/>
      <c r="T193" s="63"/>
      <c r="U193" s="63"/>
    </row>
    <row r="194" spans="1:21" x14ac:dyDescent="0.25">
      <c r="A194" s="3">
        <f t="shared" si="11"/>
        <v>82</v>
      </c>
      <c r="B194" s="4"/>
      <c r="C194" s="9"/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47">
        <f t="shared" si="12"/>
        <v>0</v>
      </c>
      <c r="P194" s="338"/>
      <c r="Q194" s="8"/>
      <c r="R194" s="10"/>
      <c r="S194" s="63"/>
      <c r="T194" s="63"/>
      <c r="U194" s="63"/>
    </row>
    <row r="195" spans="1:21" x14ac:dyDescent="0.25">
      <c r="A195" s="3">
        <f t="shared" si="11"/>
        <v>83</v>
      </c>
      <c r="B195" s="4"/>
      <c r="C195" s="8"/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47">
        <f t="shared" si="12"/>
        <v>0</v>
      </c>
      <c r="P195" s="338"/>
      <c r="Q195" s="8"/>
      <c r="R195" s="10"/>
      <c r="S195" s="63"/>
      <c r="T195" s="63"/>
      <c r="U195" s="63"/>
    </row>
    <row r="196" spans="1:21" x14ac:dyDescent="0.25">
      <c r="A196" s="3">
        <f t="shared" si="11"/>
        <v>84</v>
      </c>
      <c r="B196" s="4"/>
      <c r="C196" s="9"/>
      <c r="D196" s="359"/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47">
        <f t="shared" si="12"/>
        <v>0</v>
      </c>
      <c r="P196" s="338"/>
      <c r="Q196" s="8"/>
      <c r="R196" s="10"/>
      <c r="S196" s="63"/>
      <c r="T196" s="63"/>
      <c r="U196" s="63"/>
    </row>
    <row r="197" spans="1:21" x14ac:dyDescent="0.25">
      <c r="A197" s="3">
        <f t="shared" si="11"/>
        <v>85</v>
      </c>
      <c r="B197" s="4"/>
      <c r="C197" s="9"/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47">
        <f t="shared" si="12"/>
        <v>0</v>
      </c>
      <c r="P197" s="338"/>
      <c r="Q197" s="8"/>
      <c r="R197" s="10"/>
      <c r="S197" s="63"/>
      <c r="T197" s="63"/>
      <c r="U197" s="63"/>
    </row>
    <row r="198" spans="1:21" x14ac:dyDescent="0.25">
      <c r="A198" s="3">
        <f t="shared" si="11"/>
        <v>86</v>
      </c>
      <c r="B198" s="4"/>
      <c r="C198" s="9"/>
      <c r="D198" s="359"/>
      <c r="E198" s="478"/>
      <c r="F198" s="359"/>
      <c r="G198" s="478"/>
      <c r="H198" s="359"/>
      <c r="I198" s="478"/>
      <c r="J198" s="359"/>
      <c r="K198" s="478"/>
      <c r="L198" s="359"/>
      <c r="M198" s="478"/>
      <c r="N198" s="561"/>
      <c r="O198" s="47">
        <f t="shared" si="12"/>
        <v>0</v>
      </c>
      <c r="P198" s="338"/>
      <c r="Q198" s="8"/>
      <c r="R198" s="10"/>
      <c r="S198" s="63"/>
      <c r="T198" s="63"/>
      <c r="U198" s="63"/>
    </row>
    <row r="199" spans="1:21" x14ac:dyDescent="0.25">
      <c r="A199" s="3">
        <f t="shared" si="11"/>
        <v>87</v>
      </c>
      <c r="B199" s="3"/>
      <c r="C199" s="8"/>
      <c r="D199" s="359"/>
      <c r="E199" s="478"/>
      <c r="F199" s="359"/>
      <c r="G199" s="478"/>
      <c r="H199" s="359"/>
      <c r="I199" s="478"/>
      <c r="J199" s="359"/>
      <c r="K199" s="478"/>
      <c r="L199" s="359"/>
      <c r="M199" s="478"/>
      <c r="N199" s="561"/>
      <c r="O199" s="47">
        <f t="shared" si="12"/>
        <v>0</v>
      </c>
      <c r="P199" s="338"/>
      <c r="Q199" s="8"/>
      <c r="R199" s="10"/>
      <c r="S199" s="63"/>
      <c r="T199" s="63"/>
      <c r="U199" s="63"/>
    </row>
    <row r="200" spans="1:21" x14ac:dyDescent="0.25">
      <c r="A200" s="3">
        <f t="shared" si="11"/>
        <v>88</v>
      </c>
      <c r="B200" s="4"/>
      <c r="C200" s="9"/>
      <c r="D200" s="359"/>
      <c r="E200" s="478"/>
      <c r="F200" s="359"/>
      <c r="G200" s="478"/>
      <c r="H200" s="359"/>
      <c r="I200" s="478"/>
      <c r="J200" s="359"/>
      <c r="K200" s="478"/>
      <c r="L200" s="359"/>
      <c r="M200" s="478"/>
      <c r="N200" s="561"/>
      <c r="O200" s="47">
        <f t="shared" si="12"/>
        <v>0</v>
      </c>
      <c r="P200" s="338"/>
      <c r="Q200" s="8"/>
      <c r="R200" s="10"/>
      <c r="S200" s="63"/>
      <c r="T200" s="63"/>
      <c r="U200" s="63"/>
    </row>
    <row r="201" spans="1:21" x14ac:dyDescent="0.25">
      <c r="A201" s="3">
        <f t="shared" si="11"/>
        <v>89</v>
      </c>
      <c r="B201" s="4"/>
      <c r="C201" s="9"/>
      <c r="D201" s="359"/>
      <c r="E201" s="478"/>
      <c r="F201" s="359"/>
      <c r="G201" s="478"/>
      <c r="H201" s="359"/>
      <c r="I201" s="478"/>
      <c r="J201" s="359"/>
      <c r="K201" s="478"/>
      <c r="L201" s="359"/>
      <c r="M201" s="478"/>
      <c r="N201" s="561"/>
      <c r="O201" s="47">
        <f t="shared" si="12"/>
        <v>0</v>
      </c>
      <c r="P201" s="338"/>
      <c r="Q201" s="8"/>
      <c r="R201" s="10"/>
      <c r="S201" s="63"/>
      <c r="T201" s="63"/>
      <c r="U201" s="63"/>
    </row>
    <row r="202" spans="1:21" x14ac:dyDescent="0.25">
      <c r="A202" s="3">
        <f t="shared" si="11"/>
        <v>90</v>
      </c>
      <c r="B202" s="4"/>
      <c r="C202" s="9"/>
      <c r="D202" s="359"/>
      <c r="E202" s="478"/>
      <c r="F202" s="359"/>
      <c r="G202" s="478"/>
      <c r="H202" s="359"/>
      <c r="I202" s="478"/>
      <c r="J202" s="359"/>
      <c r="K202" s="478"/>
      <c r="L202" s="359"/>
      <c r="M202" s="478"/>
      <c r="N202" s="561"/>
      <c r="O202" s="47">
        <f t="shared" si="12"/>
        <v>0</v>
      </c>
      <c r="P202" s="338"/>
      <c r="Q202" s="8"/>
      <c r="R202" s="10"/>
      <c r="S202" s="64"/>
      <c r="T202" s="64"/>
      <c r="U202" s="64"/>
    </row>
    <row r="203" spans="1:21" x14ac:dyDescent="0.25">
      <c r="A203" s="3">
        <f t="shared" si="11"/>
        <v>91</v>
      </c>
      <c r="B203" s="4"/>
      <c r="C203" s="9"/>
      <c r="D203" s="359"/>
      <c r="E203" s="478"/>
      <c r="F203" s="359"/>
      <c r="G203" s="478"/>
      <c r="H203" s="359"/>
      <c r="I203" s="478"/>
      <c r="J203" s="359"/>
      <c r="K203" s="478"/>
      <c r="L203" s="359"/>
      <c r="M203" s="478"/>
      <c r="N203" s="561"/>
      <c r="O203" s="47">
        <f t="shared" si="12"/>
        <v>0</v>
      </c>
      <c r="P203" s="338"/>
      <c r="Q203" s="8"/>
      <c r="R203" s="10"/>
      <c r="S203" s="63"/>
      <c r="T203" s="63"/>
      <c r="U203" s="63"/>
    </row>
    <row r="204" spans="1:21" x14ac:dyDescent="0.25">
      <c r="A204" s="3">
        <f t="shared" si="11"/>
        <v>92</v>
      </c>
      <c r="B204" s="4"/>
      <c r="C204" s="8"/>
      <c r="D204" s="359"/>
      <c r="E204" s="478"/>
      <c r="F204" s="359"/>
      <c r="G204" s="478"/>
      <c r="H204" s="359"/>
      <c r="I204" s="478"/>
      <c r="J204" s="359"/>
      <c r="K204" s="478"/>
      <c r="L204" s="359"/>
      <c r="M204" s="478"/>
      <c r="N204" s="561"/>
      <c r="O204" s="47">
        <f t="shared" si="12"/>
        <v>0</v>
      </c>
      <c r="P204" s="338"/>
      <c r="Q204" s="8"/>
      <c r="R204" s="10"/>
      <c r="S204" s="63"/>
      <c r="T204" s="63"/>
      <c r="U204" s="63"/>
    </row>
    <row r="205" spans="1:21" x14ac:dyDescent="0.25">
      <c r="A205" s="3">
        <f t="shared" si="11"/>
        <v>93</v>
      </c>
      <c r="B205" s="4"/>
      <c r="C205" s="9"/>
      <c r="D205" s="359"/>
      <c r="E205" s="478"/>
      <c r="F205" s="359"/>
      <c r="G205" s="478"/>
      <c r="H205" s="359"/>
      <c r="I205" s="478"/>
      <c r="J205" s="359"/>
      <c r="K205" s="478"/>
      <c r="L205" s="359"/>
      <c r="M205" s="478"/>
      <c r="N205" s="561"/>
      <c r="O205" s="47">
        <f t="shared" si="12"/>
        <v>0</v>
      </c>
      <c r="P205" s="338"/>
      <c r="Q205" s="8"/>
      <c r="R205" s="10"/>
      <c r="S205" s="63"/>
      <c r="T205" s="63"/>
      <c r="U205" s="63"/>
    </row>
    <row r="206" spans="1:21" x14ac:dyDescent="0.25">
      <c r="A206" s="3">
        <f t="shared" si="11"/>
        <v>94</v>
      </c>
      <c r="B206" s="4"/>
      <c r="C206" s="9"/>
      <c r="D206" s="359"/>
      <c r="E206" s="478"/>
      <c r="F206" s="359"/>
      <c r="G206" s="478"/>
      <c r="H206" s="359"/>
      <c r="I206" s="478"/>
      <c r="J206" s="359"/>
      <c r="K206" s="478"/>
      <c r="L206" s="359"/>
      <c r="M206" s="478"/>
      <c r="N206" s="561"/>
      <c r="O206" s="47">
        <f t="shared" si="12"/>
        <v>0</v>
      </c>
      <c r="P206" s="338"/>
      <c r="Q206" s="8"/>
      <c r="R206" s="10"/>
      <c r="S206" s="63"/>
      <c r="T206" s="63"/>
      <c r="U206" s="63"/>
    </row>
    <row r="207" spans="1:21" x14ac:dyDescent="0.25">
      <c r="A207" s="3">
        <f t="shared" si="11"/>
        <v>95</v>
      </c>
      <c r="B207" s="4"/>
      <c r="C207" s="8"/>
      <c r="D207" s="359"/>
      <c r="E207" s="478"/>
      <c r="F207" s="359"/>
      <c r="G207" s="478"/>
      <c r="H207" s="359"/>
      <c r="I207" s="478"/>
      <c r="J207" s="359"/>
      <c r="K207" s="478"/>
      <c r="L207" s="359"/>
      <c r="M207" s="478"/>
      <c r="N207" s="561"/>
      <c r="O207" s="47">
        <f t="shared" si="12"/>
        <v>0</v>
      </c>
      <c r="P207" s="338"/>
      <c r="Q207" s="8"/>
      <c r="R207" s="10"/>
      <c r="S207" s="63"/>
      <c r="T207" s="63"/>
      <c r="U207" s="63"/>
    </row>
    <row r="208" spans="1:21" x14ac:dyDescent="0.25">
      <c r="A208" s="3">
        <f t="shared" si="11"/>
        <v>96</v>
      </c>
      <c r="B208" s="4"/>
      <c r="C208" s="8"/>
      <c r="D208" s="359"/>
      <c r="E208" s="478"/>
      <c r="F208" s="359"/>
      <c r="G208" s="478"/>
      <c r="H208" s="359"/>
      <c r="I208" s="478"/>
      <c r="J208" s="359"/>
      <c r="K208" s="478"/>
      <c r="L208" s="359"/>
      <c r="M208" s="478"/>
      <c r="N208" s="561"/>
      <c r="O208" s="47">
        <f t="shared" si="12"/>
        <v>0</v>
      </c>
      <c r="P208" s="338"/>
      <c r="Q208" s="8"/>
      <c r="R208" s="10"/>
      <c r="S208" s="63"/>
      <c r="T208" s="63"/>
      <c r="U208" s="63"/>
    </row>
    <row r="209" spans="1:21" x14ac:dyDescent="0.25">
      <c r="A209" s="3">
        <f t="shared" si="11"/>
        <v>97</v>
      </c>
      <c r="B209" s="4"/>
      <c r="C209" s="9"/>
      <c r="D209" s="359"/>
      <c r="E209" s="478"/>
      <c r="F209" s="359"/>
      <c r="G209" s="478"/>
      <c r="H209" s="359"/>
      <c r="I209" s="478"/>
      <c r="J209" s="359"/>
      <c r="K209" s="478"/>
      <c r="L209" s="359"/>
      <c r="M209" s="478"/>
      <c r="N209" s="561"/>
      <c r="O209" s="47">
        <f t="shared" si="12"/>
        <v>0</v>
      </c>
      <c r="P209" s="338"/>
      <c r="Q209" s="8"/>
      <c r="R209" s="10"/>
      <c r="S209" s="63"/>
      <c r="T209" s="63"/>
      <c r="U209" s="63"/>
    </row>
    <row r="210" spans="1:21" x14ac:dyDescent="0.25">
      <c r="A210" s="3">
        <f t="shared" si="11"/>
        <v>98</v>
      </c>
      <c r="B210" s="4"/>
      <c r="C210" s="8"/>
      <c r="D210" s="359"/>
      <c r="E210" s="478"/>
      <c r="F210" s="359"/>
      <c r="G210" s="478"/>
      <c r="H210" s="359"/>
      <c r="I210" s="478"/>
      <c r="J210" s="359"/>
      <c r="K210" s="478"/>
      <c r="L210" s="359"/>
      <c r="M210" s="478"/>
      <c r="N210" s="561"/>
      <c r="O210" s="47">
        <f t="shared" si="12"/>
        <v>0</v>
      </c>
      <c r="P210" s="338"/>
      <c r="Q210" s="8"/>
      <c r="R210" s="10"/>
      <c r="S210" s="63"/>
      <c r="T210" s="63"/>
      <c r="U210" s="63"/>
    </row>
    <row r="211" spans="1:21" x14ac:dyDescent="0.25">
      <c r="A211" s="3">
        <f t="shared" si="11"/>
        <v>99</v>
      </c>
      <c r="B211" s="4"/>
      <c r="C211" s="9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47">
        <f t="shared" si="12"/>
        <v>0</v>
      </c>
      <c r="P211" s="338"/>
      <c r="Q211" s="8"/>
      <c r="R211" s="10"/>
      <c r="S211" s="63"/>
      <c r="T211" s="63"/>
      <c r="U211" s="63"/>
    </row>
    <row r="212" spans="1:21" x14ac:dyDescent="0.25">
      <c r="A212" s="3">
        <f t="shared" si="11"/>
        <v>100</v>
      </c>
      <c r="B212" s="4"/>
      <c r="C212" s="9"/>
      <c r="D212" s="359"/>
      <c r="E212" s="478"/>
      <c r="F212" s="359"/>
      <c r="G212" s="478"/>
      <c r="H212" s="359"/>
      <c r="I212" s="478"/>
      <c r="J212" s="359"/>
      <c r="K212" s="478"/>
      <c r="L212" s="359"/>
      <c r="M212" s="478"/>
      <c r="N212" s="561"/>
      <c r="O212" s="47">
        <f t="shared" si="12"/>
        <v>0</v>
      </c>
      <c r="P212" s="338"/>
      <c r="Q212" s="8"/>
      <c r="R212" s="10"/>
      <c r="S212" s="63"/>
      <c r="T212" s="63"/>
      <c r="U212" s="63"/>
    </row>
    <row r="213" spans="1:21" x14ac:dyDescent="0.25">
      <c r="A213" s="3">
        <f t="shared" si="11"/>
        <v>101</v>
      </c>
      <c r="B213" s="4"/>
      <c r="C213" s="9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47">
        <f t="shared" si="12"/>
        <v>0</v>
      </c>
      <c r="P213" s="338"/>
      <c r="Q213" s="8"/>
      <c r="R213" s="10"/>
      <c r="S213" s="63"/>
      <c r="T213" s="63"/>
      <c r="U213" s="63"/>
    </row>
    <row r="214" spans="1:21" x14ac:dyDescent="0.25">
      <c r="A214" s="3">
        <f t="shared" si="11"/>
        <v>102</v>
      </c>
      <c r="B214" s="4"/>
      <c r="C214" s="9"/>
      <c r="D214" s="359"/>
      <c r="E214" s="478"/>
      <c r="F214" s="359"/>
      <c r="G214" s="478"/>
      <c r="H214" s="359"/>
      <c r="I214" s="478"/>
      <c r="J214" s="359"/>
      <c r="K214" s="478"/>
      <c r="L214" s="359"/>
      <c r="M214" s="478"/>
      <c r="N214" s="561"/>
      <c r="O214" s="47">
        <f t="shared" si="12"/>
        <v>0</v>
      </c>
      <c r="P214" s="338"/>
      <c r="Q214" s="8"/>
      <c r="R214" s="10"/>
      <c r="S214" s="63"/>
      <c r="T214" s="63"/>
      <c r="U214" s="63"/>
    </row>
    <row r="215" spans="1:21" x14ac:dyDescent="0.25">
      <c r="A215" s="3">
        <f t="shared" si="11"/>
        <v>103</v>
      </c>
      <c r="B215" s="4"/>
      <c r="C215" s="9"/>
      <c r="D215" s="359"/>
      <c r="E215" s="478"/>
      <c r="F215" s="359"/>
      <c r="G215" s="478"/>
      <c r="H215" s="359"/>
      <c r="I215" s="478"/>
      <c r="J215" s="359"/>
      <c r="K215" s="478"/>
      <c r="L215" s="359"/>
      <c r="M215" s="478"/>
      <c r="N215" s="561"/>
      <c r="O215" s="47">
        <f t="shared" ref="O215:O246" si="13">SUM(C215:N215)</f>
        <v>0</v>
      </c>
      <c r="P215" s="338"/>
      <c r="Q215" s="8"/>
      <c r="R215" s="10"/>
      <c r="S215" s="63"/>
      <c r="T215" s="63"/>
      <c r="U215" s="63"/>
    </row>
    <row r="216" spans="1:21" x14ac:dyDescent="0.25">
      <c r="A216" s="3">
        <f t="shared" si="11"/>
        <v>104</v>
      </c>
      <c r="B216" s="4"/>
      <c r="C216" s="8"/>
      <c r="D216" s="359"/>
      <c r="E216" s="478"/>
      <c r="F216" s="359"/>
      <c r="G216" s="478"/>
      <c r="H216" s="359"/>
      <c r="I216" s="478"/>
      <c r="J216" s="359"/>
      <c r="K216" s="478"/>
      <c r="L216" s="359"/>
      <c r="M216" s="478"/>
      <c r="N216" s="561"/>
      <c r="O216" s="47">
        <f t="shared" si="13"/>
        <v>0</v>
      </c>
      <c r="P216" s="338"/>
      <c r="Q216" s="8"/>
      <c r="R216" s="10"/>
      <c r="S216" s="63"/>
      <c r="T216" s="63"/>
      <c r="U216" s="63"/>
    </row>
    <row r="217" spans="1:21" x14ac:dyDescent="0.25">
      <c r="A217" s="3">
        <f t="shared" si="11"/>
        <v>105</v>
      </c>
      <c r="B217" s="4"/>
      <c r="C217" s="9"/>
      <c r="D217" s="359"/>
      <c r="E217" s="478"/>
      <c r="F217" s="359"/>
      <c r="G217" s="478"/>
      <c r="H217" s="359"/>
      <c r="I217" s="478"/>
      <c r="J217" s="359"/>
      <c r="K217" s="478"/>
      <c r="L217" s="359"/>
      <c r="M217" s="478"/>
      <c r="N217" s="561"/>
      <c r="O217" s="47">
        <f t="shared" si="13"/>
        <v>0</v>
      </c>
      <c r="P217" s="338"/>
      <c r="Q217" s="8"/>
      <c r="R217" s="10"/>
      <c r="S217" s="63"/>
      <c r="T217" s="63"/>
      <c r="U217" s="63"/>
    </row>
    <row r="218" spans="1:21" x14ac:dyDescent="0.25">
      <c r="A218" s="3">
        <f t="shared" si="11"/>
        <v>106</v>
      </c>
      <c r="B218" s="4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47">
        <f t="shared" si="13"/>
        <v>0</v>
      </c>
      <c r="P218" s="338"/>
      <c r="Q218" s="8"/>
      <c r="R218" s="10"/>
      <c r="S218" s="63"/>
      <c r="T218" s="63"/>
      <c r="U218" s="63"/>
    </row>
    <row r="219" spans="1:21" x14ac:dyDescent="0.25">
      <c r="A219" s="3">
        <f t="shared" si="11"/>
        <v>107</v>
      </c>
      <c r="B219" s="4"/>
      <c r="C219" s="9"/>
      <c r="D219" s="359"/>
      <c r="E219" s="478"/>
      <c r="F219" s="359"/>
      <c r="G219" s="478"/>
      <c r="H219" s="359"/>
      <c r="I219" s="478"/>
      <c r="J219" s="359"/>
      <c r="K219" s="478"/>
      <c r="L219" s="359"/>
      <c r="M219" s="478"/>
      <c r="N219" s="561"/>
      <c r="O219" s="47">
        <f t="shared" si="13"/>
        <v>0</v>
      </c>
      <c r="P219" s="338"/>
      <c r="Q219" s="8"/>
      <c r="R219" s="10"/>
      <c r="S219" s="63"/>
      <c r="T219" s="63"/>
      <c r="U219" s="63"/>
    </row>
    <row r="220" spans="1:21" x14ac:dyDescent="0.25">
      <c r="A220" s="3">
        <f t="shared" si="11"/>
        <v>108</v>
      </c>
      <c r="B220" s="3"/>
      <c r="C220" s="8"/>
      <c r="D220" s="359"/>
      <c r="E220" s="478"/>
      <c r="F220" s="359"/>
      <c r="G220" s="478"/>
      <c r="H220" s="359"/>
      <c r="I220" s="478"/>
      <c r="J220" s="359"/>
      <c r="K220" s="478"/>
      <c r="L220" s="359"/>
      <c r="M220" s="478"/>
      <c r="N220" s="561"/>
      <c r="O220" s="47">
        <f t="shared" si="13"/>
        <v>0</v>
      </c>
      <c r="P220" s="338"/>
      <c r="Q220" s="8"/>
      <c r="R220" s="10"/>
      <c r="S220" s="63"/>
      <c r="T220" s="63"/>
      <c r="U220" s="63"/>
    </row>
    <row r="221" spans="1:21" x14ac:dyDescent="0.25">
      <c r="A221" s="3">
        <f t="shared" si="11"/>
        <v>109</v>
      </c>
      <c r="B221" s="4"/>
      <c r="C221" s="9"/>
      <c r="D221" s="359"/>
      <c r="E221" s="478"/>
      <c r="F221" s="359"/>
      <c r="G221" s="478"/>
      <c r="H221" s="359"/>
      <c r="I221" s="478"/>
      <c r="J221" s="359"/>
      <c r="K221" s="478"/>
      <c r="L221" s="359"/>
      <c r="M221" s="478"/>
      <c r="N221" s="561"/>
      <c r="O221" s="47">
        <f t="shared" si="13"/>
        <v>0</v>
      </c>
      <c r="P221" s="338"/>
      <c r="Q221" s="8"/>
      <c r="R221" s="10"/>
      <c r="S221" s="63"/>
      <c r="T221" s="63"/>
      <c r="U221" s="63"/>
    </row>
    <row r="222" spans="1:21" x14ac:dyDescent="0.25">
      <c r="A222" s="3">
        <f t="shared" si="11"/>
        <v>110</v>
      </c>
      <c r="B222" s="4"/>
      <c r="C222" s="9"/>
      <c r="D222" s="359"/>
      <c r="E222" s="478"/>
      <c r="F222" s="359"/>
      <c r="G222" s="478"/>
      <c r="H222" s="359"/>
      <c r="I222" s="478"/>
      <c r="J222" s="359"/>
      <c r="K222" s="478"/>
      <c r="L222" s="359"/>
      <c r="M222" s="478"/>
      <c r="N222" s="561"/>
      <c r="O222" s="47">
        <f t="shared" si="13"/>
        <v>0</v>
      </c>
      <c r="P222" s="338"/>
      <c r="Q222" s="8"/>
      <c r="R222" s="10"/>
      <c r="S222" s="63"/>
      <c r="T222" s="63"/>
      <c r="U222" s="63"/>
    </row>
    <row r="223" spans="1:21" x14ac:dyDescent="0.25">
      <c r="A223" s="3">
        <f t="shared" si="11"/>
        <v>111</v>
      </c>
      <c r="B223" s="4"/>
      <c r="C223" s="9"/>
      <c r="D223" s="359"/>
      <c r="E223" s="478"/>
      <c r="F223" s="359"/>
      <c r="G223" s="478"/>
      <c r="H223" s="359"/>
      <c r="I223" s="478"/>
      <c r="J223" s="359"/>
      <c r="K223" s="478"/>
      <c r="L223" s="359"/>
      <c r="M223" s="478"/>
      <c r="N223" s="561"/>
      <c r="O223" s="47">
        <f t="shared" si="13"/>
        <v>0</v>
      </c>
      <c r="P223" s="338"/>
      <c r="Q223" s="8"/>
      <c r="R223" s="10"/>
      <c r="S223" s="63"/>
      <c r="T223" s="63"/>
      <c r="U223" s="63"/>
    </row>
    <row r="224" spans="1:21" x14ac:dyDescent="0.25">
      <c r="A224" s="3">
        <f t="shared" si="11"/>
        <v>112</v>
      </c>
      <c r="B224" s="4"/>
      <c r="C224" s="9"/>
      <c r="D224" s="359"/>
      <c r="E224" s="478"/>
      <c r="F224" s="359"/>
      <c r="G224" s="478"/>
      <c r="H224" s="359"/>
      <c r="I224" s="478"/>
      <c r="J224" s="359"/>
      <c r="K224" s="478"/>
      <c r="L224" s="359"/>
      <c r="M224" s="478"/>
      <c r="N224" s="561"/>
      <c r="O224" s="47">
        <f t="shared" si="13"/>
        <v>0</v>
      </c>
      <c r="P224" s="338"/>
      <c r="Q224" s="8"/>
      <c r="R224" s="10"/>
      <c r="S224" s="63"/>
      <c r="T224" s="63"/>
      <c r="U224" s="63"/>
    </row>
    <row r="225" spans="1:21" x14ac:dyDescent="0.25">
      <c r="A225" s="3">
        <f t="shared" si="11"/>
        <v>113</v>
      </c>
      <c r="B225" s="4"/>
      <c r="C225" s="9"/>
      <c r="D225" s="359"/>
      <c r="E225" s="478"/>
      <c r="F225" s="359"/>
      <c r="G225" s="478"/>
      <c r="H225" s="359"/>
      <c r="I225" s="478"/>
      <c r="J225" s="359"/>
      <c r="K225" s="478"/>
      <c r="L225" s="359"/>
      <c r="M225" s="478"/>
      <c r="N225" s="561"/>
      <c r="O225" s="47">
        <f t="shared" si="13"/>
        <v>0</v>
      </c>
      <c r="P225" s="338"/>
      <c r="Q225" s="8"/>
      <c r="R225" s="10"/>
      <c r="S225" s="63"/>
      <c r="T225" s="63"/>
      <c r="U225" s="63"/>
    </row>
    <row r="226" spans="1:21" x14ac:dyDescent="0.25">
      <c r="A226" s="3">
        <f t="shared" si="11"/>
        <v>114</v>
      </c>
      <c r="B226" s="4"/>
      <c r="C226" s="9"/>
      <c r="D226" s="359"/>
      <c r="E226" s="478"/>
      <c r="F226" s="359"/>
      <c r="G226" s="478"/>
      <c r="H226" s="359"/>
      <c r="I226" s="478"/>
      <c r="J226" s="359"/>
      <c r="K226" s="478"/>
      <c r="L226" s="359"/>
      <c r="M226" s="478"/>
      <c r="N226" s="561"/>
      <c r="O226" s="47">
        <f t="shared" si="13"/>
        <v>0</v>
      </c>
      <c r="P226" s="338"/>
      <c r="Q226" s="8"/>
      <c r="R226" s="10"/>
      <c r="S226" s="63"/>
      <c r="T226" s="63"/>
      <c r="U226" s="63"/>
    </row>
    <row r="227" spans="1:21" x14ac:dyDescent="0.25">
      <c r="A227" s="3">
        <f t="shared" si="11"/>
        <v>115</v>
      </c>
      <c r="B227" s="4"/>
      <c r="C227" s="9"/>
      <c r="D227" s="359"/>
      <c r="E227" s="478"/>
      <c r="F227" s="359"/>
      <c r="G227" s="478"/>
      <c r="H227" s="359"/>
      <c r="I227" s="478"/>
      <c r="J227" s="359"/>
      <c r="K227" s="478"/>
      <c r="L227" s="359"/>
      <c r="M227" s="478"/>
      <c r="N227" s="561"/>
      <c r="O227" s="47">
        <f t="shared" si="13"/>
        <v>0</v>
      </c>
      <c r="P227" s="338"/>
      <c r="Q227" s="8"/>
      <c r="R227" s="10"/>
      <c r="S227" s="63"/>
      <c r="T227" s="63"/>
      <c r="U227" s="63"/>
    </row>
    <row r="228" spans="1:21" x14ac:dyDescent="0.25">
      <c r="A228" s="3">
        <f t="shared" si="11"/>
        <v>116</v>
      </c>
      <c r="B228" s="4"/>
      <c r="C228" s="8"/>
      <c r="D228" s="359"/>
      <c r="E228" s="478"/>
      <c r="F228" s="359"/>
      <c r="G228" s="478"/>
      <c r="H228" s="359"/>
      <c r="I228" s="478"/>
      <c r="J228" s="359"/>
      <c r="K228" s="478"/>
      <c r="L228" s="359"/>
      <c r="M228" s="478"/>
      <c r="N228" s="561"/>
      <c r="O228" s="47">
        <f t="shared" si="13"/>
        <v>0</v>
      </c>
      <c r="P228" s="338"/>
      <c r="Q228" s="8"/>
      <c r="R228" s="10"/>
      <c r="S228" s="63"/>
      <c r="T228" s="63"/>
      <c r="U228" s="63"/>
    </row>
    <row r="229" spans="1:21" x14ac:dyDescent="0.25">
      <c r="A229" s="3">
        <f t="shared" si="11"/>
        <v>117</v>
      </c>
      <c r="B229" s="4"/>
      <c r="C229" s="9"/>
      <c r="D229" s="359"/>
      <c r="E229" s="478"/>
      <c r="F229" s="359"/>
      <c r="G229" s="478"/>
      <c r="H229" s="359"/>
      <c r="I229" s="478"/>
      <c r="J229" s="359"/>
      <c r="K229" s="478"/>
      <c r="L229" s="359"/>
      <c r="M229" s="478"/>
      <c r="N229" s="561"/>
      <c r="O229" s="47">
        <f t="shared" si="13"/>
        <v>0</v>
      </c>
      <c r="P229" s="338"/>
      <c r="Q229" s="8"/>
      <c r="R229" s="10"/>
      <c r="S229" s="63"/>
      <c r="T229" s="63"/>
      <c r="U229" s="63"/>
    </row>
    <row r="230" spans="1:21" x14ac:dyDescent="0.25">
      <c r="A230" s="3">
        <f t="shared" si="11"/>
        <v>118</v>
      </c>
      <c r="B230" s="4"/>
      <c r="C230" s="9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47">
        <f t="shared" si="13"/>
        <v>0</v>
      </c>
      <c r="P230" s="338"/>
      <c r="Q230" s="8"/>
      <c r="R230" s="10"/>
      <c r="S230" s="64"/>
      <c r="T230" s="64"/>
      <c r="U230" s="64"/>
    </row>
    <row r="231" spans="1:21" x14ac:dyDescent="0.25">
      <c r="A231" s="3">
        <f t="shared" si="11"/>
        <v>119</v>
      </c>
      <c r="B231" s="4"/>
      <c r="C231" s="9"/>
      <c r="D231" s="359"/>
      <c r="E231" s="478"/>
      <c r="F231" s="359"/>
      <c r="G231" s="478"/>
      <c r="H231" s="359"/>
      <c r="I231" s="478"/>
      <c r="J231" s="359"/>
      <c r="K231" s="478"/>
      <c r="L231" s="359"/>
      <c r="M231" s="478"/>
      <c r="N231" s="561"/>
      <c r="O231" s="47">
        <f t="shared" si="13"/>
        <v>0</v>
      </c>
      <c r="P231" s="338"/>
      <c r="Q231" s="8"/>
      <c r="R231" s="10"/>
      <c r="S231" s="63"/>
      <c r="T231" s="63"/>
      <c r="U231" s="63"/>
    </row>
    <row r="232" spans="1:21" x14ac:dyDescent="0.25">
      <c r="A232" s="3">
        <f t="shared" si="11"/>
        <v>120</v>
      </c>
      <c r="B232" s="4"/>
      <c r="C232" s="9"/>
      <c r="D232" s="359"/>
      <c r="E232" s="478"/>
      <c r="F232" s="359"/>
      <c r="G232" s="478"/>
      <c r="H232" s="359"/>
      <c r="I232" s="478"/>
      <c r="J232" s="359"/>
      <c r="K232" s="478"/>
      <c r="L232" s="359"/>
      <c r="M232" s="478"/>
      <c r="N232" s="561"/>
      <c r="O232" s="47">
        <f t="shared" si="13"/>
        <v>0</v>
      </c>
      <c r="P232" s="338"/>
      <c r="Q232" s="8"/>
      <c r="R232" s="10"/>
      <c r="S232" s="63"/>
      <c r="T232" s="63"/>
      <c r="U232" s="63"/>
    </row>
    <row r="233" spans="1:21" x14ac:dyDescent="0.25">
      <c r="A233" s="3">
        <f t="shared" si="11"/>
        <v>121</v>
      </c>
      <c r="B233" s="4"/>
      <c r="C233" s="8"/>
      <c r="D233" s="359"/>
      <c r="E233" s="478"/>
      <c r="F233" s="359"/>
      <c r="G233" s="478"/>
      <c r="H233" s="359"/>
      <c r="I233" s="478"/>
      <c r="J233" s="359"/>
      <c r="K233" s="478"/>
      <c r="L233" s="359"/>
      <c r="M233" s="478"/>
      <c r="N233" s="561"/>
      <c r="O233" s="47">
        <f t="shared" si="13"/>
        <v>0</v>
      </c>
      <c r="P233" s="338"/>
      <c r="Q233" s="8"/>
      <c r="R233" s="10"/>
      <c r="S233" s="63"/>
      <c r="T233" s="63"/>
      <c r="U233" s="63"/>
    </row>
    <row r="234" spans="1:21" x14ac:dyDescent="0.25">
      <c r="A234" s="3">
        <f t="shared" si="11"/>
        <v>122</v>
      </c>
      <c r="B234" s="4"/>
      <c r="C234" s="9"/>
      <c r="D234" s="359"/>
      <c r="E234" s="478"/>
      <c r="F234" s="359"/>
      <c r="G234" s="478"/>
      <c r="H234" s="359"/>
      <c r="I234" s="478"/>
      <c r="J234" s="359"/>
      <c r="K234" s="478"/>
      <c r="L234" s="359"/>
      <c r="M234" s="478"/>
      <c r="N234" s="561"/>
      <c r="O234" s="47">
        <f t="shared" si="13"/>
        <v>0</v>
      </c>
      <c r="P234" s="338"/>
      <c r="Q234" s="8"/>
      <c r="R234" s="10"/>
      <c r="S234" s="63"/>
      <c r="T234" s="63"/>
      <c r="U234" s="63"/>
    </row>
    <row r="235" spans="1:21" x14ac:dyDescent="0.25">
      <c r="A235" s="3">
        <f t="shared" si="11"/>
        <v>123</v>
      </c>
      <c r="B235" s="4"/>
      <c r="C235" s="9"/>
      <c r="D235" s="359"/>
      <c r="E235" s="478"/>
      <c r="F235" s="359"/>
      <c r="G235" s="478"/>
      <c r="H235" s="359"/>
      <c r="I235" s="478"/>
      <c r="J235" s="359"/>
      <c r="K235" s="478"/>
      <c r="L235" s="359"/>
      <c r="M235" s="478"/>
      <c r="N235" s="561"/>
      <c r="O235" s="47">
        <f t="shared" si="13"/>
        <v>0</v>
      </c>
      <c r="P235" s="338"/>
      <c r="Q235" s="8"/>
      <c r="R235" s="10"/>
      <c r="S235" s="63"/>
      <c r="T235" s="63"/>
      <c r="U235" s="63"/>
    </row>
    <row r="236" spans="1:21" x14ac:dyDescent="0.25">
      <c r="A236" s="3">
        <f t="shared" si="11"/>
        <v>124</v>
      </c>
      <c r="B236" s="4"/>
      <c r="C236" s="9"/>
      <c r="D236" s="359"/>
      <c r="E236" s="478"/>
      <c r="F236" s="359"/>
      <c r="G236" s="478"/>
      <c r="H236" s="359"/>
      <c r="I236" s="478"/>
      <c r="J236" s="359"/>
      <c r="K236" s="478"/>
      <c r="L236" s="359"/>
      <c r="M236" s="478"/>
      <c r="N236" s="561"/>
      <c r="O236" s="47">
        <f t="shared" si="13"/>
        <v>0</v>
      </c>
      <c r="P236" s="338"/>
      <c r="Q236" s="8"/>
      <c r="R236" s="10"/>
      <c r="S236" s="63"/>
      <c r="T236" s="63"/>
      <c r="U236" s="63"/>
    </row>
    <row r="237" spans="1:21" x14ac:dyDescent="0.25">
      <c r="A237" s="3">
        <f t="shared" si="11"/>
        <v>125</v>
      </c>
      <c r="B237" s="4"/>
      <c r="C237" s="9"/>
      <c r="D237" s="359"/>
      <c r="E237" s="478"/>
      <c r="F237" s="359"/>
      <c r="G237" s="478"/>
      <c r="H237" s="359"/>
      <c r="I237" s="478"/>
      <c r="J237" s="359"/>
      <c r="K237" s="478"/>
      <c r="L237" s="359"/>
      <c r="M237" s="478"/>
      <c r="N237" s="561"/>
      <c r="O237" s="47">
        <f t="shared" si="13"/>
        <v>0</v>
      </c>
      <c r="P237" s="338"/>
      <c r="Q237" s="8"/>
      <c r="R237" s="10"/>
      <c r="S237" s="63"/>
      <c r="T237" s="63"/>
      <c r="U237" s="63"/>
    </row>
    <row r="238" spans="1:21" x14ac:dyDescent="0.25">
      <c r="A238" s="3">
        <f t="shared" si="11"/>
        <v>126</v>
      </c>
      <c r="B238" s="4"/>
      <c r="C238" s="9"/>
      <c r="D238" s="359"/>
      <c r="E238" s="478"/>
      <c r="F238" s="359"/>
      <c r="G238" s="478"/>
      <c r="H238" s="359"/>
      <c r="I238" s="478"/>
      <c r="J238" s="359"/>
      <c r="K238" s="478"/>
      <c r="L238" s="359"/>
      <c r="M238" s="478"/>
      <c r="N238" s="561"/>
      <c r="O238" s="47">
        <f t="shared" si="13"/>
        <v>0</v>
      </c>
      <c r="P238" s="338"/>
      <c r="Q238" s="8"/>
      <c r="R238" s="10"/>
      <c r="S238" s="63"/>
      <c r="T238" s="63"/>
      <c r="U238" s="63"/>
    </row>
    <row r="239" spans="1:21" x14ac:dyDescent="0.25">
      <c r="A239" s="3">
        <f t="shared" si="11"/>
        <v>127</v>
      </c>
      <c r="B239" s="4"/>
      <c r="C239" s="9"/>
      <c r="D239" s="359"/>
      <c r="E239" s="478"/>
      <c r="F239" s="359"/>
      <c r="G239" s="478"/>
      <c r="H239" s="359"/>
      <c r="I239" s="478"/>
      <c r="J239" s="359"/>
      <c r="K239" s="478"/>
      <c r="L239" s="359"/>
      <c r="M239" s="478"/>
      <c r="N239" s="561"/>
      <c r="O239" s="47">
        <f t="shared" si="13"/>
        <v>0</v>
      </c>
      <c r="P239" s="338"/>
      <c r="Q239" s="8"/>
      <c r="R239" s="10"/>
      <c r="S239" s="63"/>
      <c r="T239" s="63"/>
      <c r="U239" s="63"/>
    </row>
    <row r="240" spans="1:21" x14ac:dyDescent="0.25">
      <c r="A240" s="3">
        <f t="shared" ref="A240:A249" si="14">A239+1</f>
        <v>128</v>
      </c>
      <c r="B240" s="4"/>
      <c r="C240" s="8"/>
      <c r="D240" s="359"/>
      <c r="E240" s="478"/>
      <c r="F240" s="359"/>
      <c r="G240" s="478"/>
      <c r="H240" s="359"/>
      <c r="I240" s="478"/>
      <c r="J240" s="359"/>
      <c r="K240" s="478"/>
      <c r="L240" s="359"/>
      <c r="M240" s="478"/>
      <c r="N240" s="561"/>
      <c r="O240" s="47">
        <f t="shared" si="13"/>
        <v>0</v>
      </c>
      <c r="P240" s="338"/>
      <c r="Q240" s="8"/>
      <c r="R240" s="10"/>
      <c r="S240" s="63"/>
      <c r="T240" s="63"/>
      <c r="U240" s="63"/>
    </row>
    <row r="241" spans="1:21" x14ac:dyDescent="0.25">
      <c r="A241" s="3">
        <f t="shared" si="14"/>
        <v>129</v>
      </c>
      <c r="B241" s="4"/>
      <c r="C241" s="9"/>
      <c r="D241" s="359"/>
      <c r="E241" s="478"/>
      <c r="F241" s="359"/>
      <c r="G241" s="478"/>
      <c r="H241" s="359"/>
      <c r="I241" s="478"/>
      <c r="J241" s="359"/>
      <c r="K241" s="478"/>
      <c r="L241" s="359"/>
      <c r="M241" s="478"/>
      <c r="N241" s="561"/>
      <c r="O241" s="47">
        <f t="shared" si="13"/>
        <v>0</v>
      </c>
      <c r="P241" s="338"/>
      <c r="Q241" s="8"/>
      <c r="R241" s="10"/>
      <c r="S241" s="63"/>
      <c r="T241" s="63"/>
      <c r="U241" s="63"/>
    </row>
    <row r="242" spans="1:21" x14ac:dyDescent="0.25">
      <c r="A242" s="3">
        <f t="shared" si="14"/>
        <v>130</v>
      </c>
      <c r="B242" s="4"/>
      <c r="C242" s="9"/>
      <c r="D242" s="359"/>
      <c r="E242" s="478"/>
      <c r="F242" s="359"/>
      <c r="G242" s="478"/>
      <c r="H242" s="359"/>
      <c r="I242" s="478"/>
      <c r="J242" s="359"/>
      <c r="K242" s="478"/>
      <c r="L242" s="359"/>
      <c r="M242" s="478"/>
      <c r="N242" s="561"/>
      <c r="O242" s="47">
        <f t="shared" si="13"/>
        <v>0</v>
      </c>
      <c r="P242" s="338"/>
      <c r="Q242" s="8"/>
      <c r="R242" s="10"/>
      <c r="S242" s="63"/>
      <c r="T242" s="63"/>
      <c r="U242" s="63"/>
    </row>
    <row r="243" spans="1:21" x14ac:dyDescent="0.25">
      <c r="A243" s="3">
        <f t="shared" si="14"/>
        <v>131</v>
      </c>
      <c r="B243" s="4"/>
      <c r="C243" s="9"/>
      <c r="D243" s="359"/>
      <c r="E243" s="478"/>
      <c r="F243" s="359"/>
      <c r="G243" s="478"/>
      <c r="H243" s="359"/>
      <c r="I243" s="478"/>
      <c r="J243" s="359"/>
      <c r="K243" s="478"/>
      <c r="L243" s="359"/>
      <c r="M243" s="478"/>
      <c r="N243" s="561"/>
      <c r="O243" s="47">
        <f t="shared" si="13"/>
        <v>0</v>
      </c>
      <c r="P243" s="338"/>
      <c r="Q243" s="8"/>
      <c r="R243" s="10"/>
      <c r="S243" s="63"/>
      <c r="T243" s="63"/>
      <c r="U243" s="63"/>
    </row>
    <row r="244" spans="1:21" x14ac:dyDescent="0.25">
      <c r="A244" s="3">
        <f t="shared" si="14"/>
        <v>132</v>
      </c>
      <c r="B244" s="4"/>
      <c r="C244" s="9"/>
      <c r="D244" s="359"/>
      <c r="E244" s="478"/>
      <c r="F244" s="359"/>
      <c r="G244" s="478"/>
      <c r="H244" s="359"/>
      <c r="I244" s="478"/>
      <c r="J244" s="359"/>
      <c r="K244" s="478"/>
      <c r="L244" s="359"/>
      <c r="M244" s="478"/>
      <c r="N244" s="561"/>
      <c r="O244" s="47">
        <f t="shared" si="13"/>
        <v>0</v>
      </c>
      <c r="P244" s="338"/>
      <c r="Q244" s="8"/>
      <c r="R244" s="10"/>
      <c r="S244" s="63"/>
      <c r="T244" s="63"/>
      <c r="U244" s="63"/>
    </row>
    <row r="245" spans="1:21" x14ac:dyDescent="0.25">
      <c r="A245" s="3">
        <f t="shared" si="14"/>
        <v>133</v>
      </c>
      <c r="B245" s="4"/>
      <c r="C245" s="9"/>
      <c r="D245" s="359"/>
      <c r="E245" s="478"/>
      <c r="F245" s="359"/>
      <c r="G245" s="478"/>
      <c r="H245" s="359"/>
      <c r="I245" s="478"/>
      <c r="J245" s="359"/>
      <c r="K245" s="478"/>
      <c r="L245" s="359"/>
      <c r="M245" s="478"/>
      <c r="N245" s="561"/>
      <c r="O245" s="47">
        <f t="shared" si="13"/>
        <v>0</v>
      </c>
      <c r="P245" s="338"/>
      <c r="Q245" s="8"/>
      <c r="R245" s="10"/>
      <c r="S245" s="63"/>
      <c r="T245" s="63"/>
      <c r="U245" s="63"/>
    </row>
    <row r="246" spans="1:21" x14ac:dyDescent="0.25">
      <c r="A246" s="3">
        <f t="shared" si="14"/>
        <v>134</v>
      </c>
      <c r="B246" s="4"/>
      <c r="C246" s="9"/>
      <c r="D246" s="359"/>
      <c r="E246" s="478"/>
      <c r="F246" s="359"/>
      <c r="G246" s="478"/>
      <c r="H246" s="359"/>
      <c r="I246" s="478"/>
      <c r="J246" s="359"/>
      <c r="K246" s="478"/>
      <c r="L246" s="359"/>
      <c r="M246" s="478"/>
      <c r="N246" s="561"/>
      <c r="O246" s="47">
        <f t="shared" si="13"/>
        <v>0</v>
      </c>
      <c r="P246" s="338"/>
      <c r="Q246" s="8"/>
      <c r="R246" s="10"/>
      <c r="S246" s="63"/>
      <c r="T246" s="63"/>
      <c r="U246" s="63"/>
    </row>
    <row r="247" spans="1:21" x14ac:dyDescent="0.25">
      <c r="A247" s="3">
        <f t="shared" si="14"/>
        <v>135</v>
      </c>
      <c r="B247" s="4"/>
      <c r="C247" s="9"/>
      <c r="D247" s="359"/>
      <c r="E247" s="478"/>
      <c r="F247" s="359"/>
      <c r="G247" s="478"/>
      <c r="H247" s="359"/>
      <c r="I247" s="478"/>
      <c r="J247" s="359"/>
      <c r="K247" s="478"/>
      <c r="L247" s="359"/>
      <c r="M247" s="478"/>
      <c r="N247" s="561"/>
      <c r="O247" s="47">
        <f>SUM(C247:N247)</f>
        <v>0</v>
      </c>
      <c r="P247" s="338"/>
      <c r="Q247" s="8"/>
      <c r="R247" s="10"/>
      <c r="S247" s="63"/>
      <c r="T247" s="63"/>
      <c r="U247" s="63"/>
    </row>
    <row r="248" spans="1:21" x14ac:dyDescent="0.25">
      <c r="A248" s="3">
        <f t="shared" si="14"/>
        <v>136</v>
      </c>
      <c r="B248" s="4"/>
      <c r="C248" s="9"/>
      <c r="D248" s="359"/>
      <c r="E248" s="478"/>
      <c r="F248" s="359"/>
      <c r="G248" s="478"/>
      <c r="H248" s="359"/>
      <c r="I248" s="478"/>
      <c r="J248" s="359"/>
      <c r="K248" s="478"/>
      <c r="L248" s="359"/>
      <c r="M248" s="478"/>
      <c r="N248" s="561"/>
      <c r="O248" s="47">
        <f>SUM(C248:N248)</f>
        <v>0</v>
      </c>
      <c r="P248" s="338"/>
      <c r="Q248" s="8"/>
      <c r="R248" s="10"/>
      <c r="S248" s="63"/>
      <c r="T248" s="63"/>
      <c r="U248" s="63"/>
    </row>
    <row r="249" spans="1:21" x14ac:dyDescent="0.25">
      <c r="A249" s="3">
        <f t="shared" si="14"/>
        <v>137</v>
      </c>
      <c r="B249" s="4"/>
      <c r="C249" s="8"/>
      <c r="D249" s="359"/>
      <c r="E249" s="478"/>
      <c r="F249" s="359"/>
      <c r="G249" s="478"/>
      <c r="H249" s="359"/>
      <c r="I249" s="478"/>
      <c r="J249" s="359"/>
      <c r="K249" s="478"/>
      <c r="L249" s="359"/>
      <c r="M249" s="478"/>
      <c r="N249" s="561"/>
      <c r="O249" s="47">
        <f>SUM(C249:N249)</f>
        <v>0</v>
      </c>
      <c r="P249" s="338"/>
      <c r="Q249" s="8"/>
      <c r="R249" s="10"/>
      <c r="S249" s="63"/>
      <c r="T249" s="63"/>
      <c r="U249" s="63"/>
    </row>
    <row r="250" spans="1:21" x14ac:dyDescent="0.25">
      <c r="A250" s="3"/>
      <c r="B250" s="4"/>
      <c r="C250" s="9"/>
      <c r="D250" s="359"/>
      <c r="E250" s="478"/>
      <c r="F250" s="359"/>
      <c r="G250" s="478"/>
      <c r="H250" s="359"/>
      <c r="I250" s="478"/>
      <c r="J250" s="359"/>
      <c r="K250" s="478"/>
      <c r="L250" s="359"/>
      <c r="M250" s="478"/>
      <c r="N250" s="561"/>
      <c r="O250" s="47"/>
      <c r="P250" s="338"/>
      <c r="Q250" s="8"/>
      <c r="S250" s="63"/>
      <c r="T250" s="63"/>
      <c r="U250" s="63"/>
    </row>
    <row r="251" spans="1:21" x14ac:dyDescent="0.25">
      <c r="A251" s="3"/>
      <c r="B251" s="4"/>
      <c r="C251" s="9"/>
      <c r="D251" s="359"/>
      <c r="E251" s="478"/>
      <c r="F251" s="359"/>
      <c r="G251" s="478"/>
      <c r="H251" s="359"/>
      <c r="I251" s="478"/>
      <c r="J251" s="359"/>
      <c r="K251" s="478"/>
      <c r="L251" s="359"/>
      <c r="M251" s="478"/>
      <c r="N251" s="561"/>
      <c r="O251" s="8"/>
      <c r="P251" s="338"/>
      <c r="Q251" s="8"/>
      <c r="S251" s="63"/>
      <c r="T251" s="63"/>
      <c r="U251" s="63"/>
    </row>
    <row r="252" spans="1:21" x14ac:dyDescent="0.25">
      <c r="A252" s="13">
        <v>1</v>
      </c>
      <c r="B252" s="4"/>
      <c r="C252" s="9"/>
      <c r="D252" s="369"/>
      <c r="E252" s="481"/>
      <c r="F252" s="369"/>
      <c r="G252" s="481"/>
      <c r="H252" s="369"/>
      <c r="I252" s="481"/>
      <c r="J252" s="369"/>
      <c r="K252" s="481"/>
      <c r="L252" s="369"/>
      <c r="M252" s="481"/>
      <c r="N252" s="565"/>
      <c r="O252" s="8">
        <f t="shared" ref="O252:O315" si="15">SUM(C252:N252)</f>
        <v>0</v>
      </c>
      <c r="P252" s="338"/>
      <c r="Q252" s="8"/>
      <c r="S252" s="63"/>
      <c r="T252" s="63"/>
      <c r="U252" s="63"/>
    </row>
    <row r="253" spans="1:21" x14ac:dyDescent="0.25">
      <c r="A253" s="13">
        <f t="shared" ref="A253:A316" si="16">A252+1</f>
        <v>2</v>
      </c>
      <c r="B253" s="4"/>
      <c r="C253" s="9"/>
      <c r="D253" s="359"/>
      <c r="E253" s="478"/>
      <c r="F253" s="359"/>
      <c r="G253" s="478"/>
      <c r="H253" s="359"/>
      <c r="I253" s="478"/>
      <c r="J253" s="359"/>
      <c r="K253" s="478"/>
      <c r="L253" s="359"/>
      <c r="M253" s="478"/>
      <c r="N253" s="561"/>
      <c r="O253" s="8">
        <f t="shared" si="15"/>
        <v>0</v>
      </c>
      <c r="P253" s="338"/>
      <c r="Q253" s="8"/>
      <c r="S253" s="63"/>
      <c r="T253" s="63"/>
      <c r="U253" s="63"/>
    </row>
    <row r="254" spans="1:21" x14ac:dyDescent="0.25">
      <c r="A254" s="13">
        <f t="shared" si="16"/>
        <v>3</v>
      </c>
      <c r="B254" s="4"/>
      <c r="C254" s="8"/>
      <c r="D254" s="369"/>
      <c r="E254" s="481"/>
      <c r="F254" s="369"/>
      <c r="G254" s="481"/>
      <c r="H254" s="369"/>
      <c r="I254" s="481"/>
      <c r="J254" s="369"/>
      <c r="K254" s="481"/>
      <c r="L254" s="369"/>
      <c r="M254" s="481"/>
      <c r="N254" s="565"/>
      <c r="O254" s="8">
        <f t="shared" si="15"/>
        <v>0</v>
      </c>
      <c r="P254" s="338"/>
      <c r="Q254" s="8"/>
      <c r="R254" s="10"/>
      <c r="S254" s="63"/>
      <c r="T254" s="63"/>
      <c r="U254" s="63"/>
    </row>
    <row r="255" spans="1:21" x14ac:dyDescent="0.25">
      <c r="A255" s="13">
        <f t="shared" si="16"/>
        <v>4</v>
      </c>
      <c r="B255" s="4"/>
      <c r="C255" s="8"/>
      <c r="D255" s="359"/>
      <c r="E255" s="478"/>
      <c r="F255" s="359"/>
      <c r="G255" s="478"/>
      <c r="H255" s="359"/>
      <c r="I255" s="478"/>
      <c r="J255" s="359"/>
      <c r="K255" s="478"/>
      <c r="L255" s="359"/>
      <c r="M255" s="478"/>
      <c r="N255" s="561"/>
      <c r="O255" s="8">
        <f t="shared" si="15"/>
        <v>0</v>
      </c>
      <c r="P255" s="338"/>
      <c r="Q255" s="8"/>
      <c r="R255" s="10"/>
      <c r="S255" s="63"/>
      <c r="T255" s="63"/>
      <c r="U255" s="63"/>
    </row>
    <row r="256" spans="1:21" x14ac:dyDescent="0.25">
      <c r="A256" s="13">
        <f t="shared" si="16"/>
        <v>5</v>
      </c>
      <c r="B256" s="4"/>
      <c r="C256" s="8"/>
      <c r="D256" s="359"/>
      <c r="E256" s="478"/>
      <c r="F256" s="359"/>
      <c r="G256" s="478"/>
      <c r="H256" s="359"/>
      <c r="I256" s="478"/>
      <c r="J256" s="359"/>
      <c r="K256" s="478"/>
      <c r="L256" s="359"/>
      <c r="M256" s="478"/>
      <c r="N256" s="561"/>
      <c r="O256" s="8">
        <f t="shared" si="15"/>
        <v>0</v>
      </c>
      <c r="P256" s="338"/>
      <c r="Q256" s="8"/>
      <c r="R256" s="10"/>
      <c r="S256" s="63"/>
      <c r="T256" s="63"/>
      <c r="U256" s="63"/>
    </row>
    <row r="257" spans="1:21" x14ac:dyDescent="0.25">
      <c r="A257" s="13">
        <f t="shared" si="16"/>
        <v>6</v>
      </c>
      <c r="B257" s="4"/>
      <c r="C257" s="8"/>
      <c r="D257" s="359"/>
      <c r="E257" s="478"/>
      <c r="F257" s="359"/>
      <c r="G257" s="478"/>
      <c r="H257" s="359"/>
      <c r="I257" s="478"/>
      <c r="J257" s="359"/>
      <c r="K257" s="478"/>
      <c r="L257" s="359"/>
      <c r="M257" s="478"/>
      <c r="N257" s="561"/>
      <c r="O257" s="8">
        <f t="shared" si="15"/>
        <v>0</v>
      </c>
      <c r="P257" s="338"/>
      <c r="Q257" s="8"/>
      <c r="R257" s="10"/>
      <c r="S257" s="63"/>
      <c r="T257" s="63"/>
      <c r="U257" s="63"/>
    </row>
    <row r="258" spans="1:21" x14ac:dyDescent="0.25">
      <c r="A258" s="13">
        <f t="shared" si="16"/>
        <v>7</v>
      </c>
      <c r="B258" s="4"/>
      <c r="C258" s="9"/>
      <c r="D258" s="369"/>
      <c r="E258" s="481"/>
      <c r="F258" s="369"/>
      <c r="G258" s="481"/>
      <c r="H258" s="369"/>
      <c r="I258" s="481"/>
      <c r="J258" s="369"/>
      <c r="K258" s="481"/>
      <c r="L258" s="369"/>
      <c r="M258" s="481"/>
      <c r="N258" s="565"/>
      <c r="O258" s="8">
        <f t="shared" si="15"/>
        <v>0</v>
      </c>
      <c r="P258" s="338"/>
      <c r="Q258" s="8"/>
      <c r="R258" s="10"/>
      <c r="S258" s="63"/>
      <c r="T258" s="63"/>
      <c r="U258" s="63"/>
    </row>
    <row r="259" spans="1:21" x14ac:dyDescent="0.25">
      <c r="A259" s="13">
        <f t="shared" si="16"/>
        <v>8</v>
      </c>
      <c r="B259" s="4"/>
      <c r="C259" s="9"/>
      <c r="D259" s="369"/>
      <c r="E259" s="481"/>
      <c r="F259" s="369"/>
      <c r="G259" s="481"/>
      <c r="H259" s="369"/>
      <c r="I259" s="481"/>
      <c r="J259" s="369"/>
      <c r="K259" s="481"/>
      <c r="L259" s="369"/>
      <c r="M259" s="481"/>
      <c r="N259" s="565"/>
      <c r="O259" s="8">
        <f t="shared" si="15"/>
        <v>0</v>
      </c>
      <c r="P259" s="338"/>
      <c r="Q259" s="8"/>
      <c r="R259" s="10"/>
      <c r="S259" s="63"/>
      <c r="T259" s="63"/>
      <c r="U259" s="63"/>
    </row>
    <row r="260" spans="1:21" x14ac:dyDescent="0.25">
      <c r="A260" s="13">
        <f t="shared" si="16"/>
        <v>9</v>
      </c>
      <c r="B260" s="4"/>
      <c r="C260" s="8"/>
      <c r="D260" s="369"/>
      <c r="E260" s="481"/>
      <c r="F260" s="369"/>
      <c r="G260" s="481"/>
      <c r="H260" s="369"/>
      <c r="I260" s="481"/>
      <c r="J260" s="369"/>
      <c r="K260" s="481"/>
      <c r="L260" s="369"/>
      <c r="M260" s="481"/>
      <c r="N260" s="565"/>
      <c r="O260" s="8">
        <f t="shared" si="15"/>
        <v>0</v>
      </c>
      <c r="P260" s="338"/>
      <c r="Q260" s="8"/>
      <c r="R260" s="10"/>
      <c r="S260" s="63"/>
      <c r="T260" s="63"/>
      <c r="U260" s="63"/>
    </row>
    <row r="261" spans="1:21" x14ac:dyDescent="0.25">
      <c r="A261" s="13">
        <f t="shared" si="16"/>
        <v>10</v>
      </c>
      <c r="B261" s="4"/>
      <c r="C261" s="8"/>
      <c r="D261" s="359"/>
      <c r="E261" s="478"/>
      <c r="F261" s="359"/>
      <c r="G261" s="478"/>
      <c r="H261" s="359"/>
      <c r="I261" s="478"/>
      <c r="J261" s="359"/>
      <c r="K261" s="478"/>
      <c r="L261" s="359"/>
      <c r="M261" s="478"/>
      <c r="N261" s="561"/>
      <c r="O261" s="8">
        <f t="shared" si="15"/>
        <v>0</v>
      </c>
      <c r="P261" s="338"/>
      <c r="Q261" s="8"/>
      <c r="R261" s="10"/>
      <c r="S261" s="63"/>
      <c r="T261" s="63"/>
      <c r="U261" s="63"/>
    </row>
    <row r="262" spans="1:21" x14ac:dyDescent="0.25">
      <c r="A262" s="13">
        <f t="shared" si="16"/>
        <v>11</v>
      </c>
      <c r="B262" s="4"/>
      <c r="C262" s="9"/>
      <c r="D262" s="369"/>
      <c r="E262" s="481"/>
      <c r="F262" s="369"/>
      <c r="G262" s="481"/>
      <c r="H262" s="369"/>
      <c r="I262" s="481"/>
      <c r="J262" s="369"/>
      <c r="K262" s="481"/>
      <c r="L262" s="369"/>
      <c r="M262" s="481"/>
      <c r="N262" s="565"/>
      <c r="O262" s="8">
        <f t="shared" si="15"/>
        <v>0</v>
      </c>
      <c r="P262" s="338"/>
      <c r="Q262" s="8"/>
      <c r="R262" s="10"/>
      <c r="S262" s="63"/>
      <c r="T262" s="63"/>
      <c r="U262" s="63"/>
    </row>
    <row r="263" spans="1:21" x14ac:dyDescent="0.25">
      <c r="A263" s="13">
        <f t="shared" si="16"/>
        <v>12</v>
      </c>
      <c r="B263" s="4"/>
      <c r="C263" s="9"/>
      <c r="D263" s="369"/>
      <c r="E263" s="481"/>
      <c r="F263" s="369"/>
      <c r="G263" s="481"/>
      <c r="H263" s="369"/>
      <c r="I263" s="481"/>
      <c r="J263" s="369"/>
      <c r="K263" s="481"/>
      <c r="L263" s="369"/>
      <c r="M263" s="481"/>
      <c r="N263" s="565"/>
      <c r="O263" s="8">
        <f t="shared" si="15"/>
        <v>0</v>
      </c>
      <c r="P263" s="338"/>
      <c r="Q263" s="8"/>
      <c r="R263" s="10"/>
      <c r="S263" s="64"/>
      <c r="T263" s="64"/>
      <c r="U263" s="64"/>
    </row>
    <row r="264" spans="1:21" x14ac:dyDescent="0.25">
      <c r="A264" s="13">
        <f t="shared" si="16"/>
        <v>13</v>
      </c>
      <c r="B264" s="4"/>
      <c r="C264" s="9"/>
      <c r="D264" s="369"/>
      <c r="E264" s="481"/>
      <c r="F264" s="369"/>
      <c r="G264" s="481"/>
      <c r="H264" s="369"/>
      <c r="I264" s="481"/>
      <c r="J264" s="369"/>
      <c r="K264" s="481"/>
      <c r="L264" s="369"/>
      <c r="M264" s="481"/>
      <c r="N264" s="565"/>
      <c r="O264" s="8">
        <f t="shared" si="15"/>
        <v>0</v>
      </c>
      <c r="P264" s="338"/>
      <c r="Q264" s="8"/>
      <c r="R264" s="10"/>
      <c r="S264" s="63"/>
      <c r="T264" s="63"/>
      <c r="U264" s="63"/>
    </row>
    <row r="265" spans="1:21" x14ac:dyDescent="0.25">
      <c r="A265" s="13">
        <f t="shared" si="16"/>
        <v>14</v>
      </c>
      <c r="B265" s="4"/>
      <c r="C265" s="9"/>
      <c r="D265" s="369"/>
      <c r="E265" s="481"/>
      <c r="F265" s="369"/>
      <c r="G265" s="481"/>
      <c r="H265" s="369"/>
      <c r="I265" s="481"/>
      <c r="J265" s="369"/>
      <c r="K265" s="481"/>
      <c r="L265" s="369"/>
      <c r="M265" s="481"/>
      <c r="N265" s="565"/>
      <c r="O265" s="8">
        <f t="shared" si="15"/>
        <v>0</v>
      </c>
      <c r="P265" s="338"/>
      <c r="Q265" s="8"/>
      <c r="R265" s="10"/>
      <c r="S265" s="63"/>
      <c r="T265" s="63"/>
      <c r="U265" s="63"/>
    </row>
    <row r="266" spans="1:21" x14ac:dyDescent="0.25">
      <c r="A266" s="13">
        <f t="shared" si="16"/>
        <v>15</v>
      </c>
      <c r="B266" s="4"/>
      <c r="C266" s="9"/>
      <c r="D266" s="359"/>
      <c r="E266" s="478"/>
      <c r="F266" s="359"/>
      <c r="G266" s="478"/>
      <c r="H266" s="359"/>
      <c r="I266" s="478"/>
      <c r="J266" s="359"/>
      <c r="K266" s="478"/>
      <c r="L266" s="359"/>
      <c r="M266" s="478"/>
      <c r="N266" s="561"/>
      <c r="O266" s="8">
        <f t="shared" si="15"/>
        <v>0</v>
      </c>
      <c r="P266" s="338"/>
      <c r="Q266" s="8"/>
      <c r="R266" s="10"/>
      <c r="S266" s="63"/>
      <c r="T266" s="63"/>
      <c r="U266" s="63"/>
    </row>
    <row r="267" spans="1:21" x14ac:dyDescent="0.25">
      <c r="A267" s="13">
        <f t="shared" si="16"/>
        <v>16</v>
      </c>
      <c r="B267" s="4"/>
      <c r="C267" s="8"/>
      <c r="D267" s="369"/>
      <c r="E267" s="481"/>
      <c r="F267" s="369"/>
      <c r="G267" s="481"/>
      <c r="H267" s="369"/>
      <c r="I267" s="481"/>
      <c r="J267" s="369"/>
      <c r="K267" s="481"/>
      <c r="L267" s="369"/>
      <c r="M267" s="481"/>
      <c r="N267" s="565"/>
      <c r="O267" s="8">
        <f t="shared" si="15"/>
        <v>0</v>
      </c>
      <c r="P267" s="338"/>
      <c r="Q267" s="8"/>
      <c r="R267" s="10"/>
      <c r="S267" s="63"/>
      <c r="T267" s="63"/>
      <c r="U267" s="63"/>
    </row>
    <row r="268" spans="1:21" x14ac:dyDescent="0.25">
      <c r="A268" s="13">
        <f t="shared" si="16"/>
        <v>17</v>
      </c>
      <c r="B268" s="4"/>
      <c r="C268" s="9"/>
      <c r="D268" s="359"/>
      <c r="E268" s="478"/>
      <c r="F268" s="359"/>
      <c r="G268" s="478"/>
      <c r="H268" s="359"/>
      <c r="I268" s="478"/>
      <c r="J268" s="359"/>
      <c r="K268" s="478"/>
      <c r="L268" s="359"/>
      <c r="M268" s="478"/>
      <c r="N268" s="561"/>
      <c r="O268" s="8">
        <f t="shared" si="15"/>
        <v>0</v>
      </c>
      <c r="P268" s="338"/>
      <c r="Q268" s="8"/>
      <c r="R268" s="10"/>
      <c r="S268" s="63"/>
      <c r="T268" s="63"/>
      <c r="U268" s="63"/>
    </row>
    <row r="269" spans="1:21" x14ac:dyDescent="0.25">
      <c r="A269" s="13">
        <f t="shared" si="16"/>
        <v>18</v>
      </c>
      <c r="B269" s="4"/>
      <c r="C269" s="9"/>
      <c r="D269" s="369"/>
      <c r="E269" s="481"/>
      <c r="F269" s="369"/>
      <c r="G269" s="481"/>
      <c r="H269" s="369"/>
      <c r="I269" s="481"/>
      <c r="J269" s="369"/>
      <c r="K269" s="481"/>
      <c r="L269" s="369"/>
      <c r="M269" s="481"/>
      <c r="N269" s="565"/>
      <c r="O269" s="8">
        <f t="shared" si="15"/>
        <v>0</v>
      </c>
      <c r="P269" s="338"/>
      <c r="Q269" s="8"/>
      <c r="R269" s="10"/>
      <c r="S269" s="63"/>
      <c r="T269" s="63"/>
      <c r="U269" s="63"/>
    </row>
    <row r="270" spans="1:21" x14ac:dyDescent="0.25">
      <c r="A270" s="13">
        <f t="shared" si="16"/>
        <v>19</v>
      </c>
      <c r="B270" s="4"/>
      <c r="C270" s="9"/>
      <c r="D270" s="369"/>
      <c r="E270" s="481"/>
      <c r="F270" s="369"/>
      <c r="G270" s="481"/>
      <c r="H270" s="369"/>
      <c r="I270" s="481"/>
      <c r="J270" s="369"/>
      <c r="K270" s="481"/>
      <c r="L270" s="369"/>
      <c r="M270" s="481"/>
      <c r="N270" s="565"/>
      <c r="O270" s="8">
        <f t="shared" si="15"/>
        <v>0</v>
      </c>
      <c r="P270" s="338"/>
      <c r="Q270" s="8"/>
      <c r="R270" s="10"/>
      <c r="S270" s="63"/>
      <c r="T270" s="63"/>
      <c r="U270" s="63"/>
    </row>
    <row r="271" spans="1:21" x14ac:dyDescent="0.25">
      <c r="A271" s="13">
        <f t="shared" si="16"/>
        <v>20</v>
      </c>
      <c r="B271" s="4"/>
      <c r="C271" s="9"/>
      <c r="D271" s="369"/>
      <c r="E271" s="481"/>
      <c r="F271" s="369"/>
      <c r="G271" s="481"/>
      <c r="H271" s="369"/>
      <c r="I271" s="481"/>
      <c r="J271" s="369"/>
      <c r="K271" s="481"/>
      <c r="L271" s="369"/>
      <c r="M271" s="481"/>
      <c r="N271" s="565"/>
      <c r="O271" s="8">
        <f t="shared" si="15"/>
        <v>0</v>
      </c>
      <c r="P271" s="338"/>
      <c r="Q271" s="8"/>
      <c r="R271" s="10"/>
      <c r="S271" s="63"/>
      <c r="T271" s="63"/>
      <c r="U271" s="63"/>
    </row>
    <row r="272" spans="1:21" x14ac:dyDescent="0.25">
      <c r="A272" s="13">
        <f t="shared" si="16"/>
        <v>21</v>
      </c>
      <c r="B272" s="4"/>
      <c r="C272" s="9"/>
      <c r="D272" s="369"/>
      <c r="E272" s="481"/>
      <c r="F272" s="369"/>
      <c r="G272" s="481"/>
      <c r="H272" s="369"/>
      <c r="I272" s="481"/>
      <c r="J272" s="369"/>
      <c r="K272" s="481"/>
      <c r="L272" s="369"/>
      <c r="M272" s="481"/>
      <c r="N272" s="565"/>
      <c r="O272" s="8">
        <f t="shared" si="15"/>
        <v>0</v>
      </c>
      <c r="P272" s="338"/>
      <c r="Q272" s="8"/>
      <c r="R272" s="10"/>
      <c r="S272" s="63"/>
      <c r="T272" s="63"/>
      <c r="U272" s="63"/>
    </row>
    <row r="273" spans="1:21" x14ac:dyDescent="0.25">
      <c r="A273" s="13">
        <f t="shared" si="16"/>
        <v>22</v>
      </c>
      <c r="B273" s="4"/>
      <c r="C273" s="9"/>
      <c r="D273" s="369"/>
      <c r="E273" s="481"/>
      <c r="F273" s="369"/>
      <c r="G273" s="481"/>
      <c r="H273" s="369"/>
      <c r="I273" s="481"/>
      <c r="J273" s="369"/>
      <c r="K273" s="481"/>
      <c r="L273" s="369"/>
      <c r="M273" s="481"/>
      <c r="N273" s="565"/>
      <c r="O273" s="8">
        <f t="shared" si="15"/>
        <v>0</v>
      </c>
      <c r="P273" s="338"/>
      <c r="Q273" s="8"/>
      <c r="R273" s="10"/>
      <c r="S273" s="63"/>
      <c r="T273" s="63"/>
      <c r="U273" s="63"/>
    </row>
    <row r="274" spans="1:21" x14ac:dyDescent="0.25">
      <c r="A274" s="13">
        <f t="shared" si="16"/>
        <v>23</v>
      </c>
      <c r="B274" s="4"/>
      <c r="C274" s="9"/>
      <c r="D274" s="359"/>
      <c r="E274" s="478"/>
      <c r="F274" s="359"/>
      <c r="G274" s="478"/>
      <c r="H274" s="359"/>
      <c r="I274" s="478"/>
      <c r="J274" s="359"/>
      <c r="K274" s="478"/>
      <c r="L274" s="359"/>
      <c r="M274" s="478"/>
      <c r="N274" s="561"/>
      <c r="O274" s="8">
        <f t="shared" si="15"/>
        <v>0</v>
      </c>
      <c r="P274" s="338"/>
      <c r="Q274" s="8"/>
      <c r="R274" s="10"/>
      <c r="S274" s="63"/>
      <c r="T274" s="63"/>
      <c r="U274" s="63"/>
    </row>
    <row r="275" spans="1:21" x14ac:dyDescent="0.25">
      <c r="A275" s="13">
        <f t="shared" si="16"/>
        <v>24</v>
      </c>
      <c r="B275" s="4"/>
      <c r="C275" s="9"/>
      <c r="D275" s="369"/>
      <c r="E275" s="481"/>
      <c r="F275" s="369"/>
      <c r="G275" s="481"/>
      <c r="H275" s="369"/>
      <c r="I275" s="481"/>
      <c r="J275" s="369"/>
      <c r="K275" s="481"/>
      <c r="L275" s="369"/>
      <c r="M275" s="481"/>
      <c r="N275" s="565"/>
      <c r="O275" s="8">
        <f t="shared" si="15"/>
        <v>0</v>
      </c>
      <c r="P275" s="338"/>
      <c r="Q275" s="8"/>
      <c r="R275" s="10"/>
      <c r="S275" s="63"/>
      <c r="T275" s="63"/>
      <c r="U275" s="63"/>
    </row>
    <row r="276" spans="1:21" x14ac:dyDescent="0.25">
      <c r="A276" s="13">
        <f t="shared" si="16"/>
        <v>25</v>
      </c>
      <c r="B276" s="4"/>
      <c r="C276" s="9"/>
      <c r="D276" s="369"/>
      <c r="E276" s="481"/>
      <c r="F276" s="369"/>
      <c r="G276" s="481"/>
      <c r="H276" s="369"/>
      <c r="I276" s="481"/>
      <c r="J276" s="369"/>
      <c r="K276" s="481"/>
      <c r="L276" s="369"/>
      <c r="M276" s="481"/>
      <c r="N276" s="565"/>
      <c r="O276" s="8">
        <f t="shared" si="15"/>
        <v>0</v>
      </c>
      <c r="P276" s="338"/>
      <c r="Q276" s="8"/>
      <c r="R276" s="10"/>
      <c r="S276" s="63"/>
      <c r="T276" s="63"/>
      <c r="U276" s="63"/>
    </row>
    <row r="277" spans="1:21" x14ac:dyDescent="0.25">
      <c r="A277" s="13">
        <f t="shared" si="16"/>
        <v>26</v>
      </c>
      <c r="B277" s="4"/>
      <c r="C277" s="9"/>
      <c r="D277" s="369"/>
      <c r="E277" s="481"/>
      <c r="F277" s="369"/>
      <c r="G277" s="481"/>
      <c r="H277" s="369"/>
      <c r="I277" s="481"/>
      <c r="J277" s="369"/>
      <c r="K277" s="481"/>
      <c r="L277" s="369"/>
      <c r="M277" s="481"/>
      <c r="N277" s="565"/>
      <c r="O277" s="8">
        <f t="shared" si="15"/>
        <v>0</v>
      </c>
      <c r="P277" s="338"/>
      <c r="Q277" s="8"/>
      <c r="R277" s="10"/>
      <c r="S277" s="63"/>
      <c r="T277" s="63"/>
      <c r="U277" s="63"/>
    </row>
    <row r="278" spans="1:21" x14ac:dyDescent="0.25">
      <c r="A278" s="13">
        <f t="shared" si="16"/>
        <v>27</v>
      </c>
      <c r="B278" s="4"/>
      <c r="C278" s="8"/>
      <c r="D278" s="369"/>
      <c r="E278" s="481"/>
      <c r="F278" s="369"/>
      <c r="G278" s="481"/>
      <c r="H278" s="369"/>
      <c r="I278" s="481"/>
      <c r="J278" s="369"/>
      <c r="K278" s="481"/>
      <c r="L278" s="369"/>
      <c r="M278" s="481"/>
      <c r="N278" s="565"/>
      <c r="O278" s="8">
        <f t="shared" si="15"/>
        <v>0</v>
      </c>
      <c r="P278" s="338"/>
      <c r="Q278" s="8"/>
      <c r="R278" s="10"/>
      <c r="S278" s="63"/>
      <c r="T278" s="63"/>
      <c r="U278" s="63"/>
    </row>
    <row r="279" spans="1:21" x14ac:dyDescent="0.25">
      <c r="A279" s="13">
        <f t="shared" si="16"/>
        <v>28</v>
      </c>
      <c r="B279" s="4"/>
      <c r="C279" s="8"/>
      <c r="D279" s="359"/>
      <c r="E279" s="478"/>
      <c r="F279" s="359"/>
      <c r="G279" s="478"/>
      <c r="H279" s="359"/>
      <c r="I279" s="478"/>
      <c r="J279" s="359"/>
      <c r="K279" s="478"/>
      <c r="L279" s="359"/>
      <c r="M279" s="478"/>
      <c r="N279" s="561"/>
      <c r="O279" s="8">
        <f t="shared" si="15"/>
        <v>0</v>
      </c>
      <c r="P279" s="338"/>
      <c r="Q279" s="8"/>
      <c r="R279" s="10"/>
      <c r="S279" s="63"/>
      <c r="T279" s="63"/>
      <c r="U279" s="63"/>
    </row>
    <row r="280" spans="1:21" x14ac:dyDescent="0.25">
      <c r="A280" s="13">
        <f t="shared" si="16"/>
        <v>29</v>
      </c>
      <c r="B280" s="4"/>
      <c r="C280" s="8"/>
      <c r="D280" s="369"/>
      <c r="E280" s="481"/>
      <c r="F280" s="369"/>
      <c r="G280" s="481"/>
      <c r="H280" s="369"/>
      <c r="I280" s="481"/>
      <c r="J280" s="369"/>
      <c r="K280" s="481"/>
      <c r="L280" s="369"/>
      <c r="M280" s="481"/>
      <c r="N280" s="565"/>
      <c r="O280" s="8">
        <f t="shared" si="15"/>
        <v>0</v>
      </c>
      <c r="P280" s="338"/>
      <c r="Q280" s="8"/>
      <c r="R280" s="10"/>
      <c r="S280" s="63"/>
      <c r="T280" s="63"/>
      <c r="U280" s="63"/>
    </row>
    <row r="281" spans="1:21" x14ac:dyDescent="0.25">
      <c r="A281" s="13">
        <f t="shared" si="16"/>
        <v>30</v>
      </c>
      <c r="B281" s="4"/>
      <c r="C281" s="9"/>
      <c r="D281" s="369"/>
      <c r="E281" s="481"/>
      <c r="F281" s="369"/>
      <c r="G281" s="481"/>
      <c r="H281" s="369"/>
      <c r="I281" s="481"/>
      <c r="J281" s="369"/>
      <c r="K281" s="481"/>
      <c r="L281" s="369"/>
      <c r="M281" s="481"/>
      <c r="N281" s="565"/>
      <c r="O281" s="8">
        <f t="shared" si="15"/>
        <v>0</v>
      </c>
      <c r="P281" s="338"/>
      <c r="Q281" s="8"/>
      <c r="R281" s="10"/>
      <c r="S281" s="63"/>
      <c r="T281" s="63"/>
      <c r="U281" s="63"/>
    </row>
    <row r="282" spans="1:21" x14ac:dyDescent="0.25">
      <c r="A282" s="13">
        <f t="shared" si="16"/>
        <v>31</v>
      </c>
      <c r="B282" s="4"/>
      <c r="C282" s="9"/>
      <c r="D282" s="359"/>
      <c r="E282" s="478"/>
      <c r="F282" s="359"/>
      <c r="G282" s="478"/>
      <c r="H282" s="359"/>
      <c r="I282" s="478"/>
      <c r="J282" s="359"/>
      <c r="K282" s="478"/>
      <c r="L282" s="359"/>
      <c r="M282" s="478"/>
      <c r="N282" s="561"/>
      <c r="O282" s="8">
        <f t="shared" si="15"/>
        <v>0</v>
      </c>
      <c r="P282" s="338"/>
      <c r="Q282" s="8"/>
      <c r="R282" s="10"/>
      <c r="S282" s="63"/>
      <c r="T282" s="63"/>
      <c r="U282" s="63"/>
    </row>
    <row r="283" spans="1:21" x14ac:dyDescent="0.25">
      <c r="A283" s="13">
        <f t="shared" si="16"/>
        <v>32</v>
      </c>
      <c r="B283" s="4"/>
      <c r="C283" s="8"/>
      <c r="D283" s="369"/>
      <c r="E283" s="481"/>
      <c r="F283" s="369"/>
      <c r="G283" s="481"/>
      <c r="H283" s="369"/>
      <c r="I283" s="481"/>
      <c r="J283" s="369"/>
      <c r="K283" s="481"/>
      <c r="L283" s="369"/>
      <c r="M283" s="481"/>
      <c r="N283" s="565"/>
      <c r="O283" s="8">
        <f t="shared" si="15"/>
        <v>0</v>
      </c>
      <c r="P283" s="338"/>
      <c r="Q283" s="8"/>
      <c r="R283" s="10"/>
      <c r="S283" s="63"/>
      <c r="T283" s="63"/>
      <c r="U283" s="63"/>
    </row>
    <row r="284" spans="1:21" x14ac:dyDescent="0.25">
      <c r="A284" s="13">
        <f t="shared" si="16"/>
        <v>33</v>
      </c>
      <c r="B284" s="4"/>
      <c r="C284" s="9"/>
      <c r="D284" s="369"/>
      <c r="E284" s="481"/>
      <c r="F284" s="369"/>
      <c r="G284" s="481"/>
      <c r="H284" s="369"/>
      <c r="I284" s="481"/>
      <c r="J284" s="369"/>
      <c r="K284" s="481"/>
      <c r="L284" s="369"/>
      <c r="M284" s="481"/>
      <c r="N284" s="565"/>
      <c r="O284" s="8">
        <f t="shared" si="15"/>
        <v>0</v>
      </c>
      <c r="P284" s="338"/>
      <c r="Q284" s="8"/>
      <c r="R284" s="10"/>
      <c r="S284" s="63"/>
      <c r="T284" s="63"/>
      <c r="U284" s="63"/>
    </row>
    <row r="285" spans="1:21" x14ac:dyDescent="0.25">
      <c r="A285" s="13">
        <f t="shared" si="16"/>
        <v>34</v>
      </c>
      <c r="B285" s="4"/>
      <c r="C285" s="9"/>
      <c r="D285" s="359"/>
      <c r="E285" s="478"/>
      <c r="F285" s="359"/>
      <c r="G285" s="478"/>
      <c r="H285" s="359"/>
      <c r="I285" s="478"/>
      <c r="J285" s="359"/>
      <c r="K285" s="478"/>
      <c r="L285" s="359"/>
      <c r="M285" s="478"/>
      <c r="N285" s="561"/>
      <c r="O285" s="8">
        <f t="shared" si="15"/>
        <v>0</v>
      </c>
      <c r="P285" s="338"/>
      <c r="Q285" s="8"/>
      <c r="R285" s="10"/>
      <c r="S285" s="63"/>
      <c r="T285" s="63"/>
      <c r="U285" s="63"/>
    </row>
    <row r="286" spans="1:21" x14ac:dyDescent="0.25">
      <c r="A286" s="13">
        <f t="shared" si="16"/>
        <v>35</v>
      </c>
      <c r="B286" s="4"/>
      <c r="C286" s="9"/>
      <c r="D286" s="369"/>
      <c r="E286" s="481"/>
      <c r="F286" s="369"/>
      <c r="G286" s="481"/>
      <c r="H286" s="369"/>
      <c r="I286" s="481"/>
      <c r="J286" s="369"/>
      <c r="K286" s="481"/>
      <c r="L286" s="369"/>
      <c r="M286" s="481"/>
      <c r="N286" s="565"/>
      <c r="O286" s="8">
        <f t="shared" si="15"/>
        <v>0</v>
      </c>
      <c r="P286" s="338"/>
      <c r="Q286" s="8"/>
      <c r="R286" s="10"/>
      <c r="S286" s="63"/>
      <c r="T286" s="63"/>
      <c r="U286" s="63"/>
    </row>
    <row r="287" spans="1:21" x14ac:dyDescent="0.25">
      <c r="A287" s="13">
        <f t="shared" si="16"/>
        <v>36</v>
      </c>
      <c r="B287" s="4"/>
      <c r="C287" s="9"/>
      <c r="D287" s="369"/>
      <c r="E287" s="481"/>
      <c r="F287" s="369"/>
      <c r="G287" s="481"/>
      <c r="H287" s="369"/>
      <c r="I287" s="481"/>
      <c r="J287" s="369"/>
      <c r="K287" s="481"/>
      <c r="L287" s="369"/>
      <c r="M287" s="481"/>
      <c r="N287" s="565"/>
      <c r="O287" s="8">
        <f t="shared" si="15"/>
        <v>0</v>
      </c>
      <c r="P287" s="338"/>
      <c r="Q287" s="8"/>
      <c r="R287" s="10"/>
      <c r="S287" s="63"/>
      <c r="T287" s="63"/>
      <c r="U287" s="63"/>
    </row>
    <row r="288" spans="1:21" x14ac:dyDescent="0.25">
      <c r="A288" s="13">
        <f t="shared" si="16"/>
        <v>37</v>
      </c>
      <c r="B288" s="4"/>
      <c r="C288" s="9"/>
      <c r="D288" s="369"/>
      <c r="E288" s="481"/>
      <c r="F288" s="369"/>
      <c r="G288" s="481"/>
      <c r="H288" s="369"/>
      <c r="I288" s="481"/>
      <c r="J288" s="369"/>
      <c r="K288" s="481"/>
      <c r="L288" s="369"/>
      <c r="M288" s="481"/>
      <c r="N288" s="565"/>
      <c r="O288" s="8">
        <f t="shared" si="15"/>
        <v>0</v>
      </c>
      <c r="P288" s="338"/>
      <c r="Q288" s="8"/>
      <c r="R288" s="10"/>
      <c r="S288" s="63"/>
      <c r="T288" s="63"/>
      <c r="U288" s="63"/>
    </row>
    <row r="289" spans="1:21" x14ac:dyDescent="0.25">
      <c r="A289" s="13">
        <f t="shared" si="16"/>
        <v>38</v>
      </c>
      <c r="B289" s="4"/>
      <c r="C289" s="8"/>
      <c r="D289" s="369"/>
      <c r="E289" s="481"/>
      <c r="F289" s="369"/>
      <c r="G289" s="481"/>
      <c r="H289" s="369"/>
      <c r="I289" s="481"/>
      <c r="J289" s="369"/>
      <c r="K289" s="481"/>
      <c r="L289" s="369"/>
      <c r="M289" s="481"/>
      <c r="N289" s="565"/>
      <c r="O289" s="8">
        <f t="shared" si="15"/>
        <v>0</v>
      </c>
      <c r="P289" s="338"/>
      <c r="Q289" s="8"/>
      <c r="R289" s="10"/>
      <c r="S289" s="63"/>
      <c r="T289" s="63"/>
      <c r="U289" s="63"/>
    </row>
    <row r="290" spans="1:21" x14ac:dyDescent="0.25">
      <c r="A290" s="13">
        <f t="shared" si="16"/>
        <v>39</v>
      </c>
      <c r="B290" s="4"/>
      <c r="C290" s="9"/>
      <c r="D290" s="359"/>
      <c r="E290" s="478"/>
      <c r="F290" s="359"/>
      <c r="G290" s="478"/>
      <c r="H290" s="359"/>
      <c r="I290" s="478"/>
      <c r="J290" s="359"/>
      <c r="K290" s="478"/>
      <c r="L290" s="359"/>
      <c r="M290" s="478"/>
      <c r="N290" s="561"/>
      <c r="O290" s="8">
        <f t="shared" si="15"/>
        <v>0</v>
      </c>
      <c r="P290" s="338"/>
      <c r="Q290" s="8"/>
      <c r="R290" s="10"/>
      <c r="S290" s="63"/>
      <c r="T290" s="63"/>
      <c r="U290" s="63"/>
    </row>
    <row r="291" spans="1:21" x14ac:dyDescent="0.25">
      <c r="A291" s="13">
        <f t="shared" si="16"/>
        <v>40</v>
      </c>
      <c r="B291" s="4"/>
      <c r="C291" s="9"/>
      <c r="D291" s="369"/>
      <c r="E291" s="481"/>
      <c r="F291" s="369"/>
      <c r="G291" s="481"/>
      <c r="H291" s="369"/>
      <c r="I291" s="481"/>
      <c r="J291" s="369"/>
      <c r="K291" s="481"/>
      <c r="L291" s="369"/>
      <c r="M291" s="481"/>
      <c r="N291" s="565"/>
      <c r="O291" s="8">
        <f t="shared" si="15"/>
        <v>0</v>
      </c>
      <c r="P291" s="338"/>
      <c r="Q291" s="8"/>
      <c r="R291" s="10"/>
      <c r="S291" s="63"/>
      <c r="T291" s="63"/>
      <c r="U291" s="63"/>
    </row>
    <row r="292" spans="1:21" x14ac:dyDescent="0.25">
      <c r="A292" s="13">
        <f t="shared" si="16"/>
        <v>41</v>
      </c>
      <c r="B292" s="4"/>
      <c r="C292" s="9"/>
      <c r="D292" s="369"/>
      <c r="E292" s="481"/>
      <c r="F292" s="369"/>
      <c r="G292" s="481"/>
      <c r="H292" s="369"/>
      <c r="I292" s="481"/>
      <c r="J292" s="369"/>
      <c r="K292" s="481"/>
      <c r="L292" s="369"/>
      <c r="M292" s="481"/>
      <c r="N292" s="565"/>
      <c r="O292" s="8">
        <f t="shared" si="15"/>
        <v>0</v>
      </c>
      <c r="P292" s="338"/>
      <c r="Q292" s="8"/>
      <c r="R292" s="10"/>
      <c r="S292" s="63"/>
      <c r="T292" s="63"/>
      <c r="U292" s="63"/>
    </row>
    <row r="293" spans="1:21" x14ac:dyDescent="0.25">
      <c r="A293" s="13">
        <f t="shared" si="16"/>
        <v>42</v>
      </c>
      <c r="B293" s="4"/>
      <c r="C293" s="9"/>
      <c r="D293" s="369"/>
      <c r="E293" s="481"/>
      <c r="F293" s="369"/>
      <c r="G293" s="481"/>
      <c r="H293" s="369"/>
      <c r="I293" s="481"/>
      <c r="J293" s="369"/>
      <c r="K293" s="481"/>
      <c r="L293" s="369"/>
      <c r="M293" s="481"/>
      <c r="N293" s="565"/>
      <c r="O293" s="8">
        <f t="shared" si="15"/>
        <v>0</v>
      </c>
      <c r="P293" s="338"/>
      <c r="Q293" s="8"/>
      <c r="R293" s="10"/>
      <c r="S293" s="63"/>
      <c r="T293" s="63"/>
      <c r="U293" s="63"/>
    </row>
    <row r="294" spans="1:21" x14ac:dyDescent="0.25">
      <c r="A294" s="13">
        <f t="shared" si="16"/>
        <v>43</v>
      </c>
      <c r="B294" s="4"/>
      <c r="C294" s="9"/>
      <c r="D294" s="369"/>
      <c r="E294" s="481"/>
      <c r="F294" s="369"/>
      <c r="G294" s="481"/>
      <c r="H294" s="369"/>
      <c r="I294" s="481"/>
      <c r="J294" s="369"/>
      <c r="K294" s="481"/>
      <c r="L294" s="369"/>
      <c r="M294" s="481"/>
      <c r="N294" s="565"/>
      <c r="O294" s="8">
        <f t="shared" si="15"/>
        <v>0</v>
      </c>
      <c r="P294" s="338"/>
      <c r="Q294" s="8"/>
      <c r="R294" s="10"/>
      <c r="S294" s="63"/>
      <c r="T294" s="63"/>
      <c r="U294" s="63"/>
    </row>
    <row r="295" spans="1:21" x14ac:dyDescent="0.25">
      <c r="A295" s="13">
        <f t="shared" si="16"/>
        <v>44</v>
      </c>
      <c r="B295" s="4"/>
      <c r="C295" s="9"/>
      <c r="D295" s="359"/>
      <c r="E295" s="478"/>
      <c r="F295" s="359"/>
      <c r="G295" s="478"/>
      <c r="H295" s="359"/>
      <c r="I295" s="478"/>
      <c r="J295" s="359"/>
      <c r="K295" s="478"/>
      <c r="L295" s="359"/>
      <c r="M295" s="478"/>
      <c r="N295" s="561"/>
      <c r="O295" s="8">
        <f t="shared" si="15"/>
        <v>0</v>
      </c>
      <c r="P295" s="338"/>
      <c r="Q295" s="8"/>
      <c r="R295" s="10"/>
      <c r="S295" s="63"/>
      <c r="T295" s="63"/>
      <c r="U295" s="63"/>
    </row>
    <row r="296" spans="1:21" x14ac:dyDescent="0.25">
      <c r="A296" s="13">
        <f t="shared" si="16"/>
        <v>45</v>
      </c>
      <c r="B296" s="4"/>
      <c r="C296" s="9"/>
      <c r="D296" s="369"/>
      <c r="E296" s="481"/>
      <c r="F296" s="369"/>
      <c r="G296" s="481"/>
      <c r="H296" s="369"/>
      <c r="I296" s="481"/>
      <c r="J296" s="369"/>
      <c r="K296" s="481"/>
      <c r="L296" s="369"/>
      <c r="M296" s="481"/>
      <c r="N296" s="565"/>
      <c r="O296" s="8">
        <f t="shared" si="15"/>
        <v>0</v>
      </c>
      <c r="P296" s="338"/>
      <c r="Q296" s="8"/>
      <c r="R296" s="10"/>
      <c r="S296" s="63"/>
      <c r="T296" s="63"/>
      <c r="U296" s="63"/>
    </row>
    <row r="297" spans="1:21" x14ac:dyDescent="0.25">
      <c r="A297" s="13">
        <f t="shared" si="16"/>
        <v>46</v>
      </c>
      <c r="B297" s="4"/>
      <c r="C297" s="9"/>
      <c r="D297" s="369"/>
      <c r="E297" s="481"/>
      <c r="F297" s="369"/>
      <c r="G297" s="481"/>
      <c r="H297" s="369"/>
      <c r="I297" s="481"/>
      <c r="J297" s="369"/>
      <c r="K297" s="481"/>
      <c r="L297" s="369"/>
      <c r="M297" s="481"/>
      <c r="N297" s="565"/>
      <c r="O297" s="8">
        <f t="shared" si="15"/>
        <v>0</v>
      </c>
      <c r="P297" s="338"/>
      <c r="Q297" s="8"/>
      <c r="R297" s="10"/>
      <c r="S297" s="63"/>
      <c r="T297" s="63"/>
      <c r="U297" s="63"/>
    </row>
    <row r="298" spans="1:21" x14ac:dyDescent="0.25">
      <c r="A298" s="13">
        <f t="shared" si="16"/>
        <v>47</v>
      </c>
      <c r="B298" s="4"/>
      <c r="C298" s="9"/>
      <c r="D298" s="359"/>
      <c r="E298" s="478"/>
      <c r="F298" s="359"/>
      <c r="G298" s="478"/>
      <c r="H298" s="359"/>
      <c r="I298" s="478"/>
      <c r="J298" s="359"/>
      <c r="K298" s="478"/>
      <c r="L298" s="359"/>
      <c r="M298" s="478"/>
      <c r="N298" s="561"/>
      <c r="O298" s="8">
        <f t="shared" si="15"/>
        <v>0</v>
      </c>
      <c r="P298" s="338"/>
      <c r="Q298" s="8"/>
      <c r="R298" s="10"/>
      <c r="S298" s="63"/>
      <c r="T298" s="63"/>
      <c r="U298" s="63"/>
    </row>
    <row r="299" spans="1:21" x14ac:dyDescent="0.25">
      <c r="A299" s="13">
        <f t="shared" si="16"/>
        <v>48</v>
      </c>
      <c r="B299" s="4"/>
      <c r="C299" s="8"/>
      <c r="D299" s="369"/>
      <c r="E299" s="481"/>
      <c r="F299" s="369"/>
      <c r="G299" s="481"/>
      <c r="H299" s="369"/>
      <c r="I299" s="481"/>
      <c r="J299" s="369"/>
      <c r="K299" s="481"/>
      <c r="L299" s="369"/>
      <c r="M299" s="481"/>
      <c r="N299" s="565"/>
      <c r="O299" s="8">
        <f t="shared" si="15"/>
        <v>0</v>
      </c>
      <c r="P299" s="338"/>
      <c r="Q299" s="8"/>
      <c r="R299" s="10"/>
      <c r="S299" s="63"/>
      <c r="T299" s="63"/>
      <c r="U299" s="63"/>
    </row>
    <row r="300" spans="1:21" x14ac:dyDescent="0.25">
      <c r="A300" s="13">
        <f t="shared" si="16"/>
        <v>49</v>
      </c>
      <c r="B300" s="4"/>
      <c r="C300" s="9"/>
      <c r="D300" s="369"/>
      <c r="E300" s="481"/>
      <c r="F300" s="369"/>
      <c r="G300" s="481"/>
      <c r="H300" s="369"/>
      <c r="I300" s="481"/>
      <c r="J300" s="369"/>
      <c r="K300" s="481"/>
      <c r="L300" s="369"/>
      <c r="M300" s="481"/>
      <c r="N300" s="565"/>
      <c r="O300" s="8">
        <f t="shared" si="15"/>
        <v>0</v>
      </c>
      <c r="P300" s="338"/>
      <c r="Q300" s="8"/>
      <c r="R300" s="10"/>
      <c r="S300" s="63"/>
      <c r="T300" s="63"/>
      <c r="U300" s="63"/>
    </row>
    <row r="301" spans="1:21" x14ac:dyDescent="0.25">
      <c r="A301" s="13">
        <f t="shared" si="16"/>
        <v>50</v>
      </c>
      <c r="B301" s="4"/>
      <c r="C301" s="9"/>
      <c r="D301" s="359"/>
      <c r="E301" s="478"/>
      <c r="F301" s="359"/>
      <c r="G301" s="478"/>
      <c r="H301" s="359"/>
      <c r="I301" s="478"/>
      <c r="J301" s="359"/>
      <c r="K301" s="478"/>
      <c r="L301" s="359"/>
      <c r="M301" s="478"/>
      <c r="N301" s="561"/>
      <c r="O301" s="8">
        <f t="shared" si="15"/>
        <v>0</v>
      </c>
      <c r="P301" s="338"/>
      <c r="Q301" s="8"/>
      <c r="R301" s="10"/>
      <c r="S301" s="63"/>
      <c r="T301" s="63"/>
      <c r="U301" s="63"/>
    </row>
    <row r="302" spans="1:21" x14ac:dyDescent="0.25">
      <c r="A302" s="13">
        <f t="shared" si="16"/>
        <v>51</v>
      </c>
      <c r="B302" s="4"/>
      <c r="C302" s="8"/>
      <c r="D302" s="369"/>
      <c r="E302" s="481"/>
      <c r="F302" s="369"/>
      <c r="G302" s="481"/>
      <c r="H302" s="369"/>
      <c r="I302" s="481"/>
      <c r="J302" s="369"/>
      <c r="K302" s="481"/>
      <c r="L302" s="369"/>
      <c r="M302" s="481"/>
      <c r="N302" s="565"/>
      <c r="O302" s="8">
        <f t="shared" si="15"/>
        <v>0</v>
      </c>
      <c r="P302" s="338"/>
      <c r="Q302" s="8"/>
      <c r="R302" s="10"/>
      <c r="S302" s="64"/>
      <c r="T302" s="64"/>
      <c r="U302" s="64"/>
    </row>
    <row r="303" spans="1:21" x14ac:dyDescent="0.25">
      <c r="A303" s="13">
        <f t="shared" si="16"/>
        <v>52</v>
      </c>
      <c r="B303" s="4"/>
      <c r="C303" s="8"/>
      <c r="D303" s="369"/>
      <c r="E303" s="481"/>
      <c r="F303" s="369"/>
      <c r="G303" s="481"/>
      <c r="H303" s="369"/>
      <c r="I303" s="481"/>
      <c r="J303" s="369"/>
      <c r="K303" s="481"/>
      <c r="L303" s="369"/>
      <c r="M303" s="481"/>
      <c r="N303" s="565"/>
      <c r="O303" s="8">
        <f t="shared" si="15"/>
        <v>0</v>
      </c>
      <c r="P303" s="338"/>
      <c r="Q303" s="8"/>
      <c r="R303" s="10"/>
      <c r="S303" s="63"/>
      <c r="T303" s="63"/>
      <c r="U303" s="63"/>
    </row>
    <row r="304" spans="1:21" x14ac:dyDescent="0.25">
      <c r="A304" s="13">
        <f t="shared" si="16"/>
        <v>53</v>
      </c>
      <c r="B304" s="4"/>
      <c r="C304" s="9"/>
      <c r="D304" s="369"/>
      <c r="E304" s="481"/>
      <c r="F304" s="369"/>
      <c r="G304" s="481"/>
      <c r="H304" s="369"/>
      <c r="I304" s="481"/>
      <c r="J304" s="369"/>
      <c r="K304" s="481"/>
      <c r="L304" s="369"/>
      <c r="M304" s="481"/>
      <c r="N304" s="565"/>
      <c r="O304" s="8">
        <f t="shared" si="15"/>
        <v>0</v>
      </c>
      <c r="P304" s="338"/>
      <c r="Q304" s="8"/>
      <c r="R304" s="10"/>
      <c r="S304" s="63"/>
      <c r="T304" s="63"/>
      <c r="U304" s="63"/>
    </row>
    <row r="305" spans="1:21" x14ac:dyDescent="0.25">
      <c r="A305" s="13">
        <f t="shared" si="16"/>
        <v>54</v>
      </c>
      <c r="B305" s="4"/>
      <c r="C305" s="9"/>
      <c r="D305" s="369"/>
      <c r="E305" s="481"/>
      <c r="F305" s="369"/>
      <c r="G305" s="481"/>
      <c r="H305" s="369"/>
      <c r="I305" s="481"/>
      <c r="J305" s="369"/>
      <c r="K305" s="481"/>
      <c r="L305" s="369"/>
      <c r="M305" s="481"/>
      <c r="N305" s="565"/>
      <c r="O305" s="8">
        <f t="shared" si="15"/>
        <v>0</v>
      </c>
      <c r="P305" s="338"/>
      <c r="Q305" s="8"/>
      <c r="R305" s="10"/>
      <c r="S305" s="63"/>
      <c r="T305" s="63"/>
      <c r="U305" s="63"/>
    </row>
    <row r="306" spans="1:21" x14ac:dyDescent="0.25">
      <c r="A306" s="13">
        <f t="shared" si="16"/>
        <v>55</v>
      </c>
      <c r="B306" s="4"/>
      <c r="C306" s="9"/>
      <c r="D306" s="369"/>
      <c r="E306" s="481"/>
      <c r="F306" s="369"/>
      <c r="G306" s="481"/>
      <c r="H306" s="369"/>
      <c r="I306" s="481"/>
      <c r="J306" s="369"/>
      <c r="K306" s="481"/>
      <c r="L306" s="369"/>
      <c r="M306" s="481"/>
      <c r="N306" s="565"/>
      <c r="O306" s="8">
        <f t="shared" si="15"/>
        <v>0</v>
      </c>
      <c r="P306" s="338"/>
      <c r="Q306" s="8"/>
      <c r="R306" s="10"/>
      <c r="S306" s="63"/>
      <c r="T306" s="63"/>
      <c r="U306" s="63"/>
    </row>
    <row r="307" spans="1:21" x14ac:dyDescent="0.25">
      <c r="A307" s="13">
        <f t="shared" si="16"/>
        <v>56</v>
      </c>
      <c r="B307" s="4"/>
      <c r="C307" s="9"/>
      <c r="D307" s="369"/>
      <c r="E307" s="481"/>
      <c r="F307" s="369"/>
      <c r="G307" s="481"/>
      <c r="H307" s="369"/>
      <c r="I307" s="481"/>
      <c r="J307" s="369"/>
      <c r="K307" s="481"/>
      <c r="L307" s="369"/>
      <c r="M307" s="481"/>
      <c r="N307" s="565"/>
      <c r="O307" s="8">
        <f t="shared" si="15"/>
        <v>0</v>
      </c>
      <c r="P307" s="338"/>
      <c r="Q307" s="8"/>
      <c r="R307" s="10"/>
      <c r="S307" s="63"/>
      <c r="T307" s="63"/>
      <c r="U307" s="63"/>
    </row>
    <row r="308" spans="1:21" x14ac:dyDescent="0.25">
      <c r="A308" s="13">
        <f t="shared" si="16"/>
        <v>57</v>
      </c>
      <c r="B308" s="4"/>
      <c r="C308" s="8"/>
      <c r="D308" s="369"/>
      <c r="E308" s="481"/>
      <c r="F308" s="369"/>
      <c r="G308" s="481"/>
      <c r="H308" s="369"/>
      <c r="I308" s="481"/>
      <c r="J308" s="369"/>
      <c r="K308" s="481"/>
      <c r="L308" s="369"/>
      <c r="M308" s="481"/>
      <c r="N308" s="565"/>
      <c r="O308" s="8">
        <f t="shared" si="15"/>
        <v>0</v>
      </c>
      <c r="P308" s="338"/>
      <c r="Q308" s="8"/>
      <c r="R308" s="10"/>
      <c r="S308" s="63"/>
      <c r="T308" s="63"/>
      <c r="U308" s="63"/>
    </row>
    <row r="309" spans="1:21" x14ac:dyDescent="0.25">
      <c r="A309" s="13">
        <f t="shared" si="16"/>
        <v>58</v>
      </c>
      <c r="B309" s="4"/>
      <c r="C309" s="9"/>
      <c r="D309" s="369"/>
      <c r="E309" s="481"/>
      <c r="F309" s="369"/>
      <c r="G309" s="481"/>
      <c r="H309" s="369"/>
      <c r="I309" s="481"/>
      <c r="J309" s="369"/>
      <c r="K309" s="481"/>
      <c r="L309" s="369"/>
      <c r="M309" s="481"/>
      <c r="N309" s="565"/>
      <c r="O309" s="8">
        <f t="shared" si="15"/>
        <v>0</v>
      </c>
      <c r="P309" s="338"/>
      <c r="Q309" s="8"/>
      <c r="R309" s="10"/>
      <c r="S309" s="63"/>
      <c r="T309" s="63"/>
      <c r="U309" s="63"/>
    </row>
    <row r="310" spans="1:21" x14ac:dyDescent="0.25">
      <c r="A310" s="13">
        <f t="shared" si="16"/>
        <v>59</v>
      </c>
      <c r="B310" s="4"/>
      <c r="C310" s="9"/>
      <c r="D310" s="369"/>
      <c r="E310" s="481"/>
      <c r="F310" s="369"/>
      <c r="G310" s="481"/>
      <c r="H310" s="369"/>
      <c r="I310" s="481"/>
      <c r="J310" s="369"/>
      <c r="K310" s="481"/>
      <c r="L310" s="369"/>
      <c r="M310" s="481"/>
      <c r="N310" s="565"/>
      <c r="O310" s="8">
        <f t="shared" si="15"/>
        <v>0</v>
      </c>
      <c r="P310" s="338"/>
      <c r="Q310" s="8"/>
      <c r="R310" s="10"/>
      <c r="S310" s="63"/>
      <c r="T310" s="63"/>
      <c r="U310" s="63"/>
    </row>
    <row r="311" spans="1:21" x14ac:dyDescent="0.25">
      <c r="A311" s="13">
        <f t="shared" si="16"/>
        <v>60</v>
      </c>
      <c r="B311" s="4"/>
      <c r="C311" s="8"/>
      <c r="D311" s="359"/>
      <c r="E311" s="478"/>
      <c r="F311" s="359"/>
      <c r="G311" s="478"/>
      <c r="H311" s="359"/>
      <c r="I311" s="478"/>
      <c r="J311" s="359"/>
      <c r="K311" s="478"/>
      <c r="L311" s="359"/>
      <c r="M311" s="478"/>
      <c r="N311" s="561"/>
      <c r="O311" s="8">
        <f t="shared" si="15"/>
        <v>0</v>
      </c>
      <c r="P311" s="338"/>
      <c r="Q311" s="8"/>
      <c r="R311" s="10"/>
      <c r="S311" s="63"/>
      <c r="T311" s="63"/>
      <c r="U311" s="63"/>
    </row>
    <row r="312" spans="1:21" x14ac:dyDescent="0.25">
      <c r="A312" s="13">
        <f t="shared" si="16"/>
        <v>61</v>
      </c>
      <c r="B312" s="4"/>
      <c r="C312" s="9"/>
      <c r="D312" s="369"/>
      <c r="E312" s="481"/>
      <c r="F312" s="369"/>
      <c r="G312" s="481"/>
      <c r="H312" s="369"/>
      <c r="I312" s="481"/>
      <c r="J312" s="369"/>
      <c r="K312" s="481"/>
      <c r="L312" s="369"/>
      <c r="M312" s="481"/>
      <c r="N312" s="565"/>
      <c r="O312" s="8">
        <f t="shared" si="15"/>
        <v>0</v>
      </c>
      <c r="P312" s="338"/>
      <c r="Q312" s="8"/>
      <c r="R312" s="10"/>
      <c r="S312" s="63"/>
      <c r="T312" s="63"/>
      <c r="U312" s="63"/>
    </row>
    <row r="313" spans="1:21" x14ac:dyDescent="0.25">
      <c r="A313" s="13">
        <f t="shared" si="16"/>
        <v>62</v>
      </c>
      <c r="B313" s="4"/>
      <c r="C313" s="9"/>
      <c r="D313" s="369"/>
      <c r="E313" s="481"/>
      <c r="F313" s="369"/>
      <c r="G313" s="481"/>
      <c r="H313" s="369"/>
      <c r="I313" s="481"/>
      <c r="J313" s="369"/>
      <c r="K313" s="481"/>
      <c r="L313" s="369"/>
      <c r="M313" s="481"/>
      <c r="N313" s="565"/>
      <c r="O313" s="8">
        <f t="shared" si="15"/>
        <v>0</v>
      </c>
      <c r="P313" s="338"/>
      <c r="Q313" s="8"/>
      <c r="R313" s="10"/>
      <c r="S313" s="63"/>
      <c r="T313" s="63"/>
      <c r="U313" s="63"/>
    </row>
    <row r="314" spans="1:21" x14ac:dyDescent="0.25">
      <c r="A314" s="13">
        <f t="shared" si="16"/>
        <v>63</v>
      </c>
      <c r="B314" s="4"/>
      <c r="C314" s="8"/>
      <c r="D314" s="369"/>
      <c r="E314" s="481"/>
      <c r="F314" s="369"/>
      <c r="G314" s="481"/>
      <c r="H314" s="369"/>
      <c r="I314" s="481"/>
      <c r="J314" s="369"/>
      <c r="K314" s="481"/>
      <c r="L314" s="369"/>
      <c r="M314" s="481"/>
      <c r="N314" s="565"/>
      <c r="O314" s="8">
        <f t="shared" si="15"/>
        <v>0</v>
      </c>
      <c r="P314" s="338"/>
      <c r="Q314" s="8"/>
      <c r="R314" s="10"/>
      <c r="S314" s="63"/>
      <c r="T314" s="63"/>
      <c r="U314" s="63"/>
    </row>
    <row r="315" spans="1:21" x14ac:dyDescent="0.25">
      <c r="A315" s="13">
        <f t="shared" si="16"/>
        <v>64</v>
      </c>
      <c r="B315" s="4"/>
      <c r="C315" s="9"/>
      <c r="D315" s="369"/>
      <c r="E315" s="481"/>
      <c r="F315" s="369"/>
      <c r="G315" s="481"/>
      <c r="H315" s="369"/>
      <c r="I315" s="481"/>
      <c r="J315" s="369"/>
      <c r="K315" s="481"/>
      <c r="L315" s="369"/>
      <c r="M315" s="481"/>
      <c r="N315" s="565"/>
      <c r="O315" s="8">
        <f t="shared" si="15"/>
        <v>0</v>
      </c>
      <c r="P315" s="338"/>
      <c r="Q315" s="8"/>
      <c r="R315" s="10"/>
      <c r="S315" s="63"/>
      <c r="T315" s="63"/>
      <c r="U315" s="63"/>
    </row>
    <row r="316" spans="1:21" x14ac:dyDescent="0.25">
      <c r="A316" s="13">
        <f t="shared" si="16"/>
        <v>65</v>
      </c>
      <c r="B316" s="4"/>
      <c r="C316" s="9"/>
      <c r="D316" s="369"/>
      <c r="E316" s="481"/>
      <c r="F316" s="369"/>
      <c r="G316" s="481"/>
      <c r="H316" s="369"/>
      <c r="I316" s="481"/>
      <c r="J316" s="369"/>
      <c r="K316" s="481"/>
      <c r="L316" s="369"/>
      <c r="M316" s="481"/>
      <c r="N316" s="565"/>
      <c r="O316" s="8">
        <f t="shared" ref="O316:O354" si="17">SUM(C316:N316)</f>
        <v>0</v>
      </c>
      <c r="P316" s="338"/>
      <c r="Q316" s="8"/>
      <c r="R316" s="10"/>
      <c r="S316" s="63"/>
      <c r="T316" s="63"/>
      <c r="U316" s="63"/>
    </row>
    <row r="317" spans="1:21" x14ac:dyDescent="0.25">
      <c r="A317" s="13">
        <f t="shared" ref="A317:A354" si="18">A316+1</f>
        <v>66</v>
      </c>
      <c r="B317" s="4"/>
      <c r="C317" s="8"/>
      <c r="D317" s="369"/>
      <c r="E317" s="481"/>
      <c r="F317" s="369"/>
      <c r="G317" s="481"/>
      <c r="H317" s="369"/>
      <c r="I317" s="481"/>
      <c r="J317" s="369"/>
      <c r="K317" s="481"/>
      <c r="L317" s="369"/>
      <c r="M317" s="481"/>
      <c r="N317" s="565"/>
      <c r="O317" s="8">
        <f t="shared" si="17"/>
        <v>0</v>
      </c>
      <c r="P317" s="338"/>
      <c r="Q317" s="8"/>
      <c r="R317" s="10"/>
      <c r="S317" s="63"/>
      <c r="T317" s="63"/>
      <c r="U317" s="63"/>
    </row>
    <row r="318" spans="1:21" x14ac:dyDescent="0.25">
      <c r="A318" s="13">
        <f t="shared" si="18"/>
        <v>67</v>
      </c>
      <c r="B318" s="4"/>
      <c r="C318" s="9"/>
      <c r="D318" s="359"/>
      <c r="E318" s="478"/>
      <c r="F318" s="359"/>
      <c r="G318" s="478"/>
      <c r="H318" s="359"/>
      <c r="I318" s="478"/>
      <c r="J318" s="359"/>
      <c r="K318" s="478"/>
      <c r="L318" s="359"/>
      <c r="M318" s="478"/>
      <c r="N318" s="561"/>
      <c r="O318" s="8">
        <f t="shared" si="17"/>
        <v>0</v>
      </c>
      <c r="P318" s="338"/>
      <c r="Q318" s="8"/>
      <c r="R318" s="10"/>
      <c r="S318" s="63"/>
      <c r="T318" s="63"/>
      <c r="U318" s="63"/>
    </row>
    <row r="319" spans="1:21" x14ac:dyDescent="0.25">
      <c r="A319" s="13">
        <f t="shared" si="18"/>
        <v>68</v>
      </c>
      <c r="B319" s="4"/>
      <c r="C319" s="9"/>
      <c r="D319" s="369"/>
      <c r="E319" s="481"/>
      <c r="F319" s="369"/>
      <c r="G319" s="481"/>
      <c r="H319" s="369"/>
      <c r="I319" s="481"/>
      <c r="J319" s="369"/>
      <c r="K319" s="481"/>
      <c r="L319" s="369"/>
      <c r="M319" s="481"/>
      <c r="N319" s="565"/>
      <c r="O319" s="8">
        <f t="shared" si="17"/>
        <v>0</v>
      </c>
      <c r="P319" s="338"/>
      <c r="Q319" s="8"/>
      <c r="R319" s="10"/>
      <c r="S319" s="63"/>
      <c r="T319" s="63"/>
      <c r="U319" s="63"/>
    </row>
    <row r="320" spans="1:21" x14ac:dyDescent="0.25">
      <c r="A320" s="13">
        <f t="shared" si="18"/>
        <v>69</v>
      </c>
      <c r="B320" s="4"/>
      <c r="C320" s="9"/>
      <c r="D320" s="369"/>
      <c r="E320" s="481"/>
      <c r="F320" s="369"/>
      <c r="G320" s="481"/>
      <c r="H320" s="369"/>
      <c r="I320" s="481"/>
      <c r="J320" s="369"/>
      <c r="K320" s="481"/>
      <c r="L320" s="369"/>
      <c r="M320" s="481"/>
      <c r="N320" s="565"/>
      <c r="O320" s="8">
        <f t="shared" si="17"/>
        <v>0</v>
      </c>
      <c r="P320" s="338"/>
      <c r="Q320" s="8"/>
      <c r="R320" s="10"/>
      <c r="S320" s="63"/>
      <c r="T320" s="63"/>
      <c r="U320" s="63"/>
    </row>
    <row r="321" spans="1:21" x14ac:dyDescent="0.25">
      <c r="A321" s="13">
        <f t="shared" si="18"/>
        <v>70</v>
      </c>
      <c r="B321" s="4"/>
      <c r="C321" s="8"/>
      <c r="D321" s="369"/>
      <c r="E321" s="481"/>
      <c r="F321" s="369"/>
      <c r="G321" s="481"/>
      <c r="H321" s="369"/>
      <c r="I321" s="481"/>
      <c r="J321" s="369"/>
      <c r="K321" s="481"/>
      <c r="L321" s="369"/>
      <c r="M321" s="481"/>
      <c r="N321" s="565"/>
      <c r="O321" s="8">
        <f t="shared" si="17"/>
        <v>0</v>
      </c>
      <c r="P321" s="338"/>
      <c r="Q321" s="8"/>
      <c r="R321" s="10"/>
      <c r="S321" s="63"/>
      <c r="T321" s="63"/>
      <c r="U321" s="63"/>
    </row>
    <row r="322" spans="1:21" x14ac:dyDescent="0.25">
      <c r="A322" s="13">
        <f t="shared" si="18"/>
        <v>71</v>
      </c>
      <c r="B322" s="4"/>
      <c r="C322" s="9"/>
      <c r="D322" s="369"/>
      <c r="E322" s="481"/>
      <c r="F322" s="369"/>
      <c r="G322" s="481"/>
      <c r="H322" s="369"/>
      <c r="I322" s="481"/>
      <c r="J322" s="369"/>
      <c r="K322" s="481"/>
      <c r="L322" s="369"/>
      <c r="M322" s="481"/>
      <c r="N322" s="565"/>
      <c r="O322" s="8">
        <f t="shared" si="17"/>
        <v>0</v>
      </c>
      <c r="P322" s="338"/>
      <c r="Q322" s="8"/>
      <c r="R322" s="10"/>
      <c r="S322" s="63"/>
      <c r="T322" s="63"/>
      <c r="U322" s="63"/>
    </row>
    <row r="323" spans="1:21" x14ac:dyDescent="0.25">
      <c r="A323" s="13">
        <f t="shared" si="18"/>
        <v>72</v>
      </c>
      <c r="B323" s="4"/>
      <c r="C323" s="9"/>
      <c r="D323" s="369"/>
      <c r="E323" s="481"/>
      <c r="F323" s="369"/>
      <c r="G323" s="481"/>
      <c r="H323" s="369"/>
      <c r="I323" s="481"/>
      <c r="J323" s="369"/>
      <c r="K323" s="481"/>
      <c r="L323" s="369"/>
      <c r="M323" s="481"/>
      <c r="N323" s="565"/>
      <c r="O323" s="8">
        <f t="shared" si="17"/>
        <v>0</v>
      </c>
      <c r="P323" s="338"/>
      <c r="Q323" s="8"/>
      <c r="R323" s="10"/>
      <c r="S323" s="63"/>
      <c r="T323" s="63"/>
      <c r="U323" s="63"/>
    </row>
    <row r="324" spans="1:21" x14ac:dyDescent="0.25">
      <c r="A324" s="13">
        <f t="shared" si="18"/>
        <v>73</v>
      </c>
      <c r="B324" s="4"/>
      <c r="C324" s="9"/>
      <c r="D324" s="369"/>
      <c r="E324" s="481"/>
      <c r="F324" s="369"/>
      <c r="G324" s="481"/>
      <c r="H324" s="369"/>
      <c r="I324" s="481"/>
      <c r="J324" s="369"/>
      <c r="K324" s="481"/>
      <c r="L324" s="369"/>
      <c r="M324" s="481"/>
      <c r="N324" s="565"/>
      <c r="O324" s="8">
        <f t="shared" si="17"/>
        <v>0</v>
      </c>
      <c r="P324" s="338"/>
      <c r="Q324" s="8"/>
      <c r="R324" s="10"/>
      <c r="S324" s="63"/>
      <c r="T324" s="63"/>
      <c r="U324" s="63"/>
    </row>
    <row r="325" spans="1:21" x14ac:dyDescent="0.25">
      <c r="A325" s="13">
        <f t="shared" si="18"/>
        <v>74</v>
      </c>
      <c r="B325" s="4"/>
      <c r="C325" s="9"/>
      <c r="D325" s="369"/>
      <c r="E325" s="481"/>
      <c r="F325" s="369"/>
      <c r="G325" s="481"/>
      <c r="H325" s="369"/>
      <c r="I325" s="481"/>
      <c r="J325" s="369"/>
      <c r="K325" s="481"/>
      <c r="L325" s="369"/>
      <c r="M325" s="481"/>
      <c r="N325" s="565"/>
      <c r="O325" s="8">
        <f t="shared" si="17"/>
        <v>0</v>
      </c>
      <c r="P325" s="338"/>
      <c r="Q325" s="8"/>
      <c r="R325" s="10"/>
      <c r="S325" s="63"/>
      <c r="T325" s="63"/>
      <c r="U325" s="63"/>
    </row>
    <row r="326" spans="1:21" x14ac:dyDescent="0.25">
      <c r="A326" s="13">
        <f t="shared" si="18"/>
        <v>75</v>
      </c>
      <c r="B326" s="4"/>
      <c r="C326" s="9"/>
      <c r="D326" s="369"/>
      <c r="E326" s="481"/>
      <c r="F326" s="369"/>
      <c r="G326" s="481"/>
      <c r="H326" s="369"/>
      <c r="I326" s="481"/>
      <c r="J326" s="369"/>
      <c r="K326" s="481"/>
      <c r="L326" s="369"/>
      <c r="M326" s="481"/>
      <c r="N326" s="565"/>
      <c r="O326" s="8">
        <f t="shared" si="17"/>
        <v>0</v>
      </c>
      <c r="P326" s="338"/>
      <c r="Q326" s="8"/>
      <c r="R326" s="10"/>
      <c r="S326" s="63"/>
      <c r="T326" s="63"/>
      <c r="U326" s="63"/>
    </row>
    <row r="327" spans="1:21" x14ac:dyDescent="0.25">
      <c r="A327" s="13">
        <f t="shared" si="18"/>
        <v>76</v>
      </c>
      <c r="B327" s="4"/>
      <c r="C327" s="9"/>
      <c r="D327" s="369"/>
      <c r="E327" s="481"/>
      <c r="F327" s="369"/>
      <c r="G327" s="481"/>
      <c r="H327" s="369"/>
      <c r="I327" s="481"/>
      <c r="J327" s="369"/>
      <c r="K327" s="481"/>
      <c r="L327" s="369"/>
      <c r="M327" s="481"/>
      <c r="N327" s="565"/>
      <c r="O327" s="8">
        <f t="shared" si="17"/>
        <v>0</v>
      </c>
      <c r="P327" s="338"/>
      <c r="Q327" s="8"/>
      <c r="R327" s="10"/>
      <c r="S327" s="63"/>
      <c r="T327" s="63"/>
      <c r="U327" s="63"/>
    </row>
    <row r="328" spans="1:21" x14ac:dyDescent="0.25">
      <c r="A328" s="13">
        <f t="shared" si="18"/>
        <v>77</v>
      </c>
      <c r="B328" s="4"/>
      <c r="C328" s="9"/>
      <c r="D328" s="369"/>
      <c r="E328" s="481"/>
      <c r="F328" s="369"/>
      <c r="G328" s="481"/>
      <c r="H328" s="369"/>
      <c r="I328" s="481"/>
      <c r="J328" s="369"/>
      <c r="K328" s="481"/>
      <c r="L328" s="369"/>
      <c r="M328" s="481"/>
      <c r="N328" s="565"/>
      <c r="O328" s="8">
        <f t="shared" si="17"/>
        <v>0</v>
      </c>
      <c r="P328" s="338"/>
      <c r="Q328" s="8"/>
      <c r="R328" s="10"/>
      <c r="S328" s="63"/>
      <c r="T328" s="63"/>
      <c r="U328" s="63"/>
    </row>
    <row r="329" spans="1:21" x14ac:dyDescent="0.25">
      <c r="A329" s="13">
        <f t="shared" si="18"/>
        <v>78</v>
      </c>
      <c r="B329" s="4"/>
      <c r="C329" s="9"/>
      <c r="D329" s="369"/>
      <c r="E329" s="481"/>
      <c r="F329" s="369"/>
      <c r="G329" s="481"/>
      <c r="H329" s="369"/>
      <c r="I329" s="481"/>
      <c r="J329" s="369"/>
      <c r="K329" s="481"/>
      <c r="L329" s="369"/>
      <c r="M329" s="481"/>
      <c r="N329" s="565"/>
      <c r="O329" s="8">
        <f t="shared" si="17"/>
        <v>0</v>
      </c>
      <c r="P329" s="338"/>
      <c r="Q329" s="8"/>
      <c r="R329" s="10"/>
      <c r="S329" s="63"/>
      <c r="T329" s="63"/>
      <c r="U329" s="63"/>
    </row>
    <row r="330" spans="1:21" x14ac:dyDescent="0.25">
      <c r="A330" s="13">
        <f t="shared" si="18"/>
        <v>79</v>
      </c>
      <c r="B330" s="4"/>
      <c r="C330" s="9"/>
      <c r="D330" s="369"/>
      <c r="E330" s="481"/>
      <c r="F330" s="369"/>
      <c r="G330" s="481"/>
      <c r="H330" s="369"/>
      <c r="I330" s="481"/>
      <c r="J330" s="369"/>
      <c r="K330" s="481"/>
      <c r="L330" s="369"/>
      <c r="M330" s="481"/>
      <c r="N330" s="565"/>
      <c r="O330" s="8">
        <f t="shared" si="17"/>
        <v>0</v>
      </c>
      <c r="P330" s="338"/>
      <c r="Q330" s="8"/>
      <c r="R330" s="10"/>
      <c r="S330" s="63"/>
      <c r="T330" s="63"/>
      <c r="U330" s="63"/>
    </row>
    <row r="331" spans="1:21" x14ac:dyDescent="0.25">
      <c r="A331" s="13">
        <f t="shared" si="18"/>
        <v>80</v>
      </c>
      <c r="B331" s="4"/>
      <c r="C331" s="9"/>
      <c r="D331" s="369"/>
      <c r="E331" s="481"/>
      <c r="F331" s="369"/>
      <c r="G331" s="481"/>
      <c r="H331" s="369"/>
      <c r="I331" s="481"/>
      <c r="J331" s="369"/>
      <c r="K331" s="481"/>
      <c r="L331" s="369"/>
      <c r="M331" s="481"/>
      <c r="N331" s="565"/>
      <c r="O331" s="8">
        <f t="shared" si="17"/>
        <v>0</v>
      </c>
      <c r="P331" s="338"/>
      <c r="Q331" s="8"/>
      <c r="R331" s="10"/>
      <c r="S331" s="63"/>
      <c r="T331" s="63"/>
      <c r="U331" s="63"/>
    </row>
    <row r="332" spans="1:21" x14ac:dyDescent="0.25">
      <c r="A332" s="13">
        <f t="shared" si="18"/>
        <v>81</v>
      </c>
      <c r="B332" s="4"/>
      <c r="C332" s="8"/>
      <c r="D332" s="359"/>
      <c r="E332" s="478"/>
      <c r="F332" s="359"/>
      <c r="G332" s="478"/>
      <c r="H332" s="359"/>
      <c r="I332" s="478"/>
      <c r="J332" s="359"/>
      <c r="K332" s="478"/>
      <c r="L332" s="359"/>
      <c r="M332" s="478"/>
      <c r="N332" s="561"/>
      <c r="O332" s="8">
        <f t="shared" si="17"/>
        <v>0</v>
      </c>
      <c r="P332" s="338"/>
      <c r="Q332" s="8"/>
      <c r="R332" s="10"/>
      <c r="S332" s="63"/>
      <c r="T332" s="63"/>
      <c r="U332" s="63"/>
    </row>
    <row r="333" spans="1:21" x14ac:dyDescent="0.25">
      <c r="A333" s="13">
        <f t="shared" si="18"/>
        <v>82</v>
      </c>
      <c r="B333" s="4"/>
      <c r="C333" s="9"/>
      <c r="D333" s="369"/>
      <c r="E333" s="481"/>
      <c r="F333" s="369"/>
      <c r="G333" s="481"/>
      <c r="H333" s="369"/>
      <c r="I333" s="481"/>
      <c r="J333" s="369"/>
      <c r="K333" s="481"/>
      <c r="L333" s="369"/>
      <c r="M333" s="481"/>
      <c r="N333" s="565"/>
      <c r="O333" s="8">
        <f t="shared" si="17"/>
        <v>0</v>
      </c>
      <c r="P333" s="338"/>
      <c r="Q333" s="8"/>
      <c r="R333" s="10"/>
      <c r="S333" s="63"/>
      <c r="T333" s="63"/>
      <c r="U333" s="63"/>
    </row>
    <row r="334" spans="1:21" x14ac:dyDescent="0.25">
      <c r="A334" s="13">
        <f t="shared" si="18"/>
        <v>83</v>
      </c>
      <c r="B334" s="4"/>
      <c r="C334" s="9"/>
      <c r="D334" s="359"/>
      <c r="E334" s="478"/>
      <c r="F334" s="359"/>
      <c r="G334" s="478"/>
      <c r="H334" s="359"/>
      <c r="I334" s="478"/>
      <c r="J334" s="359"/>
      <c r="K334" s="478"/>
      <c r="L334" s="359"/>
      <c r="M334" s="478"/>
      <c r="N334" s="561"/>
      <c r="O334" s="8">
        <f t="shared" si="17"/>
        <v>0</v>
      </c>
      <c r="P334" s="338"/>
      <c r="Q334" s="8"/>
      <c r="R334" s="10"/>
      <c r="S334" s="63"/>
      <c r="T334" s="63"/>
      <c r="U334" s="63"/>
    </row>
    <row r="335" spans="1:21" x14ac:dyDescent="0.25">
      <c r="A335" s="13">
        <f t="shared" si="18"/>
        <v>84</v>
      </c>
      <c r="B335" s="4"/>
      <c r="C335" s="9"/>
      <c r="D335" s="369"/>
      <c r="E335" s="481"/>
      <c r="F335" s="369"/>
      <c r="G335" s="481"/>
      <c r="H335" s="369"/>
      <c r="I335" s="481"/>
      <c r="J335" s="369"/>
      <c r="K335" s="481"/>
      <c r="L335" s="369"/>
      <c r="M335" s="481"/>
      <c r="N335" s="565"/>
      <c r="O335" s="8">
        <f t="shared" si="17"/>
        <v>0</v>
      </c>
      <c r="P335" s="338"/>
      <c r="Q335" s="8"/>
      <c r="R335" s="10"/>
      <c r="S335" s="63"/>
      <c r="T335" s="63"/>
      <c r="U335" s="63"/>
    </row>
    <row r="336" spans="1:21" x14ac:dyDescent="0.25">
      <c r="A336" s="13">
        <f t="shared" si="18"/>
        <v>85</v>
      </c>
      <c r="B336" s="4"/>
      <c r="C336" s="9"/>
      <c r="D336" s="369"/>
      <c r="E336" s="481"/>
      <c r="F336" s="369"/>
      <c r="G336" s="481"/>
      <c r="H336" s="369"/>
      <c r="I336" s="481"/>
      <c r="J336" s="369"/>
      <c r="K336" s="481"/>
      <c r="L336" s="369"/>
      <c r="M336" s="481"/>
      <c r="N336" s="565"/>
      <c r="O336" s="8">
        <f t="shared" si="17"/>
        <v>0</v>
      </c>
      <c r="P336" s="338"/>
      <c r="Q336" s="8"/>
      <c r="R336" s="10"/>
      <c r="S336" s="63"/>
      <c r="T336" s="63"/>
      <c r="U336" s="63"/>
    </row>
    <row r="337" spans="1:21" x14ac:dyDescent="0.25">
      <c r="A337" s="13">
        <f t="shared" si="18"/>
        <v>86</v>
      </c>
      <c r="B337" s="4"/>
      <c r="C337" s="8"/>
      <c r="D337" s="369"/>
      <c r="E337" s="481"/>
      <c r="F337" s="369"/>
      <c r="G337" s="481"/>
      <c r="H337" s="369"/>
      <c r="I337" s="481"/>
      <c r="J337" s="369"/>
      <c r="K337" s="481"/>
      <c r="L337" s="369"/>
      <c r="M337" s="481"/>
      <c r="N337" s="565"/>
      <c r="O337" s="8">
        <f t="shared" si="17"/>
        <v>0</v>
      </c>
      <c r="P337" s="338"/>
      <c r="Q337" s="8"/>
      <c r="R337" s="10"/>
      <c r="S337" s="63"/>
      <c r="T337" s="63"/>
      <c r="U337" s="63"/>
    </row>
    <row r="338" spans="1:21" x14ac:dyDescent="0.25">
      <c r="A338" s="13">
        <f t="shared" si="18"/>
        <v>87</v>
      </c>
      <c r="B338" s="4"/>
      <c r="C338" s="9"/>
      <c r="D338" s="369"/>
      <c r="E338" s="481"/>
      <c r="F338" s="369"/>
      <c r="G338" s="481"/>
      <c r="H338" s="369"/>
      <c r="I338" s="481"/>
      <c r="J338" s="369"/>
      <c r="K338" s="481"/>
      <c r="L338" s="369"/>
      <c r="M338" s="481"/>
      <c r="N338" s="565"/>
      <c r="O338" s="8">
        <f t="shared" si="17"/>
        <v>0</v>
      </c>
      <c r="P338" s="338"/>
      <c r="Q338" s="8"/>
      <c r="R338" s="10"/>
      <c r="S338" s="63"/>
      <c r="T338" s="63"/>
      <c r="U338" s="63"/>
    </row>
    <row r="339" spans="1:21" x14ac:dyDescent="0.25">
      <c r="A339" s="13">
        <f t="shared" si="18"/>
        <v>88</v>
      </c>
      <c r="B339" s="4"/>
      <c r="C339" s="9"/>
      <c r="D339" s="359"/>
      <c r="E339" s="478"/>
      <c r="F339" s="359"/>
      <c r="G339" s="478"/>
      <c r="H339" s="359"/>
      <c r="I339" s="478"/>
      <c r="J339" s="359"/>
      <c r="K339" s="478"/>
      <c r="L339" s="359"/>
      <c r="M339" s="478"/>
      <c r="N339" s="561"/>
      <c r="O339" s="8">
        <f t="shared" si="17"/>
        <v>0</v>
      </c>
      <c r="P339" s="338"/>
      <c r="Q339" s="8"/>
      <c r="R339" s="10"/>
      <c r="S339" s="63"/>
      <c r="T339" s="63"/>
      <c r="U339" s="63"/>
    </row>
    <row r="340" spans="1:21" x14ac:dyDescent="0.25">
      <c r="A340" s="13">
        <f t="shared" si="18"/>
        <v>89</v>
      </c>
      <c r="B340" s="4"/>
      <c r="C340" s="9"/>
      <c r="D340" s="369"/>
      <c r="E340" s="481"/>
      <c r="F340" s="369"/>
      <c r="G340" s="481"/>
      <c r="H340" s="369"/>
      <c r="I340" s="481"/>
      <c r="J340" s="369"/>
      <c r="K340" s="481"/>
      <c r="L340" s="369"/>
      <c r="M340" s="481"/>
      <c r="N340" s="565"/>
      <c r="O340" s="8">
        <f t="shared" si="17"/>
        <v>0</v>
      </c>
      <c r="P340" s="338"/>
      <c r="Q340" s="8"/>
      <c r="R340" s="10"/>
      <c r="S340" s="63"/>
      <c r="T340" s="63"/>
      <c r="U340" s="63"/>
    </row>
    <row r="341" spans="1:21" x14ac:dyDescent="0.25">
      <c r="A341" s="13">
        <f t="shared" si="18"/>
        <v>90</v>
      </c>
      <c r="B341" s="4"/>
      <c r="C341" s="8"/>
      <c r="D341" s="369"/>
      <c r="E341" s="481"/>
      <c r="F341" s="369"/>
      <c r="G341" s="481"/>
      <c r="H341" s="369"/>
      <c r="I341" s="481"/>
      <c r="J341" s="369"/>
      <c r="K341" s="481"/>
      <c r="L341" s="369"/>
      <c r="M341" s="481"/>
      <c r="N341" s="565"/>
      <c r="O341" s="8">
        <f t="shared" si="17"/>
        <v>0</v>
      </c>
      <c r="P341" s="338"/>
      <c r="Q341" s="8"/>
      <c r="R341" s="10"/>
      <c r="S341" s="63"/>
      <c r="T341" s="63"/>
      <c r="U341" s="63"/>
    </row>
    <row r="342" spans="1:21" x14ac:dyDescent="0.25">
      <c r="A342" s="13">
        <f t="shared" si="18"/>
        <v>91</v>
      </c>
      <c r="B342" s="4"/>
      <c r="C342" s="9"/>
      <c r="D342" s="369"/>
      <c r="E342" s="481"/>
      <c r="F342" s="369"/>
      <c r="G342" s="481"/>
      <c r="H342" s="369"/>
      <c r="I342" s="481"/>
      <c r="J342" s="369"/>
      <c r="K342" s="481"/>
      <c r="L342" s="369"/>
      <c r="M342" s="481"/>
      <c r="N342" s="565"/>
      <c r="O342" s="8">
        <f t="shared" si="17"/>
        <v>0</v>
      </c>
      <c r="P342" s="338"/>
      <c r="Q342" s="8"/>
      <c r="R342" s="10"/>
      <c r="S342" s="63"/>
      <c r="T342" s="63"/>
      <c r="U342" s="63"/>
    </row>
    <row r="343" spans="1:21" x14ac:dyDescent="0.25">
      <c r="A343" s="13">
        <f t="shared" si="18"/>
        <v>92</v>
      </c>
      <c r="B343" s="4"/>
      <c r="C343" s="9"/>
      <c r="D343" s="369"/>
      <c r="E343" s="481"/>
      <c r="F343" s="369"/>
      <c r="G343" s="481"/>
      <c r="H343" s="369"/>
      <c r="I343" s="481"/>
      <c r="J343" s="369"/>
      <c r="K343" s="481"/>
      <c r="L343" s="369"/>
      <c r="M343" s="481"/>
      <c r="N343" s="565"/>
      <c r="O343" s="8">
        <f t="shared" si="17"/>
        <v>0</v>
      </c>
      <c r="P343" s="338"/>
      <c r="Q343" s="8"/>
      <c r="R343" s="10"/>
      <c r="S343" s="63"/>
      <c r="T343" s="63"/>
      <c r="U343" s="63"/>
    </row>
    <row r="344" spans="1:21" x14ac:dyDescent="0.25">
      <c r="A344" s="13">
        <f t="shared" si="18"/>
        <v>93</v>
      </c>
      <c r="B344" s="4"/>
      <c r="C344" s="9"/>
      <c r="D344" s="369"/>
      <c r="E344" s="481"/>
      <c r="F344" s="369"/>
      <c r="G344" s="481"/>
      <c r="H344" s="369"/>
      <c r="I344" s="481"/>
      <c r="J344" s="369"/>
      <c r="K344" s="481"/>
      <c r="L344" s="369"/>
      <c r="M344" s="481"/>
      <c r="N344" s="565"/>
      <c r="O344" s="8">
        <f t="shared" si="17"/>
        <v>0</v>
      </c>
      <c r="P344" s="338"/>
      <c r="Q344" s="8"/>
      <c r="R344" s="10"/>
      <c r="S344" s="63"/>
      <c r="T344" s="63"/>
      <c r="U344" s="63"/>
    </row>
    <row r="345" spans="1:21" x14ac:dyDescent="0.25">
      <c r="A345" s="13">
        <f t="shared" si="18"/>
        <v>94</v>
      </c>
      <c r="B345" s="4"/>
      <c r="C345" s="9"/>
      <c r="D345" s="369"/>
      <c r="E345" s="481"/>
      <c r="F345" s="369"/>
      <c r="G345" s="481"/>
      <c r="H345" s="369"/>
      <c r="I345" s="481"/>
      <c r="J345" s="369"/>
      <c r="K345" s="481"/>
      <c r="L345" s="369"/>
      <c r="M345" s="481"/>
      <c r="N345" s="565"/>
      <c r="O345" s="8">
        <f t="shared" si="17"/>
        <v>0</v>
      </c>
      <c r="P345" s="338"/>
      <c r="Q345" s="8"/>
      <c r="R345" s="10"/>
      <c r="S345" s="63"/>
      <c r="T345" s="63"/>
      <c r="U345" s="63"/>
    </row>
    <row r="346" spans="1:21" x14ac:dyDescent="0.25">
      <c r="A346" s="13">
        <f t="shared" si="18"/>
        <v>95</v>
      </c>
      <c r="B346" s="4"/>
      <c r="C346" s="9"/>
      <c r="D346" s="369"/>
      <c r="E346" s="481"/>
      <c r="F346" s="369"/>
      <c r="G346" s="481"/>
      <c r="H346" s="369"/>
      <c r="I346" s="481"/>
      <c r="J346" s="369"/>
      <c r="K346" s="481"/>
      <c r="L346" s="369"/>
      <c r="M346" s="481"/>
      <c r="N346" s="565"/>
      <c r="O346" s="8">
        <f t="shared" si="17"/>
        <v>0</v>
      </c>
      <c r="P346" s="338"/>
      <c r="Q346" s="8"/>
      <c r="R346" s="10"/>
      <c r="S346" s="63"/>
      <c r="T346" s="63"/>
      <c r="U346" s="63"/>
    </row>
    <row r="347" spans="1:21" x14ac:dyDescent="0.25">
      <c r="A347" s="13">
        <f t="shared" si="18"/>
        <v>96</v>
      </c>
      <c r="B347" s="4"/>
      <c r="C347" s="9"/>
      <c r="D347" s="369"/>
      <c r="E347" s="481"/>
      <c r="F347" s="369"/>
      <c r="G347" s="481"/>
      <c r="H347" s="369"/>
      <c r="I347" s="481"/>
      <c r="J347" s="369"/>
      <c r="K347" s="481"/>
      <c r="L347" s="369"/>
      <c r="M347" s="481"/>
      <c r="N347" s="565"/>
      <c r="O347" s="8">
        <f t="shared" si="17"/>
        <v>0</v>
      </c>
      <c r="P347" s="338"/>
      <c r="Q347" s="8"/>
      <c r="R347" s="10"/>
      <c r="S347" s="63"/>
      <c r="T347" s="63"/>
      <c r="U347" s="63"/>
    </row>
    <row r="348" spans="1:21" x14ac:dyDescent="0.25">
      <c r="A348" s="13">
        <f t="shared" si="18"/>
        <v>97</v>
      </c>
      <c r="B348" s="4"/>
      <c r="C348" s="9"/>
      <c r="D348" s="369"/>
      <c r="E348" s="481"/>
      <c r="F348" s="369"/>
      <c r="G348" s="481"/>
      <c r="H348" s="369"/>
      <c r="I348" s="481"/>
      <c r="J348" s="369"/>
      <c r="K348" s="481"/>
      <c r="L348" s="369"/>
      <c r="M348" s="481"/>
      <c r="N348" s="565"/>
      <c r="O348" s="8">
        <f t="shared" si="17"/>
        <v>0</v>
      </c>
      <c r="P348" s="338"/>
      <c r="Q348" s="8"/>
      <c r="R348" s="10"/>
      <c r="S348" s="63"/>
      <c r="T348" s="63"/>
      <c r="U348" s="63"/>
    </row>
    <row r="349" spans="1:21" x14ac:dyDescent="0.25">
      <c r="A349" s="13">
        <f t="shared" si="18"/>
        <v>98</v>
      </c>
      <c r="B349" s="4"/>
      <c r="C349" s="9"/>
      <c r="D349" s="369"/>
      <c r="E349" s="481"/>
      <c r="F349" s="369"/>
      <c r="G349" s="481"/>
      <c r="H349" s="369"/>
      <c r="I349" s="481"/>
      <c r="J349" s="369"/>
      <c r="K349" s="481"/>
      <c r="L349" s="369"/>
      <c r="M349" s="481"/>
      <c r="N349" s="565"/>
      <c r="O349" s="8">
        <f t="shared" si="17"/>
        <v>0</v>
      </c>
      <c r="P349" s="338"/>
      <c r="Q349" s="8"/>
      <c r="R349" s="10"/>
      <c r="S349" s="63"/>
      <c r="T349" s="63"/>
      <c r="U349" s="63"/>
    </row>
    <row r="350" spans="1:21" x14ac:dyDescent="0.25">
      <c r="A350" s="13">
        <f t="shared" si="18"/>
        <v>99</v>
      </c>
      <c r="B350" s="4"/>
      <c r="C350" s="9"/>
      <c r="D350" s="369"/>
      <c r="E350" s="481"/>
      <c r="F350" s="369"/>
      <c r="G350" s="481"/>
      <c r="H350" s="369"/>
      <c r="I350" s="481"/>
      <c r="J350" s="369"/>
      <c r="K350" s="481"/>
      <c r="L350" s="369"/>
      <c r="M350" s="481"/>
      <c r="N350" s="565"/>
      <c r="O350" s="8">
        <f t="shared" si="17"/>
        <v>0</v>
      </c>
      <c r="P350" s="338"/>
      <c r="Q350" s="8"/>
      <c r="R350" s="10"/>
      <c r="S350" s="63"/>
      <c r="T350" s="63"/>
      <c r="U350" s="63"/>
    </row>
    <row r="351" spans="1:21" x14ac:dyDescent="0.25">
      <c r="A351" s="13">
        <f t="shared" si="18"/>
        <v>100</v>
      </c>
      <c r="B351" s="4"/>
      <c r="C351" s="8"/>
      <c r="D351" s="359"/>
      <c r="E351" s="478"/>
      <c r="F351" s="359"/>
      <c r="G351" s="478"/>
      <c r="H351" s="359"/>
      <c r="I351" s="478"/>
      <c r="J351" s="359"/>
      <c r="K351" s="478"/>
      <c r="L351" s="359"/>
      <c r="M351" s="478"/>
      <c r="N351" s="561"/>
      <c r="O351" s="8">
        <f t="shared" si="17"/>
        <v>0</v>
      </c>
      <c r="P351" s="338"/>
      <c r="Q351" s="8"/>
      <c r="R351" s="10"/>
      <c r="S351" s="63"/>
      <c r="T351" s="63"/>
      <c r="U351" s="63"/>
    </row>
    <row r="352" spans="1:21" x14ac:dyDescent="0.25">
      <c r="A352" s="13">
        <f t="shared" si="18"/>
        <v>101</v>
      </c>
      <c r="B352" s="4"/>
      <c r="C352" s="9"/>
      <c r="D352" s="369"/>
      <c r="E352" s="481"/>
      <c r="F352" s="369"/>
      <c r="G352" s="481"/>
      <c r="H352" s="369"/>
      <c r="I352" s="481"/>
      <c r="J352" s="369"/>
      <c r="K352" s="481"/>
      <c r="L352" s="369"/>
      <c r="M352" s="481"/>
      <c r="N352" s="565"/>
      <c r="O352" s="8">
        <f t="shared" si="17"/>
        <v>0</v>
      </c>
      <c r="P352" s="338"/>
      <c r="Q352" s="8"/>
      <c r="R352" s="10"/>
      <c r="S352" s="63"/>
      <c r="T352" s="63"/>
      <c r="U352" s="63"/>
    </row>
    <row r="353" spans="1:21" x14ac:dyDescent="0.25">
      <c r="A353" s="13">
        <f t="shared" si="18"/>
        <v>102</v>
      </c>
      <c r="B353" s="4"/>
      <c r="C353" s="9"/>
      <c r="D353" s="369"/>
      <c r="E353" s="481"/>
      <c r="F353" s="369"/>
      <c r="G353" s="481"/>
      <c r="H353" s="369"/>
      <c r="I353" s="481"/>
      <c r="J353" s="369"/>
      <c r="K353" s="481"/>
      <c r="L353" s="369"/>
      <c r="M353" s="481"/>
      <c r="N353" s="565"/>
      <c r="O353" s="8">
        <f t="shared" si="17"/>
        <v>0</v>
      </c>
      <c r="P353" s="338"/>
      <c r="Q353" s="8"/>
      <c r="R353" s="10"/>
      <c r="S353" s="63"/>
      <c r="T353" s="63"/>
      <c r="U353" s="63"/>
    </row>
    <row r="354" spans="1:21" x14ac:dyDescent="0.25">
      <c r="A354" s="13">
        <f t="shared" si="18"/>
        <v>103</v>
      </c>
      <c r="B354" s="16"/>
      <c r="C354" s="17"/>
      <c r="D354" s="369"/>
      <c r="E354" s="481"/>
      <c r="F354" s="369"/>
      <c r="G354" s="481"/>
      <c r="H354" s="369"/>
      <c r="I354" s="481"/>
      <c r="J354" s="369"/>
      <c r="K354" s="481"/>
      <c r="L354" s="369"/>
      <c r="M354" s="481"/>
      <c r="N354" s="565"/>
      <c r="O354" s="8">
        <f t="shared" si="17"/>
        <v>0</v>
      </c>
      <c r="P354" s="338"/>
      <c r="Q354" s="28"/>
      <c r="R354" s="10"/>
      <c r="S354" s="63"/>
      <c r="T354" s="63"/>
      <c r="U354" s="63"/>
    </row>
    <row r="355" spans="1:21" x14ac:dyDescent="0.25">
      <c r="A355" s="13"/>
      <c r="B355" s="16"/>
      <c r="C355" s="17"/>
      <c r="D355" s="369"/>
      <c r="E355" s="481"/>
      <c r="F355" s="369"/>
      <c r="G355" s="481"/>
      <c r="H355" s="369"/>
      <c r="I355" s="481"/>
      <c r="J355" s="369"/>
      <c r="K355" s="481"/>
      <c r="L355" s="369"/>
      <c r="M355" s="481"/>
      <c r="N355" s="565"/>
      <c r="O355" s="48"/>
      <c r="P355" s="338"/>
      <c r="Q355" s="28"/>
      <c r="R355" s="10"/>
      <c r="S355" s="125"/>
      <c r="T355" s="125"/>
      <c r="U355" s="125"/>
    </row>
    <row r="356" spans="1:21" x14ac:dyDescent="0.25">
      <c r="A356" s="13"/>
      <c r="B356" s="16"/>
      <c r="C356" s="17"/>
      <c r="D356" s="369"/>
      <c r="E356" s="481"/>
      <c r="F356" s="369"/>
      <c r="G356" s="481"/>
      <c r="H356" s="369"/>
      <c r="I356" s="481"/>
      <c r="J356" s="369"/>
      <c r="K356" s="481"/>
      <c r="L356" s="369"/>
      <c r="M356" s="481"/>
      <c r="N356" s="565"/>
      <c r="O356" s="48"/>
      <c r="P356" s="338"/>
      <c r="Q356" s="28"/>
      <c r="S356" s="125"/>
      <c r="T356" s="125"/>
      <c r="U356" s="125"/>
    </row>
    <row r="357" spans="1:21" x14ac:dyDescent="0.25">
      <c r="A357" s="13"/>
      <c r="B357" s="16"/>
      <c r="C357" s="17"/>
      <c r="D357" s="369"/>
      <c r="E357" s="481"/>
      <c r="F357" s="369"/>
      <c r="G357" s="481"/>
      <c r="H357" s="369"/>
      <c r="I357" s="481"/>
      <c r="J357" s="369"/>
      <c r="K357" s="481"/>
      <c r="L357" s="369"/>
      <c r="M357" s="481"/>
      <c r="N357" s="565"/>
      <c r="O357" s="48"/>
      <c r="P357" s="338"/>
      <c r="Q357" s="28"/>
      <c r="S357" s="125"/>
      <c r="T357" s="125"/>
      <c r="U357" s="125"/>
    </row>
    <row r="358" spans="1:21" x14ac:dyDescent="0.25">
      <c r="A358" s="13"/>
      <c r="B358" s="16"/>
      <c r="C358" s="17"/>
      <c r="D358" s="369"/>
      <c r="E358" s="481"/>
      <c r="F358" s="369"/>
      <c r="G358" s="481"/>
      <c r="H358" s="369"/>
      <c r="I358" s="481"/>
      <c r="J358" s="369"/>
      <c r="K358" s="481"/>
      <c r="L358" s="369"/>
      <c r="M358" s="481"/>
      <c r="N358" s="565"/>
      <c r="O358" s="48"/>
      <c r="P358" s="338"/>
      <c r="Q358" s="28"/>
      <c r="S358" s="125"/>
      <c r="T358" s="125"/>
      <c r="U358" s="125"/>
    </row>
    <row r="359" spans="1:21" x14ac:dyDescent="0.25">
      <c r="A359" s="13"/>
      <c r="B359" s="16"/>
      <c r="C359" s="17"/>
      <c r="D359" s="369"/>
      <c r="E359" s="481"/>
      <c r="F359" s="369"/>
      <c r="G359" s="481"/>
      <c r="H359" s="369"/>
      <c r="I359" s="481"/>
      <c r="J359" s="369"/>
      <c r="K359" s="481"/>
      <c r="L359" s="369"/>
      <c r="M359" s="481"/>
      <c r="N359" s="565"/>
      <c r="O359" s="48"/>
      <c r="P359" s="338"/>
      <c r="Q359" s="28"/>
      <c r="S359" s="125"/>
      <c r="T359" s="125"/>
      <c r="U359" s="125"/>
    </row>
    <row r="360" spans="1:21" x14ac:dyDescent="0.25">
      <c r="A360" s="13"/>
      <c r="B360" s="16"/>
      <c r="C360" s="17"/>
      <c r="D360" s="369"/>
      <c r="E360" s="481"/>
      <c r="F360" s="369"/>
      <c r="G360" s="481"/>
      <c r="H360" s="369"/>
      <c r="I360" s="481"/>
      <c r="J360" s="369"/>
      <c r="K360" s="481"/>
      <c r="L360" s="369"/>
      <c r="M360" s="481"/>
      <c r="N360" s="565"/>
      <c r="O360" s="48"/>
      <c r="P360" s="338"/>
      <c r="Q360" s="28"/>
      <c r="S360" s="125"/>
      <c r="T360" s="125"/>
      <c r="U360" s="125"/>
    </row>
  </sheetData>
  <autoFilter ref="A1:AE28"/>
  <sortState ref="B2:AD27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H229"/>
  <sheetViews>
    <sheetView topLeftCell="A32" zoomScaleNormal="100" workbookViewId="0">
      <selection activeCell="H42" sqref="H42"/>
    </sheetView>
  </sheetViews>
  <sheetFormatPr baseColWidth="10" defaultRowHeight="15" x14ac:dyDescent="0.25"/>
  <cols>
    <col min="1" max="1" width="4.42578125" style="13" customWidth="1"/>
    <col min="2" max="2" width="44.140625" style="13" bestFit="1" customWidth="1"/>
    <col min="3" max="3" width="8.42578125" style="28" customWidth="1"/>
    <col min="4" max="4" width="8.5703125" style="27" bestFit="1" customWidth="1"/>
    <col min="5" max="5" width="7.85546875" style="44" bestFit="1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8" ht="30" x14ac:dyDescent="0.25">
      <c r="A1" s="128" t="s">
        <v>0</v>
      </c>
      <c r="B1" s="128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314" t="s">
        <v>99</v>
      </c>
      <c r="C2" s="415">
        <v>2</v>
      </c>
      <c r="D2" s="10">
        <v>50.03</v>
      </c>
      <c r="E2" s="7">
        <v>68</v>
      </c>
      <c r="F2" s="141">
        <f t="shared" ref="F2:F41" si="0">(E2-D2)/(E2)</f>
        <v>0.2642647058823529</v>
      </c>
      <c r="G2" s="142">
        <f t="shared" ref="G2:G41" si="1">D2*C2</f>
        <v>100.06</v>
      </c>
      <c r="H2" s="143">
        <f t="shared" ref="H2:H41" si="2">E2*C2</f>
        <v>136</v>
      </c>
    </row>
    <row r="3" spans="1:8" x14ac:dyDescent="0.25">
      <c r="A3" s="13">
        <f t="shared" ref="A3:A54" si="3">A2+1</f>
        <v>2</v>
      </c>
      <c r="B3" s="314" t="s">
        <v>1172</v>
      </c>
      <c r="C3" s="340">
        <v>70</v>
      </c>
      <c r="D3" s="10">
        <v>0.76</v>
      </c>
      <c r="E3" s="7">
        <v>1</v>
      </c>
      <c r="F3" s="141">
        <f t="shared" si="0"/>
        <v>0.24</v>
      </c>
      <c r="G3" s="142">
        <f t="shared" si="1"/>
        <v>53.2</v>
      </c>
      <c r="H3" s="143">
        <f t="shared" si="2"/>
        <v>70</v>
      </c>
    </row>
    <row r="4" spans="1:8" x14ac:dyDescent="0.25">
      <c r="A4" s="13">
        <f t="shared" si="3"/>
        <v>3</v>
      </c>
      <c r="B4" s="314" t="s">
        <v>61</v>
      </c>
      <c r="C4" s="340">
        <v>2</v>
      </c>
      <c r="D4" s="15">
        <v>43.46</v>
      </c>
      <c r="E4" s="7">
        <v>59</v>
      </c>
      <c r="F4" s="141">
        <f t="shared" si="0"/>
        <v>0.26338983050847459</v>
      </c>
      <c r="G4" s="142">
        <f t="shared" si="1"/>
        <v>86.92</v>
      </c>
      <c r="H4" s="143">
        <f t="shared" si="2"/>
        <v>118</v>
      </c>
    </row>
    <row r="5" spans="1:8" x14ac:dyDescent="0.25">
      <c r="A5" s="315">
        <f t="shared" si="3"/>
        <v>4</v>
      </c>
      <c r="B5" s="314" t="s">
        <v>83</v>
      </c>
      <c r="C5" s="340">
        <v>2</v>
      </c>
      <c r="D5" s="15">
        <v>59.14</v>
      </c>
      <c r="E5" s="7">
        <v>79</v>
      </c>
      <c r="F5" s="141">
        <f t="shared" si="0"/>
        <v>0.25139240506329114</v>
      </c>
      <c r="G5" s="142">
        <f t="shared" si="1"/>
        <v>118.28</v>
      </c>
      <c r="H5" s="143">
        <f t="shared" si="2"/>
        <v>158</v>
      </c>
    </row>
    <row r="6" spans="1:8" ht="15.75" x14ac:dyDescent="0.25">
      <c r="A6" s="315">
        <f t="shared" si="3"/>
        <v>5</v>
      </c>
      <c r="B6" s="314" t="s">
        <v>64</v>
      </c>
      <c r="C6" s="340">
        <v>4</v>
      </c>
      <c r="D6" s="101">
        <v>7.5</v>
      </c>
      <c r="E6" s="169">
        <v>10</v>
      </c>
      <c r="F6" s="141">
        <f t="shared" si="0"/>
        <v>0.25</v>
      </c>
      <c r="G6" s="142">
        <f t="shared" si="1"/>
        <v>30</v>
      </c>
      <c r="H6" s="143">
        <f t="shared" si="2"/>
        <v>40</v>
      </c>
    </row>
    <row r="7" spans="1:8" x14ac:dyDescent="0.25">
      <c r="A7" s="315">
        <f t="shared" si="3"/>
        <v>6</v>
      </c>
      <c r="B7" s="314" t="s">
        <v>693</v>
      </c>
      <c r="C7" s="340">
        <v>140</v>
      </c>
      <c r="D7" s="15">
        <v>0.91</v>
      </c>
      <c r="E7" s="7">
        <v>1.25</v>
      </c>
      <c r="F7" s="141">
        <f t="shared" si="0"/>
        <v>0.27199999999999996</v>
      </c>
      <c r="G7" s="142">
        <f t="shared" si="1"/>
        <v>127.4</v>
      </c>
      <c r="H7" s="143">
        <f t="shared" si="2"/>
        <v>175</v>
      </c>
    </row>
    <row r="8" spans="1:8" ht="15.75" x14ac:dyDescent="0.25">
      <c r="A8" s="315">
        <f t="shared" si="3"/>
        <v>7</v>
      </c>
      <c r="B8" s="314" t="s">
        <v>395</v>
      </c>
      <c r="C8" s="415">
        <v>2</v>
      </c>
      <c r="D8" s="169">
        <v>35</v>
      </c>
      <c r="E8" s="169">
        <v>46</v>
      </c>
      <c r="F8" s="141">
        <f t="shared" si="0"/>
        <v>0.2391304347826087</v>
      </c>
      <c r="G8" s="142">
        <f t="shared" si="1"/>
        <v>70</v>
      </c>
      <c r="H8" s="143">
        <f t="shared" si="2"/>
        <v>92</v>
      </c>
    </row>
    <row r="9" spans="1:8" x14ac:dyDescent="0.25">
      <c r="A9" s="315">
        <f t="shared" si="3"/>
        <v>8</v>
      </c>
      <c r="B9" s="314" t="s">
        <v>792</v>
      </c>
      <c r="C9" s="415">
        <v>0</v>
      </c>
      <c r="D9" s="10">
        <v>75.3</v>
      </c>
      <c r="E9" s="7">
        <v>105</v>
      </c>
      <c r="F9" s="141">
        <f t="shared" si="0"/>
        <v>0.28285714285714286</v>
      </c>
      <c r="G9" s="142">
        <f t="shared" si="1"/>
        <v>0</v>
      </c>
      <c r="H9" s="143">
        <f t="shared" si="2"/>
        <v>0</v>
      </c>
    </row>
    <row r="10" spans="1:8" x14ac:dyDescent="0.25">
      <c r="A10" s="315">
        <f t="shared" si="3"/>
        <v>9</v>
      </c>
      <c r="B10" s="314" t="s">
        <v>177</v>
      </c>
      <c r="C10" s="340">
        <v>1</v>
      </c>
      <c r="D10" s="10">
        <v>28</v>
      </c>
      <c r="E10" s="7">
        <v>40</v>
      </c>
      <c r="F10" s="141">
        <f t="shared" si="0"/>
        <v>0.3</v>
      </c>
      <c r="G10" s="142">
        <f t="shared" si="1"/>
        <v>28</v>
      </c>
      <c r="H10" s="143">
        <f t="shared" si="2"/>
        <v>40</v>
      </c>
    </row>
    <row r="11" spans="1:8" x14ac:dyDescent="0.25">
      <c r="A11" s="315">
        <f t="shared" si="3"/>
        <v>10</v>
      </c>
      <c r="B11" s="314" t="s">
        <v>100</v>
      </c>
      <c r="C11" s="340">
        <v>1</v>
      </c>
      <c r="D11" s="15">
        <v>40.799999999999997</v>
      </c>
      <c r="E11" s="7">
        <v>55</v>
      </c>
      <c r="F11" s="141">
        <f t="shared" si="0"/>
        <v>0.25818181818181823</v>
      </c>
      <c r="G11" s="142">
        <f t="shared" si="1"/>
        <v>40.799999999999997</v>
      </c>
      <c r="H11" s="143">
        <f t="shared" si="2"/>
        <v>55</v>
      </c>
    </row>
    <row r="12" spans="1:8" ht="15.75" x14ac:dyDescent="0.25">
      <c r="A12" s="315">
        <f t="shared" si="3"/>
        <v>11</v>
      </c>
      <c r="B12" s="314" t="s">
        <v>244</v>
      </c>
      <c r="C12" s="415">
        <v>2</v>
      </c>
      <c r="D12" s="101">
        <v>16.5</v>
      </c>
      <c r="E12" s="169">
        <v>22</v>
      </c>
      <c r="F12" s="141">
        <f t="shared" si="0"/>
        <v>0.25</v>
      </c>
      <c r="G12" s="142">
        <f t="shared" si="1"/>
        <v>33</v>
      </c>
      <c r="H12" s="143">
        <f t="shared" si="2"/>
        <v>44</v>
      </c>
    </row>
    <row r="13" spans="1:8" ht="15.75" x14ac:dyDescent="0.25">
      <c r="A13" s="315">
        <f t="shared" si="3"/>
        <v>12</v>
      </c>
      <c r="B13" s="314" t="s">
        <v>243</v>
      </c>
      <c r="C13" s="415">
        <v>0</v>
      </c>
      <c r="D13" s="101">
        <v>16.5</v>
      </c>
      <c r="E13" s="169">
        <v>22</v>
      </c>
      <c r="F13" s="141">
        <f t="shared" si="0"/>
        <v>0.25</v>
      </c>
      <c r="G13" s="142">
        <f t="shared" si="1"/>
        <v>0</v>
      </c>
      <c r="H13" s="143">
        <f t="shared" si="2"/>
        <v>0</v>
      </c>
    </row>
    <row r="14" spans="1:8" x14ac:dyDescent="0.25">
      <c r="A14" s="315">
        <f t="shared" si="3"/>
        <v>13</v>
      </c>
      <c r="B14" s="314" t="s">
        <v>869</v>
      </c>
      <c r="C14" s="415">
        <v>2</v>
      </c>
      <c r="D14" s="15">
        <v>16.5</v>
      </c>
      <c r="E14" s="7">
        <v>22</v>
      </c>
      <c r="F14" s="141">
        <f t="shared" si="0"/>
        <v>0.25</v>
      </c>
      <c r="G14" s="142">
        <f t="shared" si="1"/>
        <v>33</v>
      </c>
      <c r="H14" s="143">
        <f t="shared" si="2"/>
        <v>44</v>
      </c>
    </row>
    <row r="15" spans="1:8" ht="15.75" x14ac:dyDescent="0.25">
      <c r="A15" s="315">
        <f t="shared" si="3"/>
        <v>14</v>
      </c>
      <c r="B15" s="314" t="s">
        <v>245</v>
      </c>
      <c r="C15" s="415">
        <v>2</v>
      </c>
      <c r="D15" s="101">
        <v>16.5</v>
      </c>
      <c r="E15" s="169">
        <v>22</v>
      </c>
      <c r="F15" s="141">
        <f t="shared" si="0"/>
        <v>0.25</v>
      </c>
      <c r="G15" s="142">
        <f t="shared" si="1"/>
        <v>33</v>
      </c>
      <c r="H15" s="143">
        <f t="shared" si="2"/>
        <v>44</v>
      </c>
    </row>
    <row r="16" spans="1:8" ht="15.75" x14ac:dyDescent="0.25">
      <c r="A16" s="315">
        <f t="shared" si="3"/>
        <v>15</v>
      </c>
      <c r="B16" s="314" t="s">
        <v>242</v>
      </c>
      <c r="C16" s="415">
        <v>2</v>
      </c>
      <c r="D16" s="101">
        <v>16.5</v>
      </c>
      <c r="E16" s="169">
        <v>22</v>
      </c>
      <c r="F16" s="141">
        <f t="shared" si="0"/>
        <v>0.25</v>
      </c>
      <c r="G16" s="142">
        <f t="shared" si="1"/>
        <v>33</v>
      </c>
      <c r="H16" s="143">
        <f t="shared" si="2"/>
        <v>44</v>
      </c>
    </row>
    <row r="17" spans="1:8" ht="15.75" x14ac:dyDescent="0.25">
      <c r="A17" s="315">
        <f t="shared" si="3"/>
        <v>16</v>
      </c>
      <c r="B17" s="314" t="s">
        <v>870</v>
      </c>
      <c r="C17" s="415">
        <v>0</v>
      </c>
      <c r="D17" s="101">
        <v>16.5</v>
      </c>
      <c r="E17" s="169">
        <v>22</v>
      </c>
      <c r="F17" s="141">
        <f t="shared" si="0"/>
        <v>0.25</v>
      </c>
      <c r="G17" s="142">
        <f t="shared" si="1"/>
        <v>0</v>
      </c>
      <c r="H17" s="143">
        <f t="shared" si="2"/>
        <v>0</v>
      </c>
    </row>
    <row r="18" spans="1:8" x14ac:dyDescent="0.25">
      <c r="A18" s="315">
        <f t="shared" si="3"/>
        <v>17</v>
      </c>
      <c r="B18" s="314" t="s">
        <v>329</v>
      </c>
      <c r="C18" s="340">
        <v>1</v>
      </c>
      <c r="D18" s="15">
        <v>50.71</v>
      </c>
      <c r="E18" s="7">
        <v>72</v>
      </c>
      <c r="F18" s="141">
        <f t="shared" si="0"/>
        <v>0.29569444444444443</v>
      </c>
      <c r="G18" s="142">
        <f t="shared" si="1"/>
        <v>50.71</v>
      </c>
      <c r="H18" s="143">
        <f t="shared" si="2"/>
        <v>72</v>
      </c>
    </row>
    <row r="19" spans="1:8" x14ac:dyDescent="0.25">
      <c r="A19" s="315">
        <f t="shared" si="3"/>
        <v>18</v>
      </c>
      <c r="B19" s="314" t="s">
        <v>211</v>
      </c>
      <c r="C19" s="340">
        <v>2</v>
      </c>
      <c r="D19" s="15">
        <v>29.47</v>
      </c>
      <c r="E19" s="7">
        <v>38</v>
      </c>
      <c r="F19" s="141">
        <f t="shared" si="0"/>
        <v>0.22447368421052635</v>
      </c>
      <c r="G19" s="142">
        <f t="shared" si="1"/>
        <v>58.94</v>
      </c>
      <c r="H19" s="143">
        <f t="shared" si="2"/>
        <v>76</v>
      </c>
    </row>
    <row r="20" spans="1:8" x14ac:dyDescent="0.25">
      <c r="A20" s="315">
        <f t="shared" si="3"/>
        <v>19</v>
      </c>
      <c r="B20" s="314" t="s">
        <v>21</v>
      </c>
      <c r="C20" s="340">
        <v>4</v>
      </c>
      <c r="D20" s="15">
        <v>16.5</v>
      </c>
      <c r="E20" s="7">
        <v>22</v>
      </c>
      <c r="F20" s="141">
        <f t="shared" si="0"/>
        <v>0.25</v>
      </c>
      <c r="G20" s="142">
        <f t="shared" si="1"/>
        <v>66</v>
      </c>
      <c r="H20" s="143">
        <f t="shared" si="2"/>
        <v>88</v>
      </c>
    </row>
    <row r="21" spans="1:8" x14ac:dyDescent="0.25">
      <c r="A21" s="315">
        <f t="shared" si="3"/>
        <v>20</v>
      </c>
      <c r="B21" s="314" t="s">
        <v>680</v>
      </c>
      <c r="C21" s="340">
        <v>1</v>
      </c>
      <c r="D21" s="15">
        <v>16.5</v>
      </c>
      <c r="E21" s="7">
        <v>22</v>
      </c>
      <c r="F21" s="141">
        <f t="shared" si="0"/>
        <v>0.25</v>
      </c>
      <c r="G21" s="142">
        <f t="shared" si="1"/>
        <v>16.5</v>
      </c>
      <c r="H21" s="143">
        <f t="shared" si="2"/>
        <v>22</v>
      </c>
    </row>
    <row r="22" spans="1:8" x14ac:dyDescent="0.25">
      <c r="A22" s="315">
        <f t="shared" si="3"/>
        <v>21</v>
      </c>
      <c r="B22" s="314" t="s">
        <v>22</v>
      </c>
      <c r="C22" s="340">
        <v>2</v>
      </c>
      <c r="D22" s="15">
        <v>16.5</v>
      </c>
      <c r="E22" s="7">
        <v>22</v>
      </c>
      <c r="F22" s="141">
        <f t="shared" si="0"/>
        <v>0.25</v>
      </c>
      <c r="G22" s="142">
        <f t="shared" si="1"/>
        <v>33</v>
      </c>
      <c r="H22" s="143">
        <f t="shared" si="2"/>
        <v>44</v>
      </c>
    </row>
    <row r="23" spans="1:8" x14ac:dyDescent="0.25">
      <c r="A23" s="315">
        <f t="shared" si="3"/>
        <v>22</v>
      </c>
      <c r="B23" s="314" t="s">
        <v>679</v>
      </c>
      <c r="C23" s="340">
        <v>1</v>
      </c>
      <c r="D23" s="15">
        <v>16.5</v>
      </c>
      <c r="E23" s="7">
        <v>22</v>
      </c>
      <c r="F23" s="141">
        <f t="shared" si="0"/>
        <v>0.25</v>
      </c>
      <c r="G23" s="142">
        <f t="shared" si="1"/>
        <v>16.5</v>
      </c>
      <c r="H23" s="143">
        <f t="shared" si="2"/>
        <v>22</v>
      </c>
    </row>
    <row r="24" spans="1:8" x14ac:dyDescent="0.25">
      <c r="A24" s="315">
        <f t="shared" si="3"/>
        <v>23</v>
      </c>
      <c r="B24" s="105" t="s">
        <v>839</v>
      </c>
      <c r="C24" s="195">
        <v>2</v>
      </c>
      <c r="D24" s="27">
        <v>7.5</v>
      </c>
      <c r="E24" s="44">
        <v>10</v>
      </c>
      <c r="F24" s="141">
        <f t="shared" si="0"/>
        <v>0.25</v>
      </c>
      <c r="G24" s="142">
        <f t="shared" si="1"/>
        <v>15</v>
      </c>
      <c r="H24" s="143">
        <f t="shared" si="2"/>
        <v>20</v>
      </c>
    </row>
    <row r="25" spans="1:8" x14ac:dyDescent="0.25">
      <c r="A25" s="315">
        <f t="shared" si="3"/>
        <v>24</v>
      </c>
      <c r="B25" s="314" t="s">
        <v>1174</v>
      </c>
      <c r="C25" s="340">
        <v>21</v>
      </c>
      <c r="D25" s="15">
        <v>4.9000000000000004</v>
      </c>
      <c r="E25" s="7">
        <v>6.5</v>
      </c>
      <c r="F25" s="141">
        <f t="shared" si="0"/>
        <v>0.24615384615384611</v>
      </c>
      <c r="G25" s="142">
        <f t="shared" si="1"/>
        <v>102.9</v>
      </c>
      <c r="H25" s="143">
        <f t="shared" si="2"/>
        <v>136.5</v>
      </c>
    </row>
    <row r="26" spans="1:8" x14ac:dyDescent="0.25">
      <c r="A26" s="315">
        <f t="shared" si="3"/>
        <v>25</v>
      </c>
      <c r="B26" s="314" t="s">
        <v>91</v>
      </c>
      <c r="C26" s="340">
        <v>1</v>
      </c>
      <c r="D26" s="15">
        <v>66</v>
      </c>
      <c r="E26" s="7">
        <v>89</v>
      </c>
      <c r="F26" s="141">
        <f t="shared" si="0"/>
        <v>0.25842696629213485</v>
      </c>
      <c r="G26" s="142">
        <f t="shared" si="1"/>
        <v>66</v>
      </c>
      <c r="H26" s="143">
        <f t="shared" si="2"/>
        <v>89</v>
      </c>
    </row>
    <row r="27" spans="1:8" x14ac:dyDescent="0.25">
      <c r="A27" s="315">
        <f t="shared" si="3"/>
        <v>26</v>
      </c>
      <c r="B27" s="314" t="s">
        <v>879</v>
      </c>
      <c r="C27" s="340">
        <v>1</v>
      </c>
      <c r="D27" s="15">
        <v>217.64</v>
      </c>
      <c r="E27" s="7">
        <v>290</v>
      </c>
      <c r="F27" s="141">
        <f t="shared" si="0"/>
        <v>0.24951724137931039</v>
      </c>
      <c r="G27" s="142">
        <f t="shared" si="1"/>
        <v>217.64</v>
      </c>
      <c r="H27" s="143">
        <f t="shared" si="2"/>
        <v>290</v>
      </c>
    </row>
    <row r="28" spans="1:8" x14ac:dyDescent="0.25">
      <c r="A28" s="315">
        <f t="shared" si="3"/>
        <v>27</v>
      </c>
      <c r="B28" s="314" t="s">
        <v>716</v>
      </c>
      <c r="C28" s="658">
        <v>1</v>
      </c>
      <c r="D28" s="15">
        <v>27</v>
      </c>
      <c r="E28" s="7">
        <v>37</v>
      </c>
      <c r="F28" s="141">
        <f t="shared" si="0"/>
        <v>0.27027027027027029</v>
      </c>
      <c r="G28" s="142">
        <f t="shared" si="1"/>
        <v>27</v>
      </c>
      <c r="H28" s="143">
        <f t="shared" si="2"/>
        <v>37</v>
      </c>
    </row>
    <row r="29" spans="1:8" ht="15.75" x14ac:dyDescent="0.25">
      <c r="A29" s="315">
        <f t="shared" si="3"/>
        <v>28</v>
      </c>
      <c r="B29" s="314" t="s">
        <v>979</v>
      </c>
      <c r="C29" s="280">
        <v>2</v>
      </c>
      <c r="D29" s="101">
        <v>22.08</v>
      </c>
      <c r="E29" s="169">
        <v>29</v>
      </c>
      <c r="F29" s="141">
        <f t="shared" si="0"/>
        <v>0.23862068965517247</v>
      </c>
      <c r="G29" s="142">
        <f t="shared" si="1"/>
        <v>44.16</v>
      </c>
      <c r="H29" s="143">
        <f t="shared" si="2"/>
        <v>58</v>
      </c>
    </row>
    <row r="30" spans="1:8" x14ac:dyDescent="0.25">
      <c r="A30" s="315">
        <f t="shared" si="3"/>
        <v>29</v>
      </c>
      <c r="B30" s="314" t="s">
        <v>945</v>
      </c>
      <c r="C30" s="340">
        <v>0</v>
      </c>
      <c r="D30" s="15">
        <v>0</v>
      </c>
      <c r="E30" s="7">
        <v>0</v>
      </c>
      <c r="F30" s="141" t="e">
        <f t="shared" si="0"/>
        <v>#DIV/0!</v>
      </c>
      <c r="G30" s="142">
        <f t="shared" si="1"/>
        <v>0</v>
      </c>
      <c r="H30" s="143">
        <f t="shared" si="2"/>
        <v>0</v>
      </c>
    </row>
    <row r="31" spans="1:8" x14ac:dyDescent="0.25">
      <c r="A31" s="315">
        <f t="shared" si="3"/>
        <v>30</v>
      </c>
      <c r="B31" s="314" t="s">
        <v>281</v>
      </c>
      <c r="C31" s="340">
        <v>0</v>
      </c>
      <c r="D31" s="10">
        <v>22.75</v>
      </c>
      <c r="E31" s="7">
        <v>35</v>
      </c>
      <c r="F31" s="141">
        <f t="shared" si="0"/>
        <v>0.35</v>
      </c>
      <c r="G31" s="142">
        <f t="shared" si="1"/>
        <v>0</v>
      </c>
      <c r="H31" s="143">
        <f t="shared" si="2"/>
        <v>0</v>
      </c>
    </row>
    <row r="32" spans="1:8" x14ac:dyDescent="0.25">
      <c r="A32" s="315">
        <f t="shared" si="3"/>
        <v>31</v>
      </c>
      <c r="B32" s="314" t="s">
        <v>530</v>
      </c>
      <c r="C32" s="340">
        <v>0</v>
      </c>
      <c r="D32" s="15">
        <v>4.1500000000000004</v>
      </c>
      <c r="E32" s="7">
        <v>6</v>
      </c>
      <c r="F32" s="141">
        <f t="shared" si="0"/>
        <v>0.30833333333333329</v>
      </c>
      <c r="G32" s="142">
        <f t="shared" si="1"/>
        <v>0</v>
      </c>
      <c r="H32" s="143">
        <f t="shared" si="2"/>
        <v>0</v>
      </c>
    </row>
    <row r="33" spans="1:8" x14ac:dyDescent="0.25">
      <c r="A33" s="315">
        <f t="shared" si="3"/>
        <v>32</v>
      </c>
      <c r="B33" s="314" t="s">
        <v>46</v>
      </c>
      <c r="C33" s="340">
        <v>1</v>
      </c>
      <c r="D33" s="15">
        <v>27</v>
      </c>
      <c r="E33" s="7">
        <v>35</v>
      </c>
      <c r="F33" s="141">
        <f t="shared" si="0"/>
        <v>0.22857142857142856</v>
      </c>
      <c r="G33" s="142">
        <f t="shared" si="1"/>
        <v>27</v>
      </c>
      <c r="H33" s="143">
        <f t="shared" si="2"/>
        <v>35</v>
      </c>
    </row>
    <row r="34" spans="1:8" x14ac:dyDescent="0.25">
      <c r="A34" s="315">
        <f t="shared" si="3"/>
        <v>33</v>
      </c>
      <c r="B34" s="314" t="s">
        <v>321</v>
      </c>
      <c r="C34" s="340">
        <v>1</v>
      </c>
      <c r="D34" s="15">
        <v>52</v>
      </c>
      <c r="E34" s="7">
        <v>69</v>
      </c>
      <c r="F34" s="141">
        <f t="shared" si="0"/>
        <v>0.24637681159420291</v>
      </c>
      <c r="G34" s="142">
        <f t="shared" si="1"/>
        <v>52</v>
      </c>
      <c r="H34" s="143">
        <f t="shared" si="2"/>
        <v>69</v>
      </c>
    </row>
    <row r="35" spans="1:8" x14ac:dyDescent="0.25">
      <c r="A35" s="315">
        <f t="shared" si="3"/>
        <v>34</v>
      </c>
      <c r="B35" s="105" t="s">
        <v>838</v>
      </c>
      <c r="C35" s="195">
        <v>0</v>
      </c>
      <c r="D35" s="27">
        <v>8</v>
      </c>
      <c r="E35" s="44">
        <v>11</v>
      </c>
      <c r="F35" s="141">
        <f t="shared" si="0"/>
        <v>0.27272727272727271</v>
      </c>
      <c r="G35" s="142">
        <f t="shared" si="1"/>
        <v>0</v>
      </c>
      <c r="H35" s="143">
        <f t="shared" si="2"/>
        <v>0</v>
      </c>
    </row>
    <row r="36" spans="1:8" ht="15.75" x14ac:dyDescent="0.25">
      <c r="A36" s="315">
        <f t="shared" si="3"/>
        <v>35</v>
      </c>
      <c r="B36" s="314" t="s">
        <v>496</v>
      </c>
      <c r="C36" s="340">
        <v>1</v>
      </c>
      <c r="D36" s="101">
        <v>49.2</v>
      </c>
      <c r="E36" s="133">
        <v>65</v>
      </c>
      <c r="F36" s="141">
        <f t="shared" si="0"/>
        <v>0.24307692307692302</v>
      </c>
      <c r="G36" s="142">
        <f t="shared" si="1"/>
        <v>49.2</v>
      </c>
      <c r="H36" s="143">
        <f t="shared" si="2"/>
        <v>65</v>
      </c>
    </row>
    <row r="37" spans="1:8" ht="15.75" x14ac:dyDescent="0.25">
      <c r="A37" s="315">
        <f t="shared" si="3"/>
        <v>36</v>
      </c>
      <c r="B37" s="314" t="s">
        <v>397</v>
      </c>
      <c r="C37" s="340">
        <v>0</v>
      </c>
      <c r="D37" s="169">
        <v>8.6</v>
      </c>
      <c r="E37" s="133">
        <v>13</v>
      </c>
      <c r="F37" s="141">
        <f t="shared" si="0"/>
        <v>0.33846153846153848</v>
      </c>
      <c r="G37" s="142">
        <f t="shared" si="1"/>
        <v>0</v>
      </c>
      <c r="H37" s="143">
        <f t="shared" si="2"/>
        <v>0</v>
      </c>
    </row>
    <row r="38" spans="1:8" ht="15.75" x14ac:dyDescent="0.25">
      <c r="A38" s="315">
        <f t="shared" si="3"/>
        <v>37</v>
      </c>
      <c r="B38" s="314" t="s">
        <v>398</v>
      </c>
      <c r="C38" s="340">
        <v>3</v>
      </c>
      <c r="D38" s="169">
        <v>7.67</v>
      </c>
      <c r="E38" s="133">
        <v>11</v>
      </c>
      <c r="F38" s="141">
        <f t="shared" si="0"/>
        <v>0.30272727272727273</v>
      </c>
      <c r="G38" s="142">
        <f t="shared" si="1"/>
        <v>23.009999999999998</v>
      </c>
      <c r="H38" s="143">
        <f t="shared" si="2"/>
        <v>33</v>
      </c>
    </row>
    <row r="39" spans="1:8" x14ac:dyDescent="0.25">
      <c r="A39" s="315">
        <f t="shared" si="3"/>
        <v>38</v>
      </c>
      <c r="B39" s="314" t="s">
        <v>155</v>
      </c>
      <c r="C39" s="340">
        <v>4</v>
      </c>
      <c r="D39" s="10">
        <v>17.920000000000002</v>
      </c>
      <c r="E39" s="7">
        <v>25</v>
      </c>
      <c r="F39" s="141">
        <f t="shared" si="0"/>
        <v>0.28319999999999995</v>
      </c>
      <c r="G39" s="142">
        <f t="shared" si="1"/>
        <v>71.680000000000007</v>
      </c>
      <c r="H39" s="143">
        <f t="shared" si="2"/>
        <v>100</v>
      </c>
    </row>
    <row r="40" spans="1:8" x14ac:dyDescent="0.25">
      <c r="A40" s="315">
        <f t="shared" si="3"/>
        <v>39</v>
      </c>
      <c r="B40" s="314" t="s">
        <v>1191</v>
      </c>
      <c r="C40" s="340">
        <v>140</v>
      </c>
      <c r="D40" s="10">
        <v>1.08</v>
      </c>
      <c r="E40" s="7">
        <v>1.5</v>
      </c>
      <c r="F40" s="141">
        <f t="shared" si="0"/>
        <v>0.27999999999999997</v>
      </c>
      <c r="G40" s="142">
        <f t="shared" si="1"/>
        <v>151.20000000000002</v>
      </c>
      <c r="H40" s="143">
        <f t="shared" si="2"/>
        <v>210</v>
      </c>
    </row>
    <row r="41" spans="1:8" x14ac:dyDescent="0.25">
      <c r="A41" s="315">
        <f t="shared" si="3"/>
        <v>40</v>
      </c>
      <c r="B41" s="314" t="s">
        <v>342</v>
      </c>
      <c r="C41" s="340">
        <v>1</v>
      </c>
      <c r="D41" s="15">
        <v>45.4</v>
      </c>
      <c r="E41" s="7">
        <v>59</v>
      </c>
      <c r="F41" s="141">
        <f t="shared" si="0"/>
        <v>0.23050847457627122</v>
      </c>
      <c r="G41" s="142">
        <f t="shared" si="1"/>
        <v>45.4</v>
      </c>
      <c r="H41" s="143">
        <f t="shared" si="2"/>
        <v>59</v>
      </c>
    </row>
    <row r="42" spans="1:8" x14ac:dyDescent="0.25">
      <c r="A42" s="315">
        <f t="shared" si="3"/>
        <v>41</v>
      </c>
      <c r="B42" s="3"/>
      <c r="C42" s="340">
        <v>0</v>
      </c>
      <c r="D42" s="15"/>
      <c r="E42" s="7"/>
      <c r="G42" s="30">
        <f>SUM(G2:G41)</f>
        <v>1920.5000000000002</v>
      </c>
      <c r="H42" s="25">
        <f>SUM(H2:H41)</f>
        <v>2585.5</v>
      </c>
    </row>
    <row r="43" spans="1:8" x14ac:dyDescent="0.25">
      <c r="A43" s="315">
        <f t="shared" si="3"/>
        <v>42</v>
      </c>
      <c r="B43" s="3"/>
      <c r="C43" s="340">
        <v>0</v>
      </c>
      <c r="D43" s="15"/>
      <c r="E43" s="7"/>
      <c r="G43" s="30"/>
      <c r="H43" s="25"/>
    </row>
    <row r="44" spans="1:8" x14ac:dyDescent="0.25">
      <c r="A44" s="315">
        <f t="shared" si="3"/>
        <v>43</v>
      </c>
      <c r="B44" s="3"/>
      <c r="C44" s="340"/>
      <c r="D44" s="15"/>
      <c r="E44" s="7"/>
      <c r="G44" s="30"/>
      <c r="H44" s="25">
        <f>H42-G42</f>
        <v>664.99999999999977</v>
      </c>
    </row>
    <row r="45" spans="1:8" x14ac:dyDescent="0.25">
      <c r="A45" s="315">
        <f t="shared" si="3"/>
        <v>44</v>
      </c>
      <c r="B45" s="3"/>
      <c r="C45" s="340"/>
      <c r="D45" s="15"/>
      <c r="E45" s="7"/>
      <c r="G45" s="30"/>
      <c r="H45" s="25"/>
    </row>
    <row r="46" spans="1:8" x14ac:dyDescent="0.25">
      <c r="A46" s="315">
        <f t="shared" si="3"/>
        <v>45</v>
      </c>
      <c r="B46" s="3"/>
      <c r="C46" s="340"/>
      <c r="D46" s="15"/>
      <c r="E46" s="7"/>
      <c r="G46" s="30"/>
      <c r="H46" s="98">
        <f>H44/H42</f>
        <v>0.25720363566041377</v>
      </c>
    </row>
    <row r="47" spans="1:8" x14ac:dyDescent="0.25">
      <c r="A47" s="315">
        <f t="shared" si="3"/>
        <v>46</v>
      </c>
      <c r="B47" s="3"/>
      <c r="C47" s="340"/>
      <c r="D47" s="15"/>
      <c r="E47" s="7"/>
      <c r="G47" s="30"/>
      <c r="H47" s="25"/>
    </row>
    <row r="48" spans="1:8" x14ac:dyDescent="0.25">
      <c r="A48" s="315">
        <f t="shared" si="3"/>
        <v>47</v>
      </c>
      <c r="B48" s="3"/>
      <c r="C48" s="340"/>
      <c r="D48" s="15"/>
      <c r="E48" s="7"/>
      <c r="G48" s="30"/>
      <c r="H48" s="25"/>
    </row>
    <row r="49" spans="1:8" x14ac:dyDescent="0.25">
      <c r="A49" s="315">
        <f t="shared" si="3"/>
        <v>48</v>
      </c>
      <c r="B49" s="3"/>
      <c r="C49" s="340"/>
      <c r="D49" s="15"/>
      <c r="E49" s="7"/>
      <c r="G49" s="30"/>
      <c r="H49" s="25"/>
    </row>
    <row r="50" spans="1:8" x14ac:dyDescent="0.25">
      <c r="A50" s="315">
        <f t="shared" si="3"/>
        <v>49</v>
      </c>
      <c r="B50" s="3"/>
      <c r="C50" s="9"/>
      <c r="D50" s="15"/>
      <c r="E50" s="7"/>
      <c r="G50" s="30"/>
      <c r="H50" s="25"/>
    </row>
    <row r="51" spans="1:8" x14ac:dyDescent="0.25">
      <c r="A51" s="315">
        <f t="shared" si="3"/>
        <v>50</v>
      </c>
      <c r="B51" s="3"/>
      <c r="C51" s="9"/>
      <c r="D51" s="15"/>
      <c r="E51" s="7"/>
      <c r="G51" s="30"/>
      <c r="H51" s="25"/>
    </row>
    <row r="52" spans="1:8" x14ac:dyDescent="0.25">
      <c r="A52" s="315">
        <f t="shared" si="3"/>
        <v>51</v>
      </c>
      <c r="B52" s="3"/>
      <c r="C52" s="9"/>
      <c r="D52" s="15"/>
      <c r="E52" s="7"/>
      <c r="G52" s="30"/>
      <c r="H52" s="25"/>
    </row>
    <row r="53" spans="1:8" x14ac:dyDescent="0.25">
      <c r="A53" s="315">
        <f t="shared" si="3"/>
        <v>52</v>
      </c>
      <c r="B53" s="3"/>
      <c r="C53" s="9"/>
      <c r="D53" s="15"/>
      <c r="E53" s="7"/>
      <c r="G53" s="30"/>
      <c r="H53" s="25"/>
    </row>
    <row r="54" spans="1:8" x14ac:dyDescent="0.25">
      <c r="A54" s="315">
        <f t="shared" si="3"/>
        <v>53</v>
      </c>
      <c r="B54" s="3"/>
      <c r="C54" s="9"/>
      <c r="D54" s="15"/>
      <c r="E54" s="7"/>
      <c r="G54" s="30"/>
      <c r="H54" s="25"/>
    </row>
    <row r="55" spans="1:8" x14ac:dyDescent="0.25">
      <c r="B55" s="3"/>
      <c r="C55" s="8"/>
      <c r="D55" s="15"/>
      <c r="E55" s="7"/>
      <c r="G55" s="30"/>
      <c r="H55" s="25"/>
    </row>
    <row r="56" spans="1:8" x14ac:dyDescent="0.25">
      <c r="B56" s="3"/>
      <c r="C56" s="9"/>
      <c r="D56" s="15"/>
      <c r="E56" s="7"/>
      <c r="G56" s="30"/>
      <c r="H56" s="25"/>
    </row>
    <row r="57" spans="1:8" x14ac:dyDescent="0.25">
      <c r="B57" s="3"/>
      <c r="C57" s="8"/>
      <c r="D57" s="15"/>
      <c r="E57" s="7"/>
      <c r="G57" s="30"/>
      <c r="H57" s="25"/>
    </row>
    <row r="58" spans="1:8" x14ac:dyDescent="0.25">
      <c r="B58" s="3"/>
      <c r="C58" s="9"/>
      <c r="D58" s="15"/>
      <c r="E58" s="7"/>
      <c r="G58" s="30"/>
      <c r="H58" s="25"/>
    </row>
    <row r="59" spans="1:8" x14ac:dyDescent="0.25">
      <c r="B59" s="3"/>
      <c r="C59" s="9"/>
      <c r="D59" s="15"/>
      <c r="E59" s="7"/>
      <c r="G59" s="30"/>
      <c r="H59" s="25"/>
    </row>
    <row r="60" spans="1:8" x14ac:dyDescent="0.25">
      <c r="B60" s="3"/>
      <c r="C60" s="9"/>
      <c r="D60" s="15"/>
      <c r="E60" s="7"/>
      <c r="G60" s="30"/>
      <c r="H60" s="25"/>
    </row>
    <row r="61" spans="1:8" x14ac:dyDescent="0.25">
      <c r="B61" s="3"/>
      <c r="C61" s="9"/>
      <c r="D61" s="15"/>
      <c r="E61" s="7"/>
      <c r="G61" s="30"/>
      <c r="H61" s="25"/>
    </row>
    <row r="62" spans="1:8" x14ac:dyDescent="0.25">
      <c r="B62" s="3"/>
      <c r="C62" s="9"/>
      <c r="D62" s="15"/>
      <c r="E62" s="7"/>
      <c r="G62" s="30"/>
      <c r="H62" s="25"/>
    </row>
    <row r="63" spans="1:8" x14ac:dyDescent="0.25">
      <c r="B63" s="3"/>
      <c r="C63" s="8"/>
      <c r="D63" s="15"/>
      <c r="E63" s="7"/>
      <c r="G63" s="30"/>
      <c r="H63" s="25"/>
    </row>
    <row r="64" spans="1:8" x14ac:dyDescent="0.25">
      <c r="B64" s="3"/>
      <c r="C64" s="9"/>
      <c r="D64" s="15"/>
      <c r="E64" s="7"/>
      <c r="G64" s="30"/>
      <c r="H64" s="25"/>
    </row>
    <row r="65" spans="2:8" x14ac:dyDescent="0.25">
      <c r="B65" s="3"/>
      <c r="C65" s="8"/>
      <c r="D65" s="15"/>
      <c r="E65" s="7"/>
      <c r="G65" s="30"/>
      <c r="H65" s="25"/>
    </row>
    <row r="66" spans="2:8" x14ac:dyDescent="0.25">
      <c r="B66" s="3"/>
      <c r="C66" s="9"/>
      <c r="D66" s="15"/>
      <c r="E66" s="7"/>
      <c r="G66" s="30"/>
      <c r="H66" s="25"/>
    </row>
    <row r="67" spans="2:8" x14ac:dyDescent="0.25">
      <c r="B67" s="3"/>
      <c r="C67" s="9"/>
      <c r="D67" s="15"/>
      <c r="E67" s="7"/>
      <c r="G67" s="30"/>
      <c r="H67" s="25"/>
    </row>
    <row r="68" spans="2:8" x14ac:dyDescent="0.25">
      <c r="B68" s="3"/>
      <c r="C68" s="9"/>
      <c r="D68" s="15"/>
      <c r="E68" s="7"/>
      <c r="G68" s="30"/>
      <c r="H68" s="25"/>
    </row>
    <row r="69" spans="2:8" x14ac:dyDescent="0.25">
      <c r="B69" s="3"/>
      <c r="C69" s="8"/>
      <c r="D69" s="15"/>
      <c r="E69" s="7"/>
      <c r="G69" s="30"/>
      <c r="H69" s="25"/>
    </row>
    <row r="70" spans="2:8" x14ac:dyDescent="0.25">
      <c r="B70" s="3"/>
      <c r="C70" s="9"/>
      <c r="D70" s="15"/>
      <c r="E70" s="7"/>
      <c r="G70" s="30"/>
      <c r="H70" s="25"/>
    </row>
    <row r="71" spans="2:8" x14ac:dyDescent="0.25">
      <c r="B71" s="3"/>
      <c r="C71" s="9"/>
      <c r="D71" s="15"/>
      <c r="E71" s="7"/>
      <c r="G71" s="30"/>
      <c r="H71" s="25"/>
    </row>
    <row r="72" spans="2:8" x14ac:dyDescent="0.25">
      <c r="B72" s="3"/>
      <c r="C72" s="9"/>
      <c r="D72" s="15"/>
      <c r="E72" s="7"/>
      <c r="G72" s="30"/>
      <c r="H72" s="25"/>
    </row>
    <row r="73" spans="2:8" x14ac:dyDescent="0.25">
      <c r="B73" s="3"/>
      <c r="C73" s="9"/>
      <c r="D73" s="15"/>
      <c r="E73" s="7"/>
      <c r="G73" s="30"/>
      <c r="H73" s="25"/>
    </row>
    <row r="74" spans="2:8" x14ac:dyDescent="0.25">
      <c r="B74" s="3"/>
      <c r="C74" s="8"/>
      <c r="D74" s="15"/>
      <c r="E74" s="7"/>
      <c r="G74" s="30"/>
      <c r="H74" s="25"/>
    </row>
    <row r="75" spans="2:8" x14ac:dyDescent="0.25">
      <c r="B75" s="3"/>
      <c r="C75" s="9"/>
      <c r="D75" s="15"/>
      <c r="E75" s="7"/>
      <c r="G75" s="30"/>
      <c r="H75" s="25"/>
    </row>
    <row r="76" spans="2:8" x14ac:dyDescent="0.25">
      <c r="B76" s="3"/>
      <c r="C76" s="9"/>
      <c r="D76" s="15"/>
      <c r="E76" s="7"/>
      <c r="G76" s="30"/>
      <c r="H76" s="25"/>
    </row>
    <row r="77" spans="2:8" x14ac:dyDescent="0.25">
      <c r="B77" s="3"/>
      <c r="C77" s="8"/>
      <c r="D77" s="15"/>
      <c r="E77" s="7"/>
      <c r="G77" s="30"/>
      <c r="H77" s="25"/>
    </row>
    <row r="78" spans="2:8" x14ac:dyDescent="0.25">
      <c r="B78" s="3"/>
      <c r="C78" s="8"/>
      <c r="D78" s="15"/>
      <c r="E78" s="7"/>
      <c r="G78" s="30"/>
      <c r="H78" s="25"/>
    </row>
    <row r="79" spans="2:8" x14ac:dyDescent="0.25">
      <c r="B79" s="3"/>
      <c r="C79" s="9"/>
      <c r="D79" s="15"/>
      <c r="E79" s="7"/>
      <c r="G79" s="30"/>
      <c r="H79" s="25"/>
    </row>
    <row r="80" spans="2:8" x14ac:dyDescent="0.25">
      <c r="B80" s="3"/>
      <c r="C80" s="8"/>
      <c r="D80" s="15"/>
      <c r="E80" s="7"/>
      <c r="G80" s="30"/>
      <c r="H80" s="25"/>
    </row>
    <row r="81" spans="2:8" x14ac:dyDescent="0.25">
      <c r="B81" s="3"/>
      <c r="C81" s="9"/>
      <c r="D81" s="15"/>
      <c r="E81" s="7"/>
      <c r="G81" s="30"/>
      <c r="H81" s="25"/>
    </row>
    <row r="82" spans="2:8" x14ac:dyDescent="0.25">
      <c r="B82" s="3"/>
      <c r="C82" s="9"/>
      <c r="D82" s="15"/>
      <c r="E82" s="7"/>
      <c r="G82" s="30"/>
      <c r="H82" s="25"/>
    </row>
    <row r="83" spans="2:8" x14ac:dyDescent="0.25">
      <c r="B83" s="3"/>
      <c r="C83" s="9"/>
      <c r="D83" s="15"/>
      <c r="E83" s="7"/>
      <c r="G83" s="30"/>
      <c r="H83" s="25"/>
    </row>
    <row r="84" spans="2:8" x14ac:dyDescent="0.25">
      <c r="B84" s="3"/>
      <c r="C84" s="9"/>
      <c r="D84" s="15"/>
      <c r="E84" s="7"/>
      <c r="G84" s="30"/>
      <c r="H84" s="25"/>
    </row>
    <row r="85" spans="2:8" x14ac:dyDescent="0.25">
      <c r="B85" s="3"/>
      <c r="C85" s="9"/>
      <c r="D85" s="15"/>
      <c r="E85" s="7"/>
      <c r="G85" s="30"/>
      <c r="H85" s="25"/>
    </row>
    <row r="86" spans="2:8" x14ac:dyDescent="0.25">
      <c r="B86" s="3"/>
      <c r="C86" s="8"/>
      <c r="D86" s="15"/>
      <c r="E86" s="7"/>
      <c r="G86" s="30"/>
      <c r="H86" s="25"/>
    </row>
    <row r="87" spans="2:8" x14ac:dyDescent="0.25">
      <c r="B87" s="3"/>
      <c r="C87" s="9"/>
      <c r="D87" s="15"/>
      <c r="E87" s="7"/>
      <c r="G87" s="30"/>
      <c r="H87" s="25"/>
    </row>
    <row r="88" spans="2:8" x14ac:dyDescent="0.25">
      <c r="B88" s="3"/>
      <c r="C88" s="9"/>
      <c r="D88" s="15"/>
      <c r="E88" s="7"/>
      <c r="G88" s="30"/>
      <c r="H88" s="25"/>
    </row>
    <row r="89" spans="2:8" x14ac:dyDescent="0.25">
      <c r="B89" s="3"/>
      <c r="C89" s="9"/>
      <c r="D89" s="15"/>
      <c r="E89" s="7"/>
      <c r="G89" s="30"/>
      <c r="H89" s="25"/>
    </row>
    <row r="90" spans="2:8" x14ac:dyDescent="0.25">
      <c r="B90" s="3"/>
      <c r="C90" s="8"/>
      <c r="D90" s="15"/>
      <c r="E90" s="7"/>
      <c r="G90" s="30"/>
      <c r="H90" s="25"/>
    </row>
    <row r="91" spans="2:8" x14ac:dyDescent="0.25">
      <c r="B91" s="3"/>
      <c r="C91" s="9"/>
      <c r="D91" s="15"/>
      <c r="E91" s="7"/>
      <c r="G91" s="30"/>
      <c r="H91" s="25"/>
    </row>
    <row r="92" spans="2:8" x14ac:dyDescent="0.25">
      <c r="B92" s="3"/>
      <c r="C92" s="9"/>
      <c r="D92" s="15"/>
      <c r="E92" s="7"/>
      <c r="G92" s="30"/>
      <c r="H92" s="25"/>
    </row>
    <row r="93" spans="2:8" x14ac:dyDescent="0.25">
      <c r="B93" s="3"/>
      <c r="C93" s="9"/>
      <c r="D93" s="15"/>
      <c r="E93" s="7"/>
      <c r="G93" s="30"/>
      <c r="H93" s="25"/>
    </row>
    <row r="94" spans="2:8" x14ac:dyDescent="0.25">
      <c r="B94" s="3"/>
      <c r="C94" s="9"/>
      <c r="D94" s="15"/>
      <c r="E94" s="7"/>
      <c r="G94" s="30"/>
      <c r="H94" s="25"/>
    </row>
    <row r="95" spans="2:8" x14ac:dyDescent="0.25">
      <c r="B95" s="3"/>
      <c r="C95" s="9"/>
      <c r="D95" s="15"/>
      <c r="E95" s="7"/>
      <c r="G95" s="30"/>
      <c r="H95" s="25"/>
    </row>
    <row r="96" spans="2:8" x14ac:dyDescent="0.25">
      <c r="B96" s="3"/>
      <c r="C96" s="9"/>
      <c r="D96" s="15"/>
      <c r="E96" s="7"/>
      <c r="G96" s="30"/>
      <c r="H96" s="25"/>
    </row>
    <row r="97" spans="2:8" x14ac:dyDescent="0.25">
      <c r="B97" s="3"/>
      <c r="C97" s="9"/>
      <c r="D97" s="15"/>
      <c r="E97" s="7"/>
      <c r="G97" s="30"/>
      <c r="H97" s="25"/>
    </row>
    <row r="98" spans="2:8" x14ac:dyDescent="0.25">
      <c r="B98" s="3"/>
      <c r="C98" s="8"/>
      <c r="D98" s="15"/>
      <c r="E98" s="7"/>
      <c r="G98" s="30"/>
      <c r="H98" s="25"/>
    </row>
    <row r="99" spans="2:8" x14ac:dyDescent="0.25">
      <c r="B99" s="3"/>
      <c r="C99" s="9"/>
      <c r="D99" s="15"/>
      <c r="E99" s="7"/>
      <c r="G99" s="30"/>
      <c r="H99" s="25"/>
    </row>
    <row r="100" spans="2:8" x14ac:dyDescent="0.25">
      <c r="B100" s="3"/>
      <c r="C100" s="9"/>
      <c r="D100" s="15"/>
      <c r="E100" s="7"/>
      <c r="G100" s="30"/>
      <c r="H100" s="25"/>
    </row>
    <row r="101" spans="2:8" x14ac:dyDescent="0.25">
      <c r="B101" s="3"/>
      <c r="C101" s="9"/>
      <c r="D101" s="15"/>
      <c r="E101" s="7"/>
      <c r="G101" s="30"/>
      <c r="H101" s="25"/>
    </row>
    <row r="102" spans="2:8" x14ac:dyDescent="0.25">
      <c r="B102" s="3"/>
      <c r="C102" s="9"/>
      <c r="D102" s="15"/>
      <c r="E102" s="7"/>
      <c r="G102" s="30"/>
      <c r="H102" s="25"/>
    </row>
    <row r="103" spans="2:8" ht="13.5" customHeight="1" x14ac:dyDescent="0.25">
      <c r="B103" s="3"/>
      <c r="C103" s="8"/>
      <c r="D103" s="15"/>
      <c r="E103" s="7"/>
      <c r="G103" s="30"/>
      <c r="H103" s="25"/>
    </row>
    <row r="104" spans="2:8" ht="13.5" customHeight="1" x14ac:dyDescent="0.25">
      <c r="B104" s="3"/>
      <c r="C104" s="9"/>
      <c r="D104" s="15"/>
      <c r="E104" s="7"/>
      <c r="G104" s="30"/>
      <c r="H104" s="25"/>
    </row>
    <row r="105" spans="2:8" ht="13.5" customHeight="1" x14ac:dyDescent="0.25">
      <c r="B105" s="3"/>
      <c r="C105" s="9"/>
      <c r="D105" s="15"/>
      <c r="E105" s="7"/>
      <c r="G105" s="30"/>
      <c r="H105" s="25"/>
    </row>
    <row r="106" spans="2:8" ht="13.5" customHeight="1" x14ac:dyDescent="0.25">
      <c r="B106" s="3"/>
      <c r="C106" s="9"/>
      <c r="D106" s="15"/>
      <c r="E106" s="7"/>
      <c r="G106" s="30"/>
      <c r="H106" s="25"/>
    </row>
    <row r="107" spans="2:8" ht="13.5" customHeight="1" x14ac:dyDescent="0.25">
      <c r="B107" s="3"/>
      <c r="C107" s="9"/>
      <c r="D107" s="15"/>
      <c r="E107" s="7"/>
      <c r="G107" s="30"/>
      <c r="H107" s="25"/>
    </row>
    <row r="108" spans="2:8" ht="13.5" customHeight="1" x14ac:dyDescent="0.25">
      <c r="B108" s="3"/>
      <c r="C108" s="9"/>
      <c r="D108" s="15"/>
      <c r="E108" s="7"/>
      <c r="G108" s="30"/>
      <c r="H108" s="25"/>
    </row>
    <row r="109" spans="2:8" ht="13.5" customHeight="1" x14ac:dyDescent="0.25">
      <c r="B109" s="3"/>
      <c r="C109" s="9"/>
      <c r="D109" s="15"/>
      <c r="E109" s="7"/>
      <c r="G109" s="30"/>
      <c r="H109" s="25"/>
    </row>
    <row r="110" spans="2:8" ht="13.5" customHeight="1" x14ac:dyDescent="0.25">
      <c r="B110" s="3"/>
      <c r="C110" s="8"/>
      <c r="D110" s="15"/>
      <c r="E110" s="7"/>
      <c r="G110" s="30"/>
      <c r="H110" s="25"/>
    </row>
    <row r="111" spans="2:8" ht="13.5" customHeight="1" x14ac:dyDescent="0.25">
      <c r="B111" s="3"/>
      <c r="C111" s="9"/>
      <c r="D111" s="15"/>
      <c r="E111" s="7"/>
      <c r="G111" s="30"/>
      <c r="H111" s="25"/>
    </row>
    <row r="112" spans="2:8" ht="13.5" customHeight="1" x14ac:dyDescent="0.25">
      <c r="B112" s="3"/>
      <c r="C112" s="9"/>
      <c r="D112" s="15"/>
      <c r="E112" s="7"/>
      <c r="G112" s="30"/>
      <c r="H112" s="25"/>
    </row>
    <row r="113" spans="2:8" ht="13.5" customHeight="1" x14ac:dyDescent="0.25">
      <c r="B113" s="3"/>
      <c r="C113" s="9"/>
      <c r="D113" s="15"/>
      <c r="E113" s="7"/>
      <c r="G113" s="30"/>
      <c r="H113" s="25"/>
    </row>
    <row r="114" spans="2:8" ht="13.5" customHeight="1" x14ac:dyDescent="0.25">
      <c r="B114" s="3"/>
      <c r="C114" s="9"/>
      <c r="D114" s="10"/>
      <c r="E114" s="7"/>
      <c r="G114" s="30"/>
      <c r="H114" s="25"/>
    </row>
    <row r="115" spans="2:8" ht="13.5" customHeight="1" x14ac:dyDescent="0.25">
      <c r="B115" s="3"/>
      <c r="C115" s="9"/>
      <c r="D115" s="15"/>
      <c r="E115" s="7"/>
      <c r="G115" s="30"/>
      <c r="H115" s="25"/>
    </row>
    <row r="116" spans="2:8" ht="13.5" customHeight="1" x14ac:dyDescent="0.25">
      <c r="B116" s="3"/>
      <c r="C116" s="9"/>
      <c r="D116" s="15"/>
      <c r="E116" s="7"/>
      <c r="G116" s="30"/>
      <c r="H116" s="25"/>
    </row>
    <row r="117" spans="2:8" ht="13.5" customHeight="1" x14ac:dyDescent="0.25">
      <c r="B117" s="3"/>
      <c r="C117" s="9"/>
      <c r="D117" s="10"/>
      <c r="E117" s="7"/>
      <c r="G117" s="30"/>
      <c r="H117" s="25"/>
    </row>
    <row r="118" spans="2:8" ht="13.5" customHeight="1" x14ac:dyDescent="0.25">
      <c r="B118" s="3"/>
      <c r="C118" s="9"/>
      <c r="D118" s="10"/>
      <c r="E118" s="7"/>
      <c r="G118" s="30"/>
      <c r="H118" s="25"/>
    </row>
    <row r="119" spans="2:8" ht="13.5" customHeight="1" x14ac:dyDescent="0.25">
      <c r="C119" s="8"/>
      <c r="D119" s="15"/>
      <c r="E119" s="7"/>
      <c r="G119" s="30"/>
      <c r="H119" s="25"/>
    </row>
    <row r="120" spans="2:8" ht="13.5" customHeight="1" x14ac:dyDescent="0.25">
      <c r="G120" s="30"/>
      <c r="H120" s="25"/>
    </row>
    <row r="121" spans="2:8" ht="13.5" customHeight="1" x14ac:dyDescent="0.25">
      <c r="G121" s="30"/>
      <c r="H121" s="25"/>
    </row>
    <row r="122" spans="2:8" ht="13.5" customHeight="1" x14ac:dyDescent="0.25">
      <c r="G122" s="30"/>
      <c r="H122" s="25"/>
    </row>
    <row r="123" spans="2:8" ht="13.5" customHeight="1" x14ac:dyDescent="0.25">
      <c r="B123" s="3"/>
      <c r="G123" s="30"/>
      <c r="H123" s="25"/>
    </row>
    <row r="124" spans="2:8" ht="13.5" customHeight="1" x14ac:dyDescent="0.25">
      <c r="B124" s="3"/>
      <c r="C124" s="9"/>
      <c r="D124" s="15"/>
      <c r="E124" s="7"/>
      <c r="G124" s="30"/>
      <c r="H124" s="25"/>
    </row>
    <row r="125" spans="2:8" ht="13.5" customHeight="1" x14ac:dyDescent="0.25">
      <c r="B125" s="3"/>
      <c r="C125" s="9"/>
      <c r="D125" s="10"/>
      <c r="E125" s="7"/>
      <c r="H125" s="25"/>
    </row>
    <row r="126" spans="2:8" x14ac:dyDescent="0.25">
      <c r="B126" s="3"/>
      <c r="C126" s="9"/>
      <c r="D126" s="10"/>
      <c r="E126" s="7"/>
      <c r="H126" s="25"/>
    </row>
    <row r="127" spans="2:8" x14ac:dyDescent="0.25">
      <c r="B127" s="3"/>
      <c r="C127" s="8"/>
      <c r="D127" s="10"/>
      <c r="E127" s="7"/>
      <c r="H127" s="25"/>
    </row>
    <row r="128" spans="2:8" x14ac:dyDescent="0.25">
      <c r="B128" s="3"/>
      <c r="C128" s="8"/>
      <c r="D128" s="15"/>
      <c r="E128" s="7"/>
      <c r="H128" s="25"/>
    </row>
    <row r="129" spans="2:8" x14ac:dyDescent="0.25">
      <c r="B129" s="3"/>
      <c r="C129" s="8"/>
      <c r="D129" s="10"/>
      <c r="E129" s="7"/>
      <c r="H129" s="25"/>
    </row>
    <row r="130" spans="2:8" x14ac:dyDescent="0.25">
      <c r="B130" s="3"/>
      <c r="C130" s="8"/>
      <c r="D130" s="10"/>
      <c r="E130" s="7"/>
      <c r="H130" s="25"/>
    </row>
    <row r="131" spans="2:8" x14ac:dyDescent="0.25">
      <c r="B131" s="3"/>
      <c r="C131" s="9"/>
      <c r="D131" s="10"/>
      <c r="E131" s="7"/>
      <c r="H131" s="25"/>
    </row>
    <row r="132" spans="2:8" x14ac:dyDescent="0.25">
      <c r="B132" s="3"/>
      <c r="C132" s="9"/>
      <c r="D132" s="15"/>
      <c r="E132" s="7"/>
      <c r="H132" s="25"/>
    </row>
    <row r="133" spans="2:8" x14ac:dyDescent="0.25">
      <c r="B133" s="3"/>
      <c r="C133" s="8"/>
      <c r="D133" s="15"/>
      <c r="E133" s="7"/>
      <c r="H133" s="25"/>
    </row>
    <row r="134" spans="2:8" x14ac:dyDescent="0.25">
      <c r="B134" s="3"/>
      <c r="C134" s="8"/>
      <c r="D134" s="10"/>
      <c r="E134" s="7"/>
      <c r="H134" s="25"/>
    </row>
    <row r="135" spans="2:8" x14ac:dyDescent="0.25">
      <c r="B135" s="3"/>
      <c r="C135" s="9"/>
      <c r="D135" s="10"/>
      <c r="E135" s="7"/>
      <c r="H135" s="25"/>
    </row>
    <row r="136" spans="2:8" x14ac:dyDescent="0.25">
      <c r="B136" s="3"/>
      <c r="C136" s="9"/>
      <c r="D136" s="15"/>
      <c r="E136" s="7"/>
      <c r="H136" s="25"/>
    </row>
    <row r="137" spans="2:8" x14ac:dyDescent="0.25">
      <c r="B137" s="3"/>
      <c r="C137" s="9"/>
      <c r="D137" s="10"/>
      <c r="E137" s="7"/>
      <c r="H137" s="25"/>
    </row>
    <row r="138" spans="2:8" x14ac:dyDescent="0.25">
      <c r="B138" s="3"/>
      <c r="C138" s="9"/>
      <c r="D138" s="15"/>
      <c r="E138" s="7"/>
      <c r="H138" s="25"/>
    </row>
    <row r="139" spans="2:8" x14ac:dyDescent="0.25">
      <c r="B139" s="3"/>
      <c r="C139" s="9"/>
      <c r="D139" s="10"/>
      <c r="E139" s="7"/>
      <c r="H139" s="25"/>
    </row>
    <row r="140" spans="2:8" x14ac:dyDescent="0.25">
      <c r="B140" s="3"/>
      <c r="C140" s="8"/>
      <c r="D140" s="15"/>
      <c r="E140" s="7"/>
      <c r="H140" s="25"/>
    </row>
    <row r="141" spans="2:8" x14ac:dyDescent="0.25">
      <c r="B141" s="3"/>
      <c r="C141" s="9"/>
      <c r="D141" s="15"/>
      <c r="E141" s="7"/>
      <c r="H141" s="25"/>
    </row>
    <row r="142" spans="2:8" x14ac:dyDescent="0.25">
      <c r="B142" s="3"/>
      <c r="C142" s="9"/>
      <c r="D142" s="10"/>
      <c r="E142" s="7"/>
      <c r="H142" s="25"/>
    </row>
    <row r="143" spans="2:8" x14ac:dyDescent="0.25">
      <c r="B143" s="3"/>
      <c r="C143" s="9"/>
      <c r="D143" s="15"/>
      <c r="E143" s="7"/>
      <c r="H143" s="25"/>
    </row>
    <row r="144" spans="2:8" x14ac:dyDescent="0.25">
      <c r="B144" s="3"/>
      <c r="C144" s="9"/>
      <c r="D144" s="15"/>
      <c r="E144" s="7"/>
      <c r="H144" s="25"/>
    </row>
    <row r="145" spans="2:8" x14ac:dyDescent="0.25">
      <c r="B145" s="3"/>
      <c r="C145" s="9"/>
      <c r="D145" s="10"/>
      <c r="E145" s="7"/>
      <c r="H145" s="25"/>
    </row>
    <row r="146" spans="2:8" x14ac:dyDescent="0.25">
      <c r="B146" s="3"/>
      <c r="C146" s="9"/>
      <c r="D146" s="15"/>
      <c r="E146" s="7"/>
      <c r="H146" s="25"/>
    </row>
    <row r="147" spans="2:8" x14ac:dyDescent="0.25">
      <c r="B147" s="3"/>
      <c r="C147" s="9"/>
      <c r="D147" s="10"/>
      <c r="E147" s="7"/>
      <c r="H147" s="25"/>
    </row>
    <row r="148" spans="2:8" x14ac:dyDescent="0.25">
      <c r="B148" s="3"/>
      <c r="C148" s="9"/>
      <c r="D148" s="10"/>
      <c r="E148" s="7"/>
      <c r="H148" s="25"/>
    </row>
    <row r="149" spans="2:8" x14ac:dyDescent="0.25">
      <c r="B149" s="3"/>
      <c r="C149" s="9"/>
      <c r="D149" s="15"/>
      <c r="E149" s="7"/>
      <c r="H149" s="25"/>
    </row>
    <row r="150" spans="2:8" x14ac:dyDescent="0.25">
      <c r="B150" s="3"/>
      <c r="C150" s="9"/>
      <c r="D150" s="10"/>
      <c r="E150" s="7"/>
      <c r="H150" s="25"/>
    </row>
    <row r="151" spans="2:8" x14ac:dyDescent="0.25">
      <c r="B151" s="3"/>
      <c r="C151" s="8"/>
      <c r="D151" s="10"/>
      <c r="E151" s="7"/>
      <c r="H151" s="25"/>
    </row>
    <row r="152" spans="2:8" x14ac:dyDescent="0.25">
      <c r="B152" s="3"/>
      <c r="C152" s="8"/>
      <c r="D152" s="10"/>
      <c r="E152" s="7"/>
      <c r="H152" s="25"/>
    </row>
    <row r="153" spans="2:8" x14ac:dyDescent="0.25">
      <c r="B153" s="3"/>
      <c r="C153" s="8"/>
      <c r="D153" s="10"/>
      <c r="E153" s="7"/>
      <c r="H153" s="25"/>
    </row>
    <row r="154" spans="2:8" x14ac:dyDescent="0.25">
      <c r="B154" s="3"/>
      <c r="C154" s="9"/>
      <c r="D154" s="10"/>
      <c r="E154" s="7"/>
      <c r="H154" s="25"/>
    </row>
    <row r="155" spans="2:8" x14ac:dyDescent="0.25">
      <c r="B155" s="3"/>
      <c r="C155" s="9"/>
      <c r="D155" s="15"/>
      <c r="E155" s="7"/>
      <c r="H155" s="25"/>
    </row>
    <row r="156" spans="2:8" x14ac:dyDescent="0.25">
      <c r="B156" s="3"/>
      <c r="C156" s="8"/>
      <c r="D156" s="15"/>
      <c r="E156" s="7"/>
      <c r="H156" s="25"/>
    </row>
    <row r="157" spans="2:8" x14ac:dyDescent="0.25">
      <c r="B157" s="3"/>
      <c r="C157" s="9"/>
      <c r="D157" s="10"/>
      <c r="E157" s="7"/>
      <c r="H157" s="25"/>
    </row>
    <row r="158" spans="2:8" x14ac:dyDescent="0.25">
      <c r="B158" s="3"/>
      <c r="C158" s="9"/>
      <c r="D158" s="10"/>
      <c r="E158" s="7"/>
      <c r="H158" s="25"/>
    </row>
    <row r="159" spans="2:8" x14ac:dyDescent="0.25">
      <c r="B159" s="3"/>
      <c r="C159" s="9"/>
      <c r="D159" s="10"/>
      <c r="E159" s="7"/>
      <c r="H159" s="25"/>
    </row>
    <row r="160" spans="2:8" x14ac:dyDescent="0.25">
      <c r="B160" s="3"/>
      <c r="C160" s="9"/>
      <c r="D160" s="15"/>
      <c r="E160" s="7"/>
      <c r="H160" s="25"/>
    </row>
    <row r="161" spans="2:8" x14ac:dyDescent="0.25">
      <c r="B161" s="3"/>
      <c r="C161" s="9"/>
      <c r="D161" s="15"/>
      <c r="E161" s="7"/>
      <c r="H161" s="25"/>
    </row>
    <row r="162" spans="2:8" x14ac:dyDescent="0.25">
      <c r="B162" s="3"/>
      <c r="C162" s="8"/>
      <c r="D162" s="15"/>
      <c r="E162" s="7"/>
      <c r="H162" s="25"/>
    </row>
    <row r="163" spans="2:8" x14ac:dyDescent="0.25">
      <c r="B163" s="3"/>
      <c r="C163" s="9"/>
      <c r="D163" s="10"/>
      <c r="E163" s="7"/>
      <c r="H163" s="25"/>
    </row>
    <row r="164" spans="2:8" x14ac:dyDescent="0.25">
      <c r="B164" s="3"/>
      <c r="C164" s="9"/>
      <c r="D164" s="10"/>
      <c r="E164" s="7"/>
      <c r="H164" s="25"/>
    </row>
    <row r="165" spans="2:8" x14ac:dyDescent="0.25">
      <c r="B165" s="3"/>
      <c r="C165" s="9"/>
      <c r="D165" s="10"/>
      <c r="E165" s="7"/>
      <c r="H165" s="25"/>
    </row>
    <row r="166" spans="2:8" x14ac:dyDescent="0.25">
      <c r="B166" s="3"/>
      <c r="C166" s="9"/>
      <c r="D166" s="10"/>
      <c r="E166" s="7"/>
      <c r="H166" s="25"/>
    </row>
    <row r="167" spans="2:8" x14ac:dyDescent="0.25">
      <c r="B167" s="3"/>
      <c r="C167" s="9"/>
      <c r="D167" s="10"/>
      <c r="E167" s="7"/>
      <c r="H167" s="25"/>
    </row>
    <row r="168" spans="2:8" x14ac:dyDescent="0.25">
      <c r="B168" s="3"/>
      <c r="C168" s="9"/>
      <c r="D168" s="10"/>
      <c r="E168" s="7"/>
      <c r="H168" s="25"/>
    </row>
    <row r="169" spans="2:8" x14ac:dyDescent="0.25">
      <c r="B169" s="3"/>
      <c r="C169" s="9"/>
      <c r="D169" s="15"/>
      <c r="E169" s="7"/>
      <c r="H169" s="25"/>
    </row>
    <row r="170" spans="2:8" x14ac:dyDescent="0.25">
      <c r="B170" s="3"/>
      <c r="C170" s="9"/>
      <c r="D170" s="10"/>
      <c r="E170" s="7"/>
      <c r="H170" s="25"/>
    </row>
    <row r="171" spans="2:8" x14ac:dyDescent="0.25">
      <c r="B171" s="3"/>
      <c r="C171" s="9"/>
      <c r="D171" s="10"/>
      <c r="E171" s="7"/>
      <c r="H171" s="25"/>
    </row>
    <row r="172" spans="2:8" x14ac:dyDescent="0.25">
      <c r="B172" s="3"/>
      <c r="C172" s="8"/>
      <c r="D172" s="15"/>
      <c r="E172" s="7"/>
      <c r="H172" s="25"/>
    </row>
    <row r="173" spans="2:8" x14ac:dyDescent="0.25">
      <c r="B173" s="3"/>
      <c r="C173" s="9"/>
      <c r="D173" s="10"/>
      <c r="E173" s="7"/>
      <c r="H173" s="25"/>
    </row>
    <row r="174" spans="2:8" x14ac:dyDescent="0.25">
      <c r="B174" s="3"/>
      <c r="C174" s="9"/>
      <c r="D174" s="10"/>
      <c r="E174" s="7"/>
      <c r="H174" s="25"/>
    </row>
    <row r="175" spans="2:8" x14ac:dyDescent="0.25">
      <c r="B175" s="3"/>
      <c r="C175" s="8"/>
      <c r="D175" s="10"/>
      <c r="E175" s="7"/>
      <c r="H175" s="25"/>
    </row>
    <row r="176" spans="2:8" x14ac:dyDescent="0.25">
      <c r="B176" s="3"/>
      <c r="C176" s="8"/>
      <c r="D176" s="10"/>
      <c r="E176" s="7"/>
      <c r="H176" s="25"/>
    </row>
    <row r="177" spans="2:8" x14ac:dyDescent="0.25">
      <c r="B177" s="3"/>
      <c r="C177" s="9"/>
      <c r="D177" s="10"/>
      <c r="E177" s="7"/>
      <c r="H177" s="25"/>
    </row>
    <row r="178" spans="2:8" x14ac:dyDescent="0.25">
      <c r="B178" s="3"/>
      <c r="C178" s="9"/>
      <c r="D178" s="10"/>
      <c r="E178" s="7"/>
      <c r="H178" s="25"/>
    </row>
    <row r="179" spans="2:8" x14ac:dyDescent="0.25">
      <c r="B179" s="3"/>
      <c r="C179" s="9"/>
      <c r="D179" s="10"/>
      <c r="E179" s="7"/>
      <c r="H179" s="25"/>
    </row>
    <row r="180" spans="2:8" x14ac:dyDescent="0.25">
      <c r="B180" s="3"/>
      <c r="C180" s="9"/>
      <c r="D180" s="10"/>
      <c r="E180" s="7"/>
      <c r="H180" s="25"/>
    </row>
    <row r="181" spans="2:8" x14ac:dyDescent="0.25">
      <c r="B181" s="3"/>
      <c r="C181" s="8"/>
      <c r="D181" s="10"/>
      <c r="E181" s="7"/>
      <c r="H181" s="25"/>
    </row>
    <row r="182" spans="2:8" x14ac:dyDescent="0.25">
      <c r="B182" s="3"/>
      <c r="C182" s="9"/>
      <c r="D182" s="10"/>
      <c r="E182" s="7"/>
      <c r="H182" s="25"/>
    </row>
    <row r="183" spans="2:8" x14ac:dyDescent="0.25">
      <c r="B183" s="3"/>
      <c r="C183" s="9"/>
      <c r="D183" s="15"/>
      <c r="E183" s="7"/>
      <c r="H183" s="25"/>
    </row>
    <row r="184" spans="2:8" x14ac:dyDescent="0.25">
      <c r="B184" s="3"/>
      <c r="C184" s="8"/>
      <c r="D184" s="15"/>
      <c r="E184" s="7"/>
      <c r="H184" s="25"/>
    </row>
    <row r="185" spans="2:8" x14ac:dyDescent="0.25">
      <c r="B185" s="3"/>
      <c r="C185" s="9"/>
      <c r="D185" s="10"/>
      <c r="E185" s="7"/>
      <c r="H185" s="25"/>
    </row>
    <row r="186" spans="2:8" x14ac:dyDescent="0.25">
      <c r="B186" s="3"/>
      <c r="C186" s="9"/>
      <c r="D186" s="10"/>
      <c r="E186" s="7"/>
      <c r="H186" s="25"/>
    </row>
    <row r="187" spans="2:8" x14ac:dyDescent="0.25">
      <c r="B187" s="3"/>
      <c r="C187" s="8"/>
      <c r="D187" s="10"/>
      <c r="E187" s="7"/>
      <c r="H187" s="25"/>
    </row>
    <row r="188" spans="2:8" x14ac:dyDescent="0.25">
      <c r="B188" s="3"/>
      <c r="C188" s="9"/>
      <c r="D188" s="10"/>
      <c r="E188" s="7"/>
      <c r="H188" s="25"/>
    </row>
    <row r="189" spans="2:8" x14ac:dyDescent="0.25">
      <c r="B189" s="3"/>
      <c r="C189" s="9"/>
      <c r="D189" s="10"/>
      <c r="E189" s="7"/>
      <c r="H189" s="25"/>
    </row>
    <row r="190" spans="2:8" x14ac:dyDescent="0.25">
      <c r="B190" s="3"/>
      <c r="C190" s="8"/>
      <c r="D190" s="15"/>
      <c r="E190" s="7"/>
      <c r="H190" s="25"/>
    </row>
    <row r="191" spans="2:8" x14ac:dyDescent="0.25">
      <c r="B191" s="3"/>
      <c r="C191" s="9"/>
      <c r="D191" s="15"/>
      <c r="E191" s="7"/>
      <c r="H191" s="25"/>
    </row>
    <row r="192" spans="2:8" x14ac:dyDescent="0.25">
      <c r="B192" s="3"/>
      <c r="C192" s="9"/>
      <c r="D192" s="10"/>
      <c r="E192" s="7"/>
      <c r="H192" s="25"/>
    </row>
    <row r="193" spans="2:8" x14ac:dyDescent="0.25">
      <c r="B193" s="3"/>
      <c r="C193" s="9"/>
      <c r="D193" s="15"/>
      <c r="E193" s="7"/>
      <c r="H193" s="25"/>
    </row>
    <row r="194" spans="2:8" x14ac:dyDescent="0.25">
      <c r="B194" s="3"/>
      <c r="C194" s="8"/>
      <c r="D194" s="10"/>
      <c r="E194" s="7"/>
      <c r="H194" s="25"/>
    </row>
    <row r="195" spans="2:8" x14ac:dyDescent="0.25">
      <c r="B195" s="3"/>
      <c r="C195" s="9"/>
      <c r="D195" s="15"/>
      <c r="E195" s="7"/>
      <c r="H195" s="25"/>
    </row>
    <row r="196" spans="2:8" x14ac:dyDescent="0.25">
      <c r="B196" s="3"/>
      <c r="C196" s="9"/>
      <c r="D196" s="10"/>
      <c r="E196" s="7"/>
      <c r="H196" s="25"/>
    </row>
    <row r="197" spans="2:8" x14ac:dyDescent="0.25">
      <c r="B197" s="3"/>
      <c r="C197" s="9"/>
      <c r="D197" s="15"/>
      <c r="E197" s="7"/>
      <c r="H197" s="25"/>
    </row>
    <row r="198" spans="2:8" x14ac:dyDescent="0.25">
      <c r="B198" s="3"/>
      <c r="C198" s="9"/>
      <c r="D198" s="10"/>
      <c r="E198" s="7"/>
      <c r="H198" s="25"/>
    </row>
    <row r="199" spans="2:8" x14ac:dyDescent="0.25">
      <c r="B199" s="3"/>
      <c r="C199" s="9"/>
      <c r="D199" s="10"/>
      <c r="E199" s="7"/>
      <c r="H199" s="25"/>
    </row>
    <row r="200" spans="2:8" x14ac:dyDescent="0.25">
      <c r="B200" s="3"/>
      <c r="C200" s="9"/>
      <c r="D200" s="15"/>
      <c r="E200" s="7"/>
      <c r="H200" s="25"/>
    </row>
    <row r="201" spans="2:8" x14ac:dyDescent="0.25">
      <c r="B201" s="3"/>
      <c r="C201" s="9"/>
      <c r="D201" s="15"/>
      <c r="E201" s="7"/>
      <c r="H201" s="25"/>
    </row>
    <row r="202" spans="2:8" x14ac:dyDescent="0.25">
      <c r="B202" s="3"/>
      <c r="C202" s="9"/>
      <c r="D202" s="15"/>
      <c r="E202" s="7"/>
      <c r="H202" s="25"/>
    </row>
    <row r="203" spans="2:8" x14ac:dyDescent="0.25">
      <c r="B203" s="3"/>
      <c r="C203" s="9"/>
      <c r="D203" s="15"/>
      <c r="E203" s="7"/>
      <c r="H203" s="25"/>
    </row>
    <row r="204" spans="2:8" x14ac:dyDescent="0.25">
      <c r="B204" s="3"/>
      <c r="C204" s="8"/>
      <c r="D204" s="10"/>
      <c r="E204" s="7"/>
      <c r="H204" s="25"/>
    </row>
    <row r="205" spans="2:8" x14ac:dyDescent="0.25">
      <c r="B205" s="3"/>
      <c r="C205" s="9"/>
      <c r="D205" s="15"/>
      <c r="E205" s="7"/>
      <c r="H205" s="25"/>
    </row>
    <row r="206" spans="2:8" x14ac:dyDescent="0.25">
      <c r="B206" s="3"/>
      <c r="C206" s="9"/>
      <c r="D206" s="15"/>
      <c r="E206" s="7"/>
      <c r="H206" s="25"/>
    </row>
    <row r="207" spans="2:8" x14ac:dyDescent="0.25">
      <c r="B207" s="3"/>
      <c r="C207" s="9"/>
      <c r="D207" s="10"/>
      <c r="E207" s="7"/>
      <c r="H207" s="25"/>
    </row>
    <row r="208" spans="2:8" x14ac:dyDescent="0.25">
      <c r="B208" s="3"/>
      <c r="C208" s="9"/>
      <c r="D208" s="15"/>
      <c r="E208" s="7"/>
      <c r="H208" s="25"/>
    </row>
    <row r="209" spans="2:8" x14ac:dyDescent="0.25">
      <c r="B209" s="3"/>
      <c r="C209" s="8"/>
      <c r="D209" s="15"/>
      <c r="E209" s="7"/>
      <c r="H209" s="25"/>
    </row>
    <row r="210" spans="2:8" x14ac:dyDescent="0.25">
      <c r="B210" s="3"/>
      <c r="C210" s="9"/>
      <c r="D210" s="10"/>
      <c r="E210" s="7"/>
      <c r="H210" s="25"/>
    </row>
    <row r="211" spans="2:8" x14ac:dyDescent="0.25">
      <c r="B211" s="3"/>
      <c r="C211" s="9"/>
      <c r="D211" s="10"/>
      <c r="E211" s="7"/>
      <c r="H211" s="25"/>
    </row>
    <row r="212" spans="2:8" x14ac:dyDescent="0.25">
      <c r="B212" s="3"/>
      <c r="C212" s="9"/>
      <c r="D212" s="10"/>
      <c r="E212" s="7"/>
      <c r="H212" s="25"/>
    </row>
    <row r="213" spans="2:8" x14ac:dyDescent="0.25">
      <c r="B213" s="3"/>
      <c r="C213" s="8"/>
      <c r="D213" s="15"/>
      <c r="E213" s="7"/>
      <c r="H213" s="25"/>
    </row>
    <row r="214" spans="2:8" x14ac:dyDescent="0.25">
      <c r="B214" s="3"/>
      <c r="C214" s="9"/>
      <c r="D214" s="10"/>
      <c r="E214" s="7"/>
      <c r="H214" s="25"/>
    </row>
    <row r="215" spans="2:8" x14ac:dyDescent="0.25">
      <c r="B215" s="3"/>
      <c r="C215" s="9"/>
      <c r="D215" s="15"/>
      <c r="E215" s="7"/>
      <c r="H215" s="25"/>
    </row>
    <row r="216" spans="2:8" x14ac:dyDescent="0.25">
      <c r="B216" s="3"/>
      <c r="C216" s="9"/>
      <c r="D216" s="10"/>
      <c r="E216" s="7"/>
      <c r="H216" s="25"/>
    </row>
    <row r="217" spans="2:8" x14ac:dyDescent="0.25">
      <c r="B217" s="3"/>
      <c r="C217" s="9"/>
      <c r="D217" s="10"/>
      <c r="E217" s="7"/>
      <c r="H217" s="25"/>
    </row>
    <row r="218" spans="2:8" x14ac:dyDescent="0.25">
      <c r="B218" s="3"/>
      <c r="C218" s="9"/>
      <c r="D218" s="10"/>
      <c r="E218" s="7"/>
      <c r="H218" s="25"/>
    </row>
    <row r="219" spans="2:8" x14ac:dyDescent="0.25">
      <c r="B219" s="3"/>
      <c r="C219" s="9"/>
      <c r="D219" s="15"/>
      <c r="E219" s="7"/>
      <c r="H219" s="25"/>
    </row>
    <row r="220" spans="2:8" x14ac:dyDescent="0.25">
      <c r="B220" s="3"/>
      <c r="C220" s="9"/>
      <c r="D220" s="10"/>
      <c r="E220" s="7"/>
      <c r="H220" s="25"/>
    </row>
    <row r="221" spans="2:8" x14ac:dyDescent="0.25">
      <c r="B221" s="3"/>
      <c r="C221" s="9"/>
      <c r="D221" s="10"/>
      <c r="E221" s="7"/>
      <c r="H221" s="25"/>
    </row>
    <row r="222" spans="2:8" x14ac:dyDescent="0.25">
      <c r="B222" s="3"/>
      <c r="C222" s="9"/>
      <c r="D222" s="10"/>
      <c r="E222" s="7"/>
      <c r="H222" s="25"/>
    </row>
    <row r="223" spans="2:8" x14ac:dyDescent="0.25">
      <c r="B223" s="3"/>
      <c r="C223" s="8"/>
      <c r="D223" s="10"/>
      <c r="E223" s="7"/>
      <c r="H223" s="25"/>
    </row>
    <row r="224" spans="2:8" x14ac:dyDescent="0.25">
      <c r="B224" s="3"/>
      <c r="C224" s="9"/>
      <c r="D224" s="15"/>
      <c r="E224" s="7"/>
      <c r="H224" s="25"/>
    </row>
    <row r="225" spans="3:8" x14ac:dyDescent="0.25">
      <c r="C225" s="9"/>
      <c r="D225" s="10"/>
      <c r="E225" s="7"/>
      <c r="H225" s="25"/>
    </row>
    <row r="226" spans="3:8" x14ac:dyDescent="0.25">
      <c r="H226" s="25"/>
    </row>
    <row r="227" spans="3:8" x14ac:dyDescent="0.25">
      <c r="H227" s="25"/>
    </row>
    <row r="228" spans="3:8" x14ac:dyDescent="0.25">
      <c r="H228" s="25"/>
    </row>
    <row r="229" spans="3:8" x14ac:dyDescent="0.25">
      <c r="H229" s="29"/>
    </row>
  </sheetData>
  <autoFilter ref="A1:H54"/>
  <sortState ref="B2:H41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"/>
  <dimension ref="A1:AE253"/>
  <sheetViews>
    <sheetView zoomScaleNormal="100" workbookViewId="0">
      <pane ySplit="1" topLeftCell="A30" activePane="bottomLeft" state="frozen"/>
      <selection activeCell="T161" sqref="T161"/>
      <selection pane="bottomLeft" activeCell="Q57" sqref="Q57"/>
    </sheetView>
  </sheetViews>
  <sheetFormatPr baseColWidth="10" defaultRowHeight="15" x14ac:dyDescent="0.25"/>
  <cols>
    <col min="1" max="1" width="4.28515625" style="23" customWidth="1"/>
    <col min="2" max="2" width="50" style="23" customWidth="1"/>
    <col min="3" max="3" width="4" style="21" bestFit="1" customWidth="1"/>
    <col min="4" max="4" width="3.42578125" style="375" customWidth="1"/>
    <col min="5" max="5" width="3.7109375" style="492" customWidth="1"/>
    <col min="6" max="6" width="3.42578125" style="371" customWidth="1"/>
    <col min="7" max="7" width="3.42578125" style="491" customWidth="1"/>
    <col min="8" max="8" width="3.42578125" style="375" customWidth="1"/>
    <col min="9" max="9" width="3.7109375" style="492" customWidth="1"/>
    <col min="10" max="10" width="3.42578125" style="375" customWidth="1"/>
    <col min="11" max="11" width="3.7109375" style="492" customWidth="1"/>
    <col min="12" max="12" width="3.7109375" style="375" customWidth="1"/>
    <col min="13" max="13" width="3.7109375" style="492" customWidth="1"/>
    <col min="14" max="14" width="3.42578125" style="567" customWidth="1"/>
    <col min="15" max="15" width="4.42578125" style="52" customWidth="1"/>
    <col min="16" max="16" width="4.7109375" style="119" customWidth="1"/>
    <col min="17" max="17" width="7.85546875" style="21" customWidth="1"/>
    <col min="18" max="18" width="9.5703125" style="124" customWidth="1"/>
    <col min="19" max="19" width="7.42578125" style="28" customWidth="1"/>
    <col min="20" max="20" width="3.7109375" style="28" customWidth="1"/>
    <col min="21" max="21" width="3.42578125" style="28" customWidth="1"/>
    <col min="22" max="22" width="7.85546875" style="14" bestFit="1" customWidth="1"/>
    <col min="23" max="23" width="3.7109375" style="14" bestFit="1" customWidth="1"/>
    <col min="24" max="24" width="3.28515625" style="14" customWidth="1"/>
    <col min="25" max="25" width="3.42578125" style="14" customWidth="1"/>
    <col min="26" max="26" width="3.7109375" style="28" bestFit="1" customWidth="1"/>
    <col min="27" max="27" width="3.7109375" style="135" customWidth="1"/>
    <col min="28" max="28" width="3.140625" style="132" customWidth="1"/>
    <col min="29" max="29" width="3.85546875" style="132" customWidth="1"/>
    <col min="30" max="30" width="3.7109375" style="135" customWidth="1"/>
    <col min="31" max="31" width="11.42578125" style="13"/>
  </cols>
  <sheetData>
    <row r="1" spans="1:31" ht="73.5" customHeight="1" x14ac:dyDescent="0.25">
      <c r="A1" s="128" t="s">
        <v>0</v>
      </c>
      <c r="B1" s="128" t="s">
        <v>1</v>
      </c>
      <c r="C1" s="257" t="s">
        <v>10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55" t="s">
        <v>4</v>
      </c>
      <c r="P1" s="226" t="s">
        <v>110</v>
      </c>
      <c r="Q1" s="270" t="s">
        <v>5</v>
      </c>
      <c r="R1" s="268" t="s">
        <v>111</v>
      </c>
      <c r="S1" s="555" t="s">
        <v>107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1" x14ac:dyDescent="0.25">
      <c r="A2" s="13">
        <v>1</v>
      </c>
      <c r="B2" s="314" t="s">
        <v>99</v>
      </c>
      <c r="C2" s="415">
        <v>2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0">
        <f t="shared" ref="O2:O41" si="0">SUM(C2-D2-E2-F2-G2-H2-I2-J2-K2-L2-M2-N2)</f>
        <v>2</v>
      </c>
      <c r="P2" s="438">
        <f t="shared" ref="P2:P41" si="1">AD2-O2</f>
        <v>16</v>
      </c>
      <c r="Q2" s="7">
        <v>68</v>
      </c>
      <c r="R2" s="63" t="s">
        <v>87</v>
      </c>
      <c r="S2" s="344">
        <v>46266</v>
      </c>
      <c r="T2" s="318"/>
      <c r="U2" s="318"/>
      <c r="V2" s="344">
        <v>45597</v>
      </c>
      <c r="W2" s="309">
        <v>1</v>
      </c>
      <c r="X2" s="309">
        <v>1</v>
      </c>
      <c r="Y2" s="309">
        <v>1</v>
      </c>
      <c r="Z2" s="309">
        <v>6</v>
      </c>
      <c r="AA2" s="185">
        <f t="shared" ref="AA2:AA41" si="2">W2+X2+Y2+Z2</f>
        <v>9</v>
      </c>
      <c r="AB2" s="185">
        <f t="shared" ref="AB2:AB42" si="3">AA2/4</f>
        <v>2.25</v>
      </c>
      <c r="AC2" s="185">
        <f t="shared" ref="AC2:AC41" si="4">AB2*4</f>
        <v>9</v>
      </c>
      <c r="AD2" s="185">
        <f t="shared" ref="AD2:AD41" si="5">AC2*2</f>
        <v>18</v>
      </c>
    </row>
    <row r="3" spans="1:31" x14ac:dyDescent="0.25">
      <c r="A3" s="13">
        <f t="shared" ref="A3:A35" si="6">A2+1</f>
        <v>2</v>
      </c>
      <c r="B3" s="314" t="s">
        <v>1172</v>
      </c>
      <c r="C3" s="340">
        <v>70</v>
      </c>
      <c r="D3" s="411"/>
      <c r="E3" s="490"/>
      <c r="F3" s="411">
        <v>1</v>
      </c>
      <c r="G3" s="490"/>
      <c r="H3" s="411">
        <v>2</v>
      </c>
      <c r="I3" s="490"/>
      <c r="J3" s="411"/>
      <c r="K3" s="490"/>
      <c r="L3" s="411">
        <v>2</v>
      </c>
      <c r="M3" s="490">
        <v>1</v>
      </c>
      <c r="N3" s="579"/>
      <c r="O3" s="340">
        <f t="shared" si="0"/>
        <v>64</v>
      </c>
      <c r="P3" s="438">
        <f t="shared" si="1"/>
        <v>140</v>
      </c>
      <c r="Q3" s="7">
        <v>1</v>
      </c>
      <c r="R3" s="647" t="s">
        <v>743</v>
      </c>
      <c r="S3" s="325">
        <v>46143</v>
      </c>
      <c r="T3" s="319">
        <v>2</v>
      </c>
      <c r="U3" s="319"/>
      <c r="V3" s="527">
        <v>45689</v>
      </c>
      <c r="W3" s="200">
        <v>30</v>
      </c>
      <c r="X3" s="200">
        <v>26</v>
      </c>
      <c r="Y3" s="200">
        <v>27</v>
      </c>
      <c r="Z3" s="200">
        <v>19</v>
      </c>
      <c r="AA3" s="185">
        <f t="shared" si="2"/>
        <v>102</v>
      </c>
      <c r="AB3" s="185">
        <f t="shared" si="3"/>
        <v>25.5</v>
      </c>
      <c r="AC3" s="185">
        <f t="shared" si="4"/>
        <v>102</v>
      </c>
      <c r="AD3" s="185">
        <f t="shared" si="5"/>
        <v>204</v>
      </c>
    </row>
    <row r="4" spans="1:31" x14ac:dyDescent="0.25">
      <c r="A4" s="13">
        <f t="shared" si="6"/>
        <v>3</v>
      </c>
      <c r="B4" s="314" t="s">
        <v>61</v>
      </c>
      <c r="C4" s="340">
        <v>2</v>
      </c>
      <c r="D4" s="359"/>
      <c r="E4" s="478"/>
      <c r="F4" s="359"/>
      <c r="G4" s="478"/>
      <c r="H4" s="359"/>
      <c r="I4" s="478"/>
      <c r="J4" s="359"/>
      <c r="K4" s="478"/>
      <c r="L4" s="359"/>
      <c r="M4" s="478"/>
      <c r="N4" s="561"/>
      <c r="O4" s="340">
        <f t="shared" si="0"/>
        <v>2</v>
      </c>
      <c r="P4" s="438">
        <f t="shared" si="1"/>
        <v>6</v>
      </c>
      <c r="Q4" s="7">
        <v>59</v>
      </c>
      <c r="R4" s="10" t="s">
        <v>113</v>
      </c>
      <c r="S4" s="129">
        <v>46296</v>
      </c>
      <c r="T4" s="316">
        <v>0</v>
      </c>
      <c r="U4" s="316"/>
      <c r="V4" s="118">
        <v>45597</v>
      </c>
      <c r="W4" s="309">
        <v>1</v>
      </c>
      <c r="X4" s="309">
        <v>1</v>
      </c>
      <c r="Y4" s="309">
        <v>1</v>
      </c>
      <c r="Z4" s="309">
        <v>1</v>
      </c>
      <c r="AA4" s="185">
        <f t="shared" si="2"/>
        <v>4</v>
      </c>
      <c r="AB4" s="185">
        <f t="shared" si="3"/>
        <v>1</v>
      </c>
      <c r="AC4" s="185">
        <f t="shared" si="4"/>
        <v>4</v>
      </c>
      <c r="AD4" s="185">
        <f t="shared" si="5"/>
        <v>8</v>
      </c>
    </row>
    <row r="5" spans="1:31" s="117" customFormat="1" x14ac:dyDescent="0.25">
      <c r="A5" s="13">
        <f t="shared" si="6"/>
        <v>4</v>
      </c>
      <c r="B5" s="314" t="s">
        <v>83</v>
      </c>
      <c r="C5" s="340">
        <v>2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2</v>
      </c>
      <c r="P5" s="438">
        <f t="shared" si="1"/>
        <v>6</v>
      </c>
      <c r="Q5" s="7">
        <v>79</v>
      </c>
      <c r="R5" s="64" t="s">
        <v>113</v>
      </c>
      <c r="S5" s="129">
        <v>46266</v>
      </c>
      <c r="T5" s="323">
        <v>1</v>
      </c>
      <c r="U5" s="323"/>
      <c r="V5" s="118">
        <v>45597</v>
      </c>
      <c r="W5" s="318">
        <v>1</v>
      </c>
      <c r="X5" s="309">
        <v>1</v>
      </c>
      <c r="Y5" s="309">
        <v>1</v>
      </c>
      <c r="Z5" s="309">
        <v>1</v>
      </c>
      <c r="AA5" s="185">
        <f t="shared" si="2"/>
        <v>4</v>
      </c>
      <c r="AB5" s="185">
        <f t="shared" si="3"/>
        <v>1</v>
      </c>
      <c r="AC5" s="185">
        <f t="shared" si="4"/>
        <v>4</v>
      </c>
      <c r="AD5" s="185">
        <f t="shared" si="5"/>
        <v>8</v>
      </c>
      <c r="AE5" s="13"/>
    </row>
    <row r="6" spans="1:31" s="117" customFormat="1" ht="15.75" x14ac:dyDescent="0.25">
      <c r="A6" s="13">
        <f t="shared" si="6"/>
        <v>5</v>
      </c>
      <c r="B6" s="314" t="s">
        <v>64</v>
      </c>
      <c r="C6" s="340">
        <v>4</v>
      </c>
      <c r="D6" s="383"/>
      <c r="E6" s="508"/>
      <c r="F6" s="386"/>
      <c r="G6" s="513"/>
      <c r="H6" s="386"/>
      <c r="I6" s="513"/>
      <c r="J6" s="386"/>
      <c r="K6" s="513"/>
      <c r="L6" s="386"/>
      <c r="M6" s="513"/>
      <c r="N6" s="572"/>
      <c r="O6" s="340">
        <f t="shared" si="0"/>
        <v>4</v>
      </c>
      <c r="P6" s="438">
        <f t="shared" si="1"/>
        <v>8</v>
      </c>
      <c r="Q6" s="169">
        <v>10</v>
      </c>
      <c r="R6" s="239" t="s">
        <v>360</v>
      </c>
      <c r="S6" s="237"/>
      <c r="T6" s="318">
        <v>0</v>
      </c>
      <c r="U6" s="320"/>
      <c r="V6" s="227">
        <v>45444</v>
      </c>
      <c r="W6" s="223">
        <v>2</v>
      </c>
      <c r="X6" s="223">
        <v>1</v>
      </c>
      <c r="Y6" s="223">
        <v>2</v>
      </c>
      <c r="Z6" s="223">
        <v>1</v>
      </c>
      <c r="AA6" s="185">
        <f t="shared" si="2"/>
        <v>6</v>
      </c>
      <c r="AB6" s="185">
        <f t="shared" si="3"/>
        <v>1.5</v>
      </c>
      <c r="AC6" s="185">
        <f t="shared" si="4"/>
        <v>6</v>
      </c>
      <c r="AD6" s="185">
        <f t="shared" si="5"/>
        <v>12</v>
      </c>
      <c r="AE6" s="13"/>
    </row>
    <row r="7" spans="1:31" x14ac:dyDescent="0.25">
      <c r="A7" s="13">
        <f t="shared" si="6"/>
        <v>6</v>
      </c>
      <c r="B7" s="314" t="s">
        <v>693</v>
      </c>
      <c r="C7" s="340">
        <v>140</v>
      </c>
      <c r="D7" s="359"/>
      <c r="E7" s="478">
        <v>4</v>
      </c>
      <c r="F7" s="359"/>
      <c r="G7" s="478">
        <v>2</v>
      </c>
      <c r="H7" s="359"/>
      <c r="I7" s="478"/>
      <c r="J7" s="359">
        <v>9</v>
      </c>
      <c r="K7" s="478"/>
      <c r="L7" s="359"/>
      <c r="M7" s="478"/>
      <c r="N7" s="561"/>
      <c r="O7" s="340">
        <f t="shared" si="0"/>
        <v>125</v>
      </c>
      <c r="P7" s="438">
        <f t="shared" si="1"/>
        <v>103</v>
      </c>
      <c r="Q7" s="7">
        <v>1.25</v>
      </c>
      <c r="R7" s="125" t="s">
        <v>364</v>
      </c>
      <c r="S7" s="129"/>
      <c r="T7" s="316"/>
      <c r="U7" s="316"/>
      <c r="V7" s="118">
        <v>45170</v>
      </c>
      <c r="W7" s="309">
        <v>28</v>
      </c>
      <c r="X7" s="309">
        <v>11</v>
      </c>
      <c r="Y7" s="309">
        <v>55</v>
      </c>
      <c r="Z7" s="309">
        <v>20</v>
      </c>
      <c r="AA7" s="185">
        <f t="shared" si="2"/>
        <v>114</v>
      </c>
      <c r="AB7" s="185">
        <f t="shared" si="3"/>
        <v>28.5</v>
      </c>
      <c r="AC7" s="185">
        <f t="shared" si="4"/>
        <v>114</v>
      </c>
      <c r="AD7" s="185">
        <f t="shared" si="5"/>
        <v>228</v>
      </c>
    </row>
    <row r="8" spans="1:31" s="113" customFormat="1" ht="15.75" x14ac:dyDescent="0.25">
      <c r="A8" s="315">
        <f t="shared" si="6"/>
        <v>7</v>
      </c>
      <c r="B8" s="314" t="s">
        <v>395</v>
      </c>
      <c r="C8" s="415">
        <v>2</v>
      </c>
      <c r="D8" s="383"/>
      <c r="E8" s="508"/>
      <c r="F8" s="383"/>
      <c r="G8" s="508"/>
      <c r="H8" s="383"/>
      <c r="I8" s="508"/>
      <c r="J8" s="383"/>
      <c r="K8" s="508"/>
      <c r="L8" s="383"/>
      <c r="M8" s="508"/>
      <c r="N8" s="573"/>
      <c r="O8" s="340">
        <f t="shared" si="0"/>
        <v>2</v>
      </c>
      <c r="P8" s="438">
        <f t="shared" si="1"/>
        <v>6</v>
      </c>
      <c r="Q8" s="169">
        <v>46</v>
      </c>
      <c r="R8" s="102" t="s">
        <v>364</v>
      </c>
      <c r="S8" s="227">
        <v>45931</v>
      </c>
      <c r="T8" s="320">
        <v>7</v>
      </c>
      <c r="U8" s="320"/>
      <c r="V8" s="227">
        <v>45566</v>
      </c>
      <c r="W8" s="223">
        <v>1</v>
      </c>
      <c r="X8" s="223">
        <v>1</v>
      </c>
      <c r="Y8" s="223">
        <v>1</v>
      </c>
      <c r="Z8" s="223">
        <v>1</v>
      </c>
      <c r="AA8" s="185">
        <f t="shared" si="2"/>
        <v>4</v>
      </c>
      <c r="AB8" s="185">
        <f t="shared" si="3"/>
        <v>1</v>
      </c>
      <c r="AC8" s="185">
        <f t="shared" si="4"/>
        <v>4</v>
      </c>
      <c r="AD8" s="185">
        <f t="shared" si="5"/>
        <v>8</v>
      </c>
      <c r="AE8" s="13"/>
    </row>
    <row r="9" spans="1:31" x14ac:dyDescent="0.25">
      <c r="A9" s="315">
        <f t="shared" si="6"/>
        <v>8</v>
      </c>
      <c r="B9" s="314" t="s">
        <v>792</v>
      </c>
      <c r="C9" s="415">
        <v>0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0</v>
      </c>
      <c r="P9" s="438">
        <f t="shared" si="1"/>
        <v>6</v>
      </c>
      <c r="Q9" s="7">
        <v>105</v>
      </c>
      <c r="R9" s="63" t="s">
        <v>455</v>
      </c>
      <c r="S9" s="77"/>
      <c r="T9" s="16">
        <v>0</v>
      </c>
      <c r="U9" s="16"/>
      <c r="V9" s="77">
        <v>45444</v>
      </c>
      <c r="X9" s="14">
        <v>1</v>
      </c>
      <c r="Y9" s="16">
        <v>1</v>
      </c>
      <c r="Z9" s="315">
        <v>1</v>
      </c>
      <c r="AA9" s="185">
        <f t="shared" si="2"/>
        <v>3</v>
      </c>
      <c r="AB9" s="185">
        <f t="shared" si="3"/>
        <v>0.75</v>
      </c>
      <c r="AC9" s="185">
        <f t="shared" si="4"/>
        <v>3</v>
      </c>
      <c r="AD9" s="185">
        <f t="shared" si="5"/>
        <v>6</v>
      </c>
    </row>
    <row r="10" spans="1:31" x14ac:dyDescent="0.25">
      <c r="A10" s="315">
        <f t="shared" si="6"/>
        <v>9</v>
      </c>
      <c r="B10" s="314" t="s">
        <v>177</v>
      </c>
      <c r="C10" s="340">
        <v>1</v>
      </c>
      <c r="D10" s="359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0">
        <f t="shared" si="0"/>
        <v>1</v>
      </c>
      <c r="P10" s="438">
        <f t="shared" si="1"/>
        <v>7</v>
      </c>
      <c r="Q10" s="7">
        <v>40</v>
      </c>
      <c r="R10" s="125" t="s">
        <v>87</v>
      </c>
      <c r="S10" s="129">
        <v>47058</v>
      </c>
      <c r="T10" s="316">
        <v>1</v>
      </c>
      <c r="U10" s="316"/>
      <c r="V10" s="118">
        <v>45658</v>
      </c>
      <c r="W10" s="309">
        <v>1</v>
      </c>
      <c r="X10" s="309">
        <v>1</v>
      </c>
      <c r="Y10" s="309">
        <v>1</v>
      </c>
      <c r="Z10" s="309">
        <v>1</v>
      </c>
      <c r="AA10" s="185">
        <f t="shared" si="2"/>
        <v>4</v>
      </c>
      <c r="AB10" s="185">
        <f t="shared" si="3"/>
        <v>1</v>
      </c>
      <c r="AC10" s="185">
        <f t="shared" si="4"/>
        <v>4</v>
      </c>
      <c r="AD10" s="185">
        <f t="shared" si="5"/>
        <v>8</v>
      </c>
    </row>
    <row r="11" spans="1:31" x14ac:dyDescent="0.25">
      <c r="A11" s="315">
        <f t="shared" si="6"/>
        <v>10</v>
      </c>
      <c r="B11" s="314" t="s">
        <v>100</v>
      </c>
      <c r="C11" s="340">
        <v>1</v>
      </c>
      <c r="D11" s="359"/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340">
        <f t="shared" si="0"/>
        <v>1</v>
      </c>
      <c r="P11" s="438">
        <f t="shared" si="1"/>
        <v>9</v>
      </c>
      <c r="Q11" s="7">
        <v>55</v>
      </c>
      <c r="R11" s="125" t="s">
        <v>738</v>
      </c>
      <c r="S11" s="129">
        <v>46661</v>
      </c>
      <c r="T11" s="316">
        <v>0</v>
      </c>
      <c r="U11" s="316">
        <v>2</v>
      </c>
      <c r="V11" s="118">
        <v>45717</v>
      </c>
      <c r="W11" s="309">
        <v>1</v>
      </c>
      <c r="X11" s="309">
        <v>2</v>
      </c>
      <c r="Y11" s="309">
        <v>1</v>
      </c>
      <c r="Z11" s="309">
        <v>1</v>
      </c>
      <c r="AA11" s="185">
        <f t="shared" si="2"/>
        <v>5</v>
      </c>
      <c r="AB11" s="185">
        <f t="shared" si="3"/>
        <v>1.25</v>
      </c>
      <c r="AC11" s="185">
        <f t="shared" si="4"/>
        <v>5</v>
      </c>
      <c r="AD11" s="185">
        <f t="shared" si="5"/>
        <v>10</v>
      </c>
    </row>
    <row r="12" spans="1:31" ht="15.75" x14ac:dyDescent="0.25">
      <c r="A12" s="315">
        <f t="shared" si="6"/>
        <v>11</v>
      </c>
      <c r="B12" s="314" t="s">
        <v>244</v>
      </c>
      <c r="C12" s="415">
        <v>2</v>
      </c>
      <c r="D12" s="383"/>
      <c r="E12" s="508"/>
      <c r="F12" s="383"/>
      <c r="G12" s="508"/>
      <c r="H12" s="383">
        <v>1</v>
      </c>
      <c r="I12" s="508"/>
      <c r="J12" s="383"/>
      <c r="K12" s="508"/>
      <c r="L12" s="383"/>
      <c r="M12" s="508"/>
      <c r="N12" s="573"/>
      <c r="O12" s="340">
        <f t="shared" si="0"/>
        <v>1</v>
      </c>
      <c r="P12" s="438">
        <f t="shared" si="1"/>
        <v>9</v>
      </c>
      <c r="Q12" s="169">
        <v>22</v>
      </c>
      <c r="R12" s="237" t="s">
        <v>226</v>
      </c>
      <c r="S12" s="282">
        <v>46419</v>
      </c>
      <c r="T12" s="320">
        <v>0</v>
      </c>
      <c r="U12" s="320"/>
      <c r="V12" s="227">
        <v>45444</v>
      </c>
      <c r="W12" s="223">
        <v>1</v>
      </c>
      <c r="X12" s="223">
        <v>1</v>
      </c>
      <c r="Y12" s="223">
        <v>2</v>
      </c>
      <c r="Z12" s="223">
        <v>1</v>
      </c>
      <c r="AA12" s="185">
        <f t="shared" si="2"/>
        <v>5</v>
      </c>
      <c r="AB12" s="185">
        <f t="shared" si="3"/>
        <v>1.25</v>
      </c>
      <c r="AC12" s="185">
        <f t="shared" si="4"/>
        <v>5</v>
      </c>
      <c r="AD12" s="185">
        <f t="shared" si="5"/>
        <v>10</v>
      </c>
    </row>
    <row r="13" spans="1:31" ht="15.75" x14ac:dyDescent="0.25">
      <c r="A13" s="315">
        <f t="shared" si="6"/>
        <v>12</v>
      </c>
      <c r="B13" s="314" t="s">
        <v>243</v>
      </c>
      <c r="C13" s="415">
        <v>0</v>
      </c>
      <c r="D13" s="383"/>
      <c r="E13" s="508"/>
      <c r="F13" s="383"/>
      <c r="G13" s="508"/>
      <c r="H13" s="383"/>
      <c r="I13" s="508"/>
      <c r="J13" s="383"/>
      <c r="K13" s="508"/>
      <c r="L13" s="383"/>
      <c r="M13" s="508"/>
      <c r="N13" s="573"/>
      <c r="O13" s="340">
        <f t="shared" si="0"/>
        <v>0</v>
      </c>
      <c r="P13" s="438">
        <f t="shared" si="1"/>
        <v>10</v>
      </c>
      <c r="Q13" s="169">
        <v>22</v>
      </c>
      <c r="R13" s="223" t="s">
        <v>226</v>
      </c>
      <c r="S13" s="282">
        <v>46235</v>
      </c>
      <c r="T13" s="320">
        <v>0</v>
      </c>
      <c r="U13" s="320"/>
      <c r="V13" s="227">
        <v>46296</v>
      </c>
      <c r="W13" s="223">
        <v>1</v>
      </c>
      <c r="X13" s="223">
        <v>2</v>
      </c>
      <c r="Y13" s="223">
        <v>1</v>
      </c>
      <c r="Z13" s="223">
        <v>1</v>
      </c>
      <c r="AA13" s="185">
        <f t="shared" si="2"/>
        <v>5</v>
      </c>
      <c r="AB13" s="185">
        <f t="shared" si="3"/>
        <v>1.25</v>
      </c>
      <c r="AC13" s="185">
        <f t="shared" si="4"/>
        <v>5</v>
      </c>
      <c r="AD13" s="185">
        <f t="shared" si="5"/>
        <v>10</v>
      </c>
    </row>
    <row r="14" spans="1:31" x14ac:dyDescent="0.25">
      <c r="A14" s="315">
        <f t="shared" si="6"/>
        <v>13</v>
      </c>
      <c r="B14" s="314" t="s">
        <v>869</v>
      </c>
      <c r="C14" s="415">
        <v>2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0">
        <f t="shared" si="0"/>
        <v>2</v>
      </c>
      <c r="P14" s="438">
        <f t="shared" si="1"/>
        <v>4</v>
      </c>
      <c r="Q14" s="7">
        <v>22</v>
      </c>
      <c r="R14" s="8" t="s">
        <v>226</v>
      </c>
      <c r="S14" s="129">
        <v>46113</v>
      </c>
      <c r="T14" s="316">
        <v>0</v>
      </c>
      <c r="U14" s="316"/>
      <c r="V14" s="199">
        <v>46296</v>
      </c>
      <c r="W14" s="309">
        <v>1</v>
      </c>
      <c r="X14" s="107"/>
      <c r="Y14" s="107">
        <v>1</v>
      </c>
      <c r="Z14" s="309">
        <v>1</v>
      </c>
      <c r="AA14" s="185">
        <f t="shared" si="2"/>
        <v>3</v>
      </c>
      <c r="AB14" s="185">
        <f t="shared" si="3"/>
        <v>0.75</v>
      </c>
      <c r="AC14" s="185">
        <f t="shared" si="4"/>
        <v>3</v>
      </c>
      <c r="AD14" s="185">
        <f t="shared" si="5"/>
        <v>6</v>
      </c>
    </row>
    <row r="15" spans="1:31" s="113" customFormat="1" ht="15.75" x14ac:dyDescent="0.25">
      <c r="A15" s="315">
        <f t="shared" si="6"/>
        <v>14</v>
      </c>
      <c r="B15" s="314" t="s">
        <v>245</v>
      </c>
      <c r="C15" s="415">
        <v>2</v>
      </c>
      <c r="D15" s="383"/>
      <c r="E15" s="508"/>
      <c r="F15" s="383"/>
      <c r="G15" s="508"/>
      <c r="H15" s="383"/>
      <c r="I15" s="508"/>
      <c r="J15" s="383"/>
      <c r="K15" s="508"/>
      <c r="L15" s="383"/>
      <c r="M15" s="508"/>
      <c r="N15" s="573"/>
      <c r="O15" s="340">
        <f t="shared" si="0"/>
        <v>2</v>
      </c>
      <c r="P15" s="438">
        <f t="shared" si="1"/>
        <v>10</v>
      </c>
      <c r="Q15" s="169">
        <v>22</v>
      </c>
      <c r="R15" s="237" t="s">
        <v>226</v>
      </c>
      <c r="S15" s="282">
        <v>46235</v>
      </c>
      <c r="T15" s="320">
        <v>0</v>
      </c>
      <c r="U15" s="320"/>
      <c r="V15" s="227">
        <v>45444</v>
      </c>
      <c r="W15" s="223">
        <v>1</v>
      </c>
      <c r="X15" s="223">
        <v>2</v>
      </c>
      <c r="Y15" s="223">
        <v>1</v>
      </c>
      <c r="Z15" s="223">
        <v>2</v>
      </c>
      <c r="AA15" s="185">
        <f t="shared" si="2"/>
        <v>6</v>
      </c>
      <c r="AB15" s="185">
        <f t="shared" si="3"/>
        <v>1.5</v>
      </c>
      <c r="AC15" s="185">
        <f t="shared" si="4"/>
        <v>6</v>
      </c>
      <c r="AD15" s="185">
        <f t="shared" si="5"/>
        <v>12</v>
      </c>
      <c r="AE15" s="13"/>
    </row>
    <row r="16" spans="1:31" ht="15" customHeight="1" x14ac:dyDescent="0.25">
      <c r="A16" s="315">
        <f t="shared" si="6"/>
        <v>15</v>
      </c>
      <c r="B16" s="314" t="s">
        <v>242</v>
      </c>
      <c r="C16" s="415">
        <v>2</v>
      </c>
      <c r="D16" s="383"/>
      <c r="E16" s="508"/>
      <c r="F16" s="383"/>
      <c r="G16" s="508"/>
      <c r="H16" s="383"/>
      <c r="I16" s="508"/>
      <c r="J16" s="383"/>
      <c r="K16" s="508"/>
      <c r="L16" s="383"/>
      <c r="M16" s="508"/>
      <c r="N16" s="573"/>
      <c r="O16" s="340">
        <f t="shared" si="0"/>
        <v>2</v>
      </c>
      <c r="P16" s="438">
        <f t="shared" si="1"/>
        <v>14</v>
      </c>
      <c r="Q16" s="169">
        <v>22</v>
      </c>
      <c r="R16" s="237" t="s">
        <v>226</v>
      </c>
      <c r="S16" s="227">
        <v>46600</v>
      </c>
      <c r="T16" s="320">
        <v>2</v>
      </c>
      <c r="U16" s="320"/>
      <c r="V16" s="227">
        <v>45566</v>
      </c>
      <c r="W16" s="223">
        <v>2</v>
      </c>
      <c r="X16" s="223">
        <v>2</v>
      </c>
      <c r="Y16" s="223">
        <v>2</v>
      </c>
      <c r="Z16" s="223">
        <v>2</v>
      </c>
      <c r="AA16" s="185">
        <f t="shared" si="2"/>
        <v>8</v>
      </c>
      <c r="AB16" s="185">
        <f t="shared" si="3"/>
        <v>2</v>
      </c>
      <c r="AC16" s="185">
        <f t="shared" si="4"/>
        <v>8</v>
      </c>
      <c r="AD16" s="185">
        <f t="shared" si="5"/>
        <v>16</v>
      </c>
    </row>
    <row r="17" spans="1:31" s="113" customFormat="1" ht="15" customHeight="1" x14ac:dyDescent="0.25">
      <c r="A17" s="315">
        <f t="shared" si="6"/>
        <v>16</v>
      </c>
      <c r="B17" s="314" t="s">
        <v>870</v>
      </c>
      <c r="C17" s="415">
        <v>0</v>
      </c>
      <c r="D17" s="383"/>
      <c r="E17" s="508"/>
      <c r="F17" s="383"/>
      <c r="G17" s="508"/>
      <c r="H17" s="383"/>
      <c r="I17" s="508"/>
      <c r="J17" s="383"/>
      <c r="K17" s="508"/>
      <c r="L17" s="383"/>
      <c r="M17" s="508"/>
      <c r="N17" s="573"/>
      <c r="O17" s="340">
        <f t="shared" si="0"/>
        <v>0</v>
      </c>
      <c r="P17" s="438">
        <f t="shared" si="1"/>
        <v>8</v>
      </c>
      <c r="Q17" s="169">
        <v>22</v>
      </c>
      <c r="R17" s="176" t="s">
        <v>226</v>
      </c>
      <c r="S17" s="227">
        <v>46113</v>
      </c>
      <c r="T17" s="320">
        <v>0</v>
      </c>
      <c r="U17" s="320"/>
      <c r="V17" s="227">
        <v>45566</v>
      </c>
      <c r="W17" s="222"/>
      <c r="X17" s="223">
        <v>1</v>
      </c>
      <c r="Y17" s="223">
        <v>1</v>
      </c>
      <c r="Z17" s="223">
        <v>2</v>
      </c>
      <c r="AA17" s="185">
        <f t="shared" si="2"/>
        <v>4</v>
      </c>
      <c r="AB17" s="185">
        <f t="shared" si="3"/>
        <v>1</v>
      </c>
      <c r="AC17" s="185">
        <f t="shared" si="4"/>
        <v>4</v>
      </c>
      <c r="AD17" s="185">
        <f t="shared" si="5"/>
        <v>8</v>
      </c>
      <c r="AE17" s="13"/>
    </row>
    <row r="18" spans="1:31" ht="15" customHeight="1" x14ac:dyDescent="0.25">
      <c r="A18" s="315">
        <f t="shared" si="6"/>
        <v>17</v>
      </c>
      <c r="B18" s="314" t="s">
        <v>329</v>
      </c>
      <c r="C18" s="340">
        <v>1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1</v>
      </c>
      <c r="P18" s="438">
        <f t="shared" si="1"/>
        <v>5</v>
      </c>
      <c r="Q18" s="7">
        <v>72</v>
      </c>
      <c r="R18" s="125" t="s">
        <v>87</v>
      </c>
      <c r="S18" s="129">
        <v>46357</v>
      </c>
      <c r="T18" s="316">
        <v>0</v>
      </c>
      <c r="U18" s="316"/>
      <c r="V18" s="118">
        <v>45413</v>
      </c>
      <c r="W18" s="309"/>
      <c r="X18" s="122">
        <v>1</v>
      </c>
      <c r="Y18" s="122">
        <v>1</v>
      </c>
      <c r="Z18" s="309">
        <v>1</v>
      </c>
      <c r="AA18" s="185">
        <f t="shared" si="2"/>
        <v>3</v>
      </c>
      <c r="AB18" s="185">
        <f t="shared" si="3"/>
        <v>0.75</v>
      </c>
      <c r="AC18" s="185">
        <f t="shared" si="4"/>
        <v>3</v>
      </c>
      <c r="AD18" s="185">
        <f t="shared" si="5"/>
        <v>6</v>
      </c>
    </row>
    <row r="19" spans="1:31" s="113" customFormat="1" x14ac:dyDescent="0.25">
      <c r="A19" s="315">
        <f t="shared" si="6"/>
        <v>18</v>
      </c>
      <c r="B19" s="314" t="s">
        <v>211</v>
      </c>
      <c r="C19" s="340">
        <v>2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0">
        <f t="shared" si="0"/>
        <v>2</v>
      </c>
      <c r="P19" s="438">
        <f t="shared" si="1"/>
        <v>6</v>
      </c>
      <c r="Q19" s="7">
        <v>38</v>
      </c>
      <c r="R19" s="252" t="s">
        <v>87</v>
      </c>
      <c r="S19" s="118">
        <v>46113</v>
      </c>
      <c r="T19" s="316">
        <v>0</v>
      </c>
      <c r="U19" s="316"/>
      <c r="V19" s="118">
        <v>45597</v>
      </c>
      <c r="W19" s="309">
        <v>1</v>
      </c>
      <c r="X19" s="309">
        <v>1</v>
      </c>
      <c r="Y19" s="309">
        <v>1</v>
      </c>
      <c r="Z19" s="309">
        <v>1</v>
      </c>
      <c r="AA19" s="185">
        <f t="shared" si="2"/>
        <v>4</v>
      </c>
      <c r="AB19" s="185">
        <f t="shared" si="3"/>
        <v>1</v>
      </c>
      <c r="AC19" s="185">
        <f t="shared" si="4"/>
        <v>4</v>
      </c>
      <c r="AD19" s="185">
        <f t="shared" si="5"/>
        <v>8</v>
      </c>
      <c r="AE19" s="13"/>
    </row>
    <row r="20" spans="1:31" x14ac:dyDescent="0.25">
      <c r="A20" s="315">
        <f t="shared" si="6"/>
        <v>19</v>
      </c>
      <c r="B20" s="314" t="s">
        <v>21</v>
      </c>
      <c r="C20" s="340">
        <v>4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0">
        <f t="shared" si="0"/>
        <v>4</v>
      </c>
      <c r="P20" s="438">
        <f t="shared" si="1"/>
        <v>6</v>
      </c>
      <c r="Q20" s="7">
        <v>22</v>
      </c>
      <c r="R20" s="28" t="s">
        <v>87</v>
      </c>
      <c r="S20" s="129">
        <v>46357</v>
      </c>
      <c r="T20" s="17">
        <v>0</v>
      </c>
      <c r="U20" s="17">
        <v>2</v>
      </c>
      <c r="V20" s="118">
        <v>45717</v>
      </c>
      <c r="W20" s="122">
        <v>1</v>
      </c>
      <c r="X20" s="122">
        <v>1</v>
      </c>
      <c r="Y20" s="122">
        <v>1</v>
      </c>
      <c r="Z20" s="309">
        <v>2</v>
      </c>
      <c r="AA20" s="185">
        <f t="shared" si="2"/>
        <v>5</v>
      </c>
      <c r="AB20" s="185">
        <f t="shared" si="3"/>
        <v>1.25</v>
      </c>
      <c r="AC20" s="185">
        <f t="shared" si="4"/>
        <v>5</v>
      </c>
      <c r="AD20" s="185">
        <f t="shared" si="5"/>
        <v>10</v>
      </c>
    </row>
    <row r="21" spans="1:31" ht="15" customHeight="1" x14ac:dyDescent="0.25">
      <c r="A21" s="315">
        <f t="shared" si="6"/>
        <v>20</v>
      </c>
      <c r="B21" s="314" t="s">
        <v>680</v>
      </c>
      <c r="C21" s="340">
        <v>1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0">
        <f t="shared" si="0"/>
        <v>1</v>
      </c>
      <c r="P21" s="438">
        <f t="shared" si="1"/>
        <v>7</v>
      </c>
      <c r="Q21" s="7">
        <v>22</v>
      </c>
      <c r="R21" s="28" t="s">
        <v>87</v>
      </c>
      <c r="S21" s="129">
        <v>46388</v>
      </c>
      <c r="T21" s="316">
        <v>2</v>
      </c>
      <c r="U21" s="316">
        <v>3</v>
      </c>
      <c r="V21" s="118">
        <v>45717</v>
      </c>
      <c r="W21" s="309">
        <v>1</v>
      </c>
      <c r="X21" s="309">
        <v>1</v>
      </c>
      <c r="Y21" s="309">
        <v>1</v>
      </c>
      <c r="Z21" s="309">
        <v>1</v>
      </c>
      <c r="AA21" s="185">
        <f t="shared" si="2"/>
        <v>4</v>
      </c>
      <c r="AB21" s="185">
        <f t="shared" si="3"/>
        <v>1</v>
      </c>
      <c r="AC21" s="185">
        <f t="shared" si="4"/>
        <v>4</v>
      </c>
      <c r="AD21" s="185">
        <f t="shared" si="5"/>
        <v>8</v>
      </c>
    </row>
    <row r="22" spans="1:31" x14ac:dyDescent="0.25">
      <c r="A22" s="315">
        <f t="shared" si="6"/>
        <v>21</v>
      </c>
      <c r="B22" s="314" t="s">
        <v>22</v>
      </c>
      <c r="C22" s="340">
        <v>2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0">
        <f t="shared" si="0"/>
        <v>2</v>
      </c>
      <c r="P22" s="438">
        <f t="shared" si="1"/>
        <v>10</v>
      </c>
      <c r="Q22" s="7">
        <v>22</v>
      </c>
      <c r="R22" s="252" t="s">
        <v>87</v>
      </c>
      <c r="S22" s="129">
        <v>46266</v>
      </c>
      <c r="T22" s="316">
        <v>2</v>
      </c>
      <c r="U22" s="316">
        <v>2</v>
      </c>
      <c r="V22" s="118">
        <v>45717</v>
      </c>
      <c r="W22" s="309">
        <v>2</v>
      </c>
      <c r="X22" s="309">
        <v>1</v>
      </c>
      <c r="Y22" s="309">
        <v>2</v>
      </c>
      <c r="Z22" s="309">
        <v>1</v>
      </c>
      <c r="AA22" s="185">
        <f t="shared" si="2"/>
        <v>6</v>
      </c>
      <c r="AB22" s="185">
        <f t="shared" si="3"/>
        <v>1.5</v>
      </c>
      <c r="AC22" s="185">
        <f t="shared" si="4"/>
        <v>6</v>
      </c>
      <c r="AD22" s="185">
        <f t="shared" si="5"/>
        <v>12</v>
      </c>
    </row>
    <row r="23" spans="1:31" ht="15" customHeight="1" x14ac:dyDescent="0.25">
      <c r="A23" s="315">
        <f t="shared" si="6"/>
        <v>22</v>
      </c>
      <c r="B23" s="314" t="s">
        <v>679</v>
      </c>
      <c r="C23" s="340">
        <v>1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0">
        <f t="shared" si="0"/>
        <v>1</v>
      </c>
      <c r="P23" s="438">
        <f t="shared" si="1"/>
        <v>7</v>
      </c>
      <c r="Q23" s="7">
        <v>22</v>
      </c>
      <c r="R23" s="28" t="s">
        <v>87</v>
      </c>
      <c r="S23" s="129">
        <v>46296</v>
      </c>
      <c r="T23" s="316">
        <v>0</v>
      </c>
      <c r="U23" s="316"/>
      <c r="V23" s="118">
        <v>45658</v>
      </c>
      <c r="W23" s="309">
        <v>1</v>
      </c>
      <c r="X23" s="309">
        <v>1</v>
      </c>
      <c r="Y23" s="309">
        <v>1</v>
      </c>
      <c r="Z23" s="309">
        <v>1</v>
      </c>
      <c r="AA23" s="185">
        <f t="shared" si="2"/>
        <v>4</v>
      </c>
      <c r="AB23" s="185">
        <f t="shared" si="3"/>
        <v>1</v>
      </c>
      <c r="AC23" s="185">
        <f t="shared" si="4"/>
        <v>4</v>
      </c>
      <c r="AD23" s="185">
        <f t="shared" si="5"/>
        <v>8</v>
      </c>
    </row>
    <row r="24" spans="1:31" s="113" customFormat="1" x14ac:dyDescent="0.25">
      <c r="A24" s="315">
        <f t="shared" si="6"/>
        <v>23</v>
      </c>
      <c r="B24" s="105" t="s">
        <v>839</v>
      </c>
      <c r="C24" s="195">
        <v>2</v>
      </c>
      <c r="D24" s="359"/>
      <c r="E24" s="478"/>
      <c r="F24" s="359"/>
      <c r="G24" s="478"/>
      <c r="H24" s="359"/>
      <c r="I24" s="478"/>
      <c r="J24" s="359"/>
      <c r="K24" s="478"/>
      <c r="L24" s="359"/>
      <c r="M24" s="478"/>
      <c r="N24" s="561"/>
      <c r="O24" s="340">
        <f t="shared" si="0"/>
        <v>2</v>
      </c>
      <c r="P24" s="438">
        <f t="shared" si="1"/>
        <v>10</v>
      </c>
      <c r="Q24" s="44">
        <v>10</v>
      </c>
      <c r="R24" s="28"/>
      <c r="S24" s="129"/>
      <c r="T24" s="316">
        <v>0</v>
      </c>
      <c r="U24" s="118"/>
      <c r="V24" s="118">
        <v>45383</v>
      </c>
      <c r="W24" s="309"/>
      <c r="X24" s="309">
        <v>1</v>
      </c>
      <c r="Y24" s="309">
        <v>3</v>
      </c>
      <c r="Z24" s="309">
        <v>2</v>
      </c>
      <c r="AA24" s="185">
        <f t="shared" si="2"/>
        <v>6</v>
      </c>
      <c r="AB24" s="185">
        <f t="shared" si="3"/>
        <v>1.5</v>
      </c>
      <c r="AC24" s="185">
        <f t="shared" si="4"/>
        <v>6</v>
      </c>
      <c r="AD24" s="185">
        <f t="shared" si="5"/>
        <v>12</v>
      </c>
      <c r="AE24" s="13"/>
    </row>
    <row r="25" spans="1:31" ht="15" customHeight="1" x14ac:dyDescent="0.25">
      <c r="A25" s="315">
        <f t="shared" si="6"/>
        <v>24</v>
      </c>
      <c r="B25" s="314" t="s">
        <v>1174</v>
      </c>
      <c r="C25" s="340">
        <v>21</v>
      </c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340">
        <f t="shared" si="0"/>
        <v>21</v>
      </c>
      <c r="P25" s="438">
        <f t="shared" si="1"/>
        <v>7</v>
      </c>
      <c r="Q25" s="7">
        <v>6.5</v>
      </c>
      <c r="R25" s="28" t="s">
        <v>326</v>
      </c>
      <c r="S25" s="129">
        <v>46874</v>
      </c>
      <c r="T25" s="316">
        <v>0</v>
      </c>
      <c r="U25" s="316"/>
      <c r="V25" s="118">
        <v>45597</v>
      </c>
      <c r="W25" s="309">
        <v>1</v>
      </c>
      <c r="X25" s="309">
        <v>5</v>
      </c>
      <c r="Y25" s="309">
        <v>2</v>
      </c>
      <c r="Z25" s="309">
        <v>6</v>
      </c>
      <c r="AA25" s="185">
        <f t="shared" si="2"/>
        <v>14</v>
      </c>
      <c r="AB25" s="185">
        <f t="shared" si="3"/>
        <v>3.5</v>
      </c>
      <c r="AC25" s="185">
        <f t="shared" si="4"/>
        <v>14</v>
      </c>
      <c r="AD25" s="185">
        <f t="shared" si="5"/>
        <v>28</v>
      </c>
    </row>
    <row r="26" spans="1:31" ht="15" customHeight="1" x14ac:dyDescent="0.25">
      <c r="A26" s="315">
        <f t="shared" si="6"/>
        <v>25</v>
      </c>
      <c r="B26" s="314" t="s">
        <v>91</v>
      </c>
      <c r="C26" s="340">
        <v>1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40">
        <f t="shared" si="0"/>
        <v>1</v>
      </c>
      <c r="P26" s="438">
        <f t="shared" si="1"/>
        <v>7</v>
      </c>
      <c r="Q26" s="7">
        <v>89</v>
      </c>
      <c r="R26" s="28" t="s">
        <v>87</v>
      </c>
      <c r="S26" s="198">
        <v>46447</v>
      </c>
      <c r="T26" s="318">
        <v>0</v>
      </c>
      <c r="U26" s="318"/>
      <c r="V26" s="344">
        <v>45474</v>
      </c>
      <c r="W26" s="309">
        <v>1</v>
      </c>
      <c r="X26" s="309">
        <v>1</v>
      </c>
      <c r="Y26" s="309">
        <v>1</v>
      </c>
      <c r="Z26" s="309">
        <v>1</v>
      </c>
      <c r="AA26" s="185">
        <f t="shared" si="2"/>
        <v>4</v>
      </c>
      <c r="AB26" s="185">
        <f t="shared" si="3"/>
        <v>1</v>
      </c>
      <c r="AC26" s="185">
        <f t="shared" si="4"/>
        <v>4</v>
      </c>
      <c r="AD26" s="185">
        <f t="shared" si="5"/>
        <v>8</v>
      </c>
    </row>
    <row r="27" spans="1:31" ht="15" customHeight="1" x14ac:dyDescent="0.25">
      <c r="A27" s="315">
        <f t="shared" si="6"/>
        <v>26</v>
      </c>
      <c r="B27" s="314" t="s">
        <v>879</v>
      </c>
      <c r="C27" s="340">
        <v>1</v>
      </c>
      <c r="D27" s="359"/>
      <c r="E27" s="478"/>
      <c r="F27" s="360"/>
      <c r="G27" s="480"/>
      <c r="H27" s="360"/>
      <c r="I27" s="480"/>
      <c r="J27" s="360"/>
      <c r="K27" s="480"/>
      <c r="L27" s="360"/>
      <c r="M27" s="480"/>
      <c r="N27" s="562"/>
      <c r="O27" s="340">
        <f t="shared" si="0"/>
        <v>1</v>
      </c>
      <c r="P27" s="340">
        <f t="shared" si="1"/>
        <v>-1</v>
      </c>
      <c r="Q27" s="7">
        <v>290</v>
      </c>
      <c r="R27" s="28" t="s">
        <v>87</v>
      </c>
      <c r="S27" s="129">
        <v>46631</v>
      </c>
      <c r="V27" s="81">
        <v>45444</v>
      </c>
      <c r="AA27" s="185">
        <f t="shared" si="2"/>
        <v>0</v>
      </c>
      <c r="AB27" s="185">
        <f t="shared" si="3"/>
        <v>0</v>
      </c>
      <c r="AC27" s="185">
        <f t="shared" si="4"/>
        <v>0</v>
      </c>
      <c r="AD27" s="185">
        <f t="shared" si="5"/>
        <v>0</v>
      </c>
    </row>
    <row r="28" spans="1:31" s="117" customFormat="1" ht="15" customHeight="1" x14ac:dyDescent="0.25">
      <c r="A28" s="315">
        <f t="shared" si="6"/>
        <v>27</v>
      </c>
      <c r="B28" s="314" t="s">
        <v>716</v>
      </c>
      <c r="C28" s="280">
        <v>1</v>
      </c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340">
        <f t="shared" si="0"/>
        <v>1</v>
      </c>
      <c r="P28" s="438">
        <f t="shared" si="1"/>
        <v>7</v>
      </c>
      <c r="Q28" s="7">
        <v>37</v>
      </c>
      <c r="R28" s="28" t="s">
        <v>87</v>
      </c>
      <c r="S28" s="129">
        <v>45870</v>
      </c>
      <c r="T28" s="316">
        <v>2</v>
      </c>
      <c r="U28" s="316"/>
      <c r="V28" s="199">
        <v>45597</v>
      </c>
      <c r="W28" s="309">
        <v>1</v>
      </c>
      <c r="X28" s="107"/>
      <c r="Y28" s="107">
        <v>2</v>
      </c>
      <c r="Z28" s="309">
        <v>1</v>
      </c>
      <c r="AA28" s="185">
        <f t="shared" si="2"/>
        <v>4</v>
      </c>
      <c r="AB28" s="185">
        <f t="shared" si="3"/>
        <v>1</v>
      </c>
      <c r="AC28" s="185">
        <f t="shared" si="4"/>
        <v>4</v>
      </c>
      <c r="AD28" s="185">
        <f t="shared" si="5"/>
        <v>8</v>
      </c>
      <c r="AE28" s="13"/>
    </row>
    <row r="29" spans="1:31" ht="15.75" x14ac:dyDescent="0.25">
      <c r="A29" s="315">
        <f t="shared" si="6"/>
        <v>28</v>
      </c>
      <c r="B29" s="314" t="s">
        <v>979</v>
      </c>
      <c r="C29" s="280">
        <v>2</v>
      </c>
      <c r="D29" s="452"/>
      <c r="E29" s="514"/>
      <c r="F29" s="383"/>
      <c r="G29" s="508"/>
      <c r="H29" s="383"/>
      <c r="I29" s="508"/>
      <c r="J29" s="388"/>
      <c r="K29" s="507"/>
      <c r="L29" s="383"/>
      <c r="M29" s="508"/>
      <c r="N29" s="573"/>
      <c r="O29" s="340">
        <f t="shared" si="0"/>
        <v>2</v>
      </c>
      <c r="P29" s="438">
        <f t="shared" si="1"/>
        <v>2</v>
      </c>
      <c r="Q29" s="169">
        <v>29</v>
      </c>
      <c r="R29" s="28"/>
      <c r="S29" s="282"/>
      <c r="T29" s="320">
        <v>6</v>
      </c>
      <c r="U29" s="320"/>
      <c r="V29" s="227">
        <v>45536</v>
      </c>
      <c r="W29" s="223">
        <v>1</v>
      </c>
      <c r="X29" s="223">
        <v>1</v>
      </c>
      <c r="Y29" s="223"/>
      <c r="Z29" s="223"/>
      <c r="AA29" s="185">
        <f t="shared" si="2"/>
        <v>2</v>
      </c>
      <c r="AB29" s="185">
        <f t="shared" si="3"/>
        <v>0.5</v>
      </c>
      <c r="AC29" s="185">
        <f t="shared" si="4"/>
        <v>2</v>
      </c>
      <c r="AD29" s="185">
        <f t="shared" si="5"/>
        <v>4</v>
      </c>
    </row>
    <row r="30" spans="1:31" ht="15" customHeight="1" x14ac:dyDescent="0.25">
      <c r="A30" s="315">
        <f t="shared" si="6"/>
        <v>29</v>
      </c>
      <c r="B30" s="314" t="s">
        <v>945</v>
      </c>
      <c r="C30" s="340">
        <v>0</v>
      </c>
      <c r="D30" s="359"/>
      <c r="E30" s="478"/>
      <c r="F30" s="360"/>
      <c r="G30" s="480"/>
      <c r="H30" s="360"/>
      <c r="I30" s="480"/>
      <c r="J30" s="363"/>
      <c r="K30" s="502"/>
      <c r="L30" s="360"/>
      <c r="M30" s="480"/>
      <c r="N30" s="562"/>
      <c r="O30" s="340">
        <f t="shared" si="0"/>
        <v>0</v>
      </c>
      <c r="P30" s="438">
        <f t="shared" si="1"/>
        <v>2</v>
      </c>
      <c r="Q30" s="7">
        <v>0</v>
      </c>
      <c r="R30" s="28" t="s">
        <v>326</v>
      </c>
      <c r="S30" s="110"/>
      <c r="T30" s="53">
        <v>0</v>
      </c>
      <c r="U30" s="53"/>
      <c r="V30" s="112"/>
      <c r="W30" s="309"/>
      <c r="X30" s="309">
        <v>1</v>
      </c>
      <c r="Y30" s="309"/>
      <c r="Z30" s="309"/>
      <c r="AA30" s="185">
        <f t="shared" si="2"/>
        <v>1</v>
      </c>
      <c r="AB30" s="185">
        <f t="shared" si="3"/>
        <v>0.25</v>
      </c>
      <c r="AC30" s="185">
        <f t="shared" si="4"/>
        <v>1</v>
      </c>
      <c r="AD30" s="185">
        <f t="shared" si="5"/>
        <v>2</v>
      </c>
    </row>
    <row r="31" spans="1:31" ht="15" customHeight="1" x14ac:dyDescent="0.25">
      <c r="A31" s="315">
        <f t="shared" si="6"/>
        <v>30</v>
      </c>
      <c r="B31" s="314" t="s">
        <v>281</v>
      </c>
      <c r="C31" s="340">
        <v>0</v>
      </c>
      <c r="D31" s="374"/>
      <c r="E31" s="498"/>
      <c r="F31" s="359"/>
      <c r="G31" s="478"/>
      <c r="H31" s="359"/>
      <c r="I31" s="478"/>
      <c r="J31" s="359"/>
      <c r="K31" s="478"/>
      <c r="L31" s="359"/>
      <c r="M31" s="478"/>
      <c r="N31" s="561"/>
      <c r="O31" s="340">
        <f t="shared" si="0"/>
        <v>0</v>
      </c>
      <c r="P31" s="689">
        <f t="shared" si="1"/>
        <v>0</v>
      </c>
      <c r="Q31" s="7">
        <v>35</v>
      </c>
      <c r="R31" s="28" t="s">
        <v>87</v>
      </c>
      <c r="S31" s="118"/>
      <c r="T31" s="316">
        <v>0</v>
      </c>
      <c r="U31" s="316"/>
      <c r="V31" s="118"/>
      <c r="W31" s="309"/>
      <c r="X31" s="309"/>
      <c r="Y31" s="309"/>
      <c r="Z31" s="309"/>
      <c r="AA31" s="185">
        <f t="shared" si="2"/>
        <v>0</v>
      </c>
      <c r="AB31" s="185">
        <f t="shared" si="3"/>
        <v>0</v>
      </c>
      <c r="AC31" s="185">
        <f t="shared" si="4"/>
        <v>0</v>
      </c>
      <c r="AD31" s="185">
        <f t="shared" si="5"/>
        <v>0</v>
      </c>
    </row>
    <row r="32" spans="1:31" ht="15" customHeight="1" x14ac:dyDescent="0.25">
      <c r="A32" s="315">
        <f t="shared" si="6"/>
        <v>31</v>
      </c>
      <c r="B32" s="314" t="s">
        <v>530</v>
      </c>
      <c r="C32" s="340">
        <v>0</v>
      </c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340">
        <f t="shared" si="0"/>
        <v>0</v>
      </c>
      <c r="P32" s="689">
        <f t="shared" si="1"/>
        <v>0</v>
      </c>
      <c r="Q32" s="7">
        <v>6</v>
      </c>
      <c r="R32" s="28" t="s">
        <v>87</v>
      </c>
      <c r="S32" s="344"/>
      <c r="T32" s="318">
        <v>0</v>
      </c>
      <c r="U32" s="318"/>
      <c r="V32" s="344"/>
      <c r="W32" s="318"/>
      <c r="X32" s="309"/>
      <c r="Y32" s="309"/>
      <c r="Z32" s="309"/>
      <c r="AA32" s="185">
        <f t="shared" si="2"/>
        <v>0</v>
      </c>
      <c r="AB32" s="185">
        <f t="shared" si="3"/>
        <v>0</v>
      </c>
      <c r="AC32" s="185">
        <f t="shared" si="4"/>
        <v>0</v>
      </c>
      <c r="AD32" s="185">
        <f t="shared" si="5"/>
        <v>0</v>
      </c>
    </row>
    <row r="33" spans="1:31" s="117" customFormat="1" ht="15" customHeight="1" x14ac:dyDescent="0.25">
      <c r="A33" s="315">
        <f t="shared" si="6"/>
        <v>32</v>
      </c>
      <c r="B33" s="314" t="s">
        <v>46</v>
      </c>
      <c r="C33" s="340">
        <v>1</v>
      </c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340">
        <f t="shared" si="0"/>
        <v>1</v>
      </c>
      <c r="P33" s="438">
        <f t="shared" si="1"/>
        <v>7</v>
      </c>
      <c r="Q33" s="7">
        <v>35</v>
      </c>
      <c r="R33" s="28" t="s">
        <v>87</v>
      </c>
      <c r="S33" s="118">
        <v>46113</v>
      </c>
      <c r="T33" s="316">
        <v>1</v>
      </c>
      <c r="U33" s="316"/>
      <c r="V33" s="118">
        <v>45658</v>
      </c>
      <c r="W33" s="309">
        <v>1</v>
      </c>
      <c r="X33" s="309">
        <v>1</v>
      </c>
      <c r="Y33" s="309">
        <v>1</v>
      </c>
      <c r="Z33" s="309">
        <v>1</v>
      </c>
      <c r="AA33" s="185">
        <f t="shared" si="2"/>
        <v>4</v>
      </c>
      <c r="AB33" s="185">
        <f t="shared" si="3"/>
        <v>1</v>
      </c>
      <c r="AC33" s="185">
        <f t="shared" si="4"/>
        <v>4</v>
      </c>
      <c r="AD33" s="185">
        <f t="shared" si="5"/>
        <v>8</v>
      </c>
      <c r="AE33" s="13"/>
    </row>
    <row r="34" spans="1:31" s="113" customFormat="1" x14ac:dyDescent="0.25">
      <c r="A34" s="315">
        <f t="shared" si="6"/>
        <v>33</v>
      </c>
      <c r="B34" s="314" t="s">
        <v>321</v>
      </c>
      <c r="C34" s="340">
        <v>1</v>
      </c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340">
        <f t="shared" si="0"/>
        <v>1</v>
      </c>
      <c r="P34" s="438">
        <f t="shared" si="1"/>
        <v>9</v>
      </c>
      <c r="Q34" s="7">
        <v>69</v>
      </c>
      <c r="R34" s="28" t="s">
        <v>87</v>
      </c>
      <c r="S34" s="118">
        <v>46357</v>
      </c>
      <c r="T34" s="316"/>
      <c r="U34" s="316"/>
      <c r="V34" s="118">
        <v>45658</v>
      </c>
      <c r="W34" s="318">
        <v>1</v>
      </c>
      <c r="X34" s="309">
        <v>2</v>
      </c>
      <c r="Y34" s="309">
        <v>1</v>
      </c>
      <c r="Z34" s="309">
        <v>1</v>
      </c>
      <c r="AA34" s="185">
        <f t="shared" si="2"/>
        <v>5</v>
      </c>
      <c r="AB34" s="185">
        <f t="shared" si="3"/>
        <v>1.25</v>
      </c>
      <c r="AC34" s="185">
        <f t="shared" si="4"/>
        <v>5</v>
      </c>
      <c r="AD34" s="185">
        <f t="shared" si="5"/>
        <v>10</v>
      </c>
      <c r="AE34" s="13"/>
    </row>
    <row r="35" spans="1:31" ht="15" customHeight="1" x14ac:dyDescent="0.25">
      <c r="A35" s="315">
        <f t="shared" si="6"/>
        <v>34</v>
      </c>
      <c r="B35" s="105" t="s">
        <v>838</v>
      </c>
      <c r="C35" s="195">
        <v>0</v>
      </c>
      <c r="D35" s="361"/>
      <c r="E35" s="482"/>
      <c r="F35" s="361"/>
      <c r="G35" s="482"/>
      <c r="H35" s="361"/>
      <c r="I35" s="482"/>
      <c r="J35" s="359"/>
      <c r="K35" s="478"/>
      <c r="L35" s="361"/>
      <c r="M35" s="482"/>
      <c r="N35" s="563"/>
      <c r="O35" s="340">
        <f t="shared" si="0"/>
        <v>0</v>
      </c>
      <c r="P35" s="438">
        <f t="shared" si="1"/>
        <v>10</v>
      </c>
      <c r="Q35" s="44">
        <v>11</v>
      </c>
      <c r="R35" s="28"/>
      <c r="S35" s="118"/>
      <c r="T35" s="316">
        <v>0</v>
      </c>
      <c r="U35" s="118"/>
      <c r="V35" s="118">
        <v>45383</v>
      </c>
      <c r="W35" s="309">
        <v>2</v>
      </c>
      <c r="X35" s="309">
        <v>1</v>
      </c>
      <c r="Y35" s="309">
        <v>1</v>
      </c>
      <c r="Z35" s="309">
        <v>1</v>
      </c>
      <c r="AA35" s="185">
        <f t="shared" si="2"/>
        <v>5</v>
      </c>
      <c r="AB35" s="185">
        <f t="shared" si="3"/>
        <v>1.25</v>
      </c>
      <c r="AC35" s="185">
        <f t="shared" si="4"/>
        <v>5</v>
      </c>
      <c r="AD35" s="185">
        <f t="shared" si="5"/>
        <v>10</v>
      </c>
    </row>
    <row r="36" spans="1:31" s="113" customFormat="1" ht="15" customHeight="1" x14ac:dyDescent="0.25">
      <c r="A36" s="315">
        <f t="shared" ref="A36:A50" si="7">A35+1</f>
        <v>35</v>
      </c>
      <c r="B36" s="314" t="s">
        <v>496</v>
      </c>
      <c r="C36" s="340">
        <v>1</v>
      </c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340">
        <f t="shared" si="0"/>
        <v>1</v>
      </c>
      <c r="P36" s="438">
        <f t="shared" si="1"/>
        <v>3</v>
      </c>
      <c r="Q36" s="133">
        <v>65</v>
      </c>
      <c r="R36" s="28" t="s">
        <v>87</v>
      </c>
      <c r="S36" s="83">
        <v>46569</v>
      </c>
      <c r="T36" s="321"/>
      <c r="U36" s="321"/>
      <c r="V36" s="77">
        <v>45627</v>
      </c>
      <c r="W36" s="14"/>
      <c r="X36" s="14">
        <v>1</v>
      </c>
      <c r="Y36" s="14">
        <v>1</v>
      </c>
      <c r="Z36" s="28"/>
      <c r="AA36" s="185">
        <f t="shared" si="2"/>
        <v>2</v>
      </c>
      <c r="AB36" s="185">
        <f t="shared" si="3"/>
        <v>0.5</v>
      </c>
      <c r="AC36" s="185">
        <f t="shared" si="4"/>
        <v>2</v>
      </c>
      <c r="AD36" s="185">
        <f t="shared" si="5"/>
        <v>4</v>
      </c>
      <c r="AE36" s="146"/>
    </row>
    <row r="37" spans="1:31" ht="15" customHeight="1" x14ac:dyDescent="0.25">
      <c r="A37" s="315">
        <f t="shared" si="7"/>
        <v>36</v>
      </c>
      <c r="B37" s="314" t="s">
        <v>397</v>
      </c>
      <c r="C37" s="340">
        <v>0</v>
      </c>
      <c r="D37" s="380"/>
      <c r="E37" s="515"/>
      <c r="F37" s="380"/>
      <c r="G37" s="515"/>
      <c r="H37" s="380"/>
      <c r="I37" s="515"/>
      <c r="J37" s="380"/>
      <c r="K37" s="515"/>
      <c r="L37" s="380"/>
      <c r="M37" s="515"/>
      <c r="N37" s="580"/>
      <c r="O37" s="340">
        <f t="shared" si="0"/>
        <v>0</v>
      </c>
      <c r="P37" s="689">
        <f t="shared" si="1"/>
        <v>0</v>
      </c>
      <c r="Q37" s="133">
        <v>13</v>
      </c>
      <c r="R37" s="28" t="s">
        <v>1453</v>
      </c>
      <c r="T37" s="316"/>
      <c r="U37" s="316"/>
      <c r="V37" s="118"/>
      <c r="W37" s="309"/>
      <c r="X37" s="309"/>
      <c r="Y37" s="309"/>
      <c r="Z37" s="309"/>
      <c r="AA37" s="185">
        <f t="shared" si="2"/>
        <v>0</v>
      </c>
      <c r="AB37" s="185">
        <f t="shared" si="3"/>
        <v>0</v>
      </c>
      <c r="AC37" s="185">
        <f t="shared" si="4"/>
        <v>0</v>
      </c>
      <c r="AD37" s="185">
        <f t="shared" si="5"/>
        <v>0</v>
      </c>
    </row>
    <row r="38" spans="1:31" ht="15" customHeight="1" x14ac:dyDescent="0.25">
      <c r="A38" s="315">
        <f t="shared" si="7"/>
        <v>37</v>
      </c>
      <c r="B38" s="314" t="s">
        <v>398</v>
      </c>
      <c r="C38" s="340">
        <v>3</v>
      </c>
      <c r="D38" s="380"/>
      <c r="E38" s="515"/>
      <c r="F38" s="380"/>
      <c r="G38" s="515"/>
      <c r="H38" s="380"/>
      <c r="I38" s="515"/>
      <c r="J38" s="380"/>
      <c r="K38" s="515"/>
      <c r="L38" s="380"/>
      <c r="M38" s="515"/>
      <c r="N38" s="580"/>
      <c r="O38" s="340">
        <f t="shared" si="0"/>
        <v>3</v>
      </c>
      <c r="P38" s="438">
        <f t="shared" si="1"/>
        <v>5</v>
      </c>
      <c r="Q38" s="133">
        <v>11</v>
      </c>
      <c r="R38" s="28" t="s">
        <v>226</v>
      </c>
      <c r="T38" s="316">
        <v>12</v>
      </c>
      <c r="U38" s="316">
        <v>12</v>
      </c>
      <c r="V38" s="118">
        <v>45717</v>
      </c>
      <c r="W38" s="309">
        <v>1</v>
      </c>
      <c r="X38" s="309">
        <v>1</v>
      </c>
      <c r="Y38" s="309">
        <v>1</v>
      </c>
      <c r="Z38" s="309">
        <v>1</v>
      </c>
      <c r="AA38" s="185">
        <f t="shared" si="2"/>
        <v>4</v>
      </c>
      <c r="AB38" s="185">
        <f t="shared" si="3"/>
        <v>1</v>
      </c>
      <c r="AC38" s="185">
        <f t="shared" si="4"/>
        <v>4</v>
      </c>
      <c r="AD38" s="185">
        <f t="shared" si="5"/>
        <v>8</v>
      </c>
    </row>
    <row r="39" spans="1:31" ht="15" customHeight="1" x14ac:dyDescent="0.25">
      <c r="A39" s="315">
        <f t="shared" si="7"/>
        <v>38</v>
      </c>
      <c r="B39" s="314" t="s">
        <v>155</v>
      </c>
      <c r="C39" s="340">
        <v>4</v>
      </c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340">
        <f t="shared" si="0"/>
        <v>4</v>
      </c>
      <c r="P39" s="438">
        <f t="shared" si="1"/>
        <v>16</v>
      </c>
      <c r="Q39" s="7">
        <v>25</v>
      </c>
      <c r="R39" s="28" t="s">
        <v>87</v>
      </c>
      <c r="S39" s="118">
        <v>45962</v>
      </c>
      <c r="T39" s="316">
        <v>12</v>
      </c>
      <c r="U39" s="316">
        <v>12</v>
      </c>
      <c r="V39" s="118">
        <v>45717</v>
      </c>
      <c r="W39" s="122">
        <v>2</v>
      </c>
      <c r="X39" s="122">
        <v>3</v>
      </c>
      <c r="Y39" s="122">
        <v>3</v>
      </c>
      <c r="Z39" s="309">
        <v>2</v>
      </c>
      <c r="AA39" s="185">
        <f t="shared" si="2"/>
        <v>10</v>
      </c>
      <c r="AB39" s="185">
        <f t="shared" si="3"/>
        <v>2.5</v>
      </c>
      <c r="AC39" s="185">
        <f t="shared" si="4"/>
        <v>10</v>
      </c>
      <c r="AD39" s="185">
        <f t="shared" si="5"/>
        <v>20</v>
      </c>
    </row>
    <row r="40" spans="1:31" ht="15" customHeight="1" x14ac:dyDescent="0.25">
      <c r="A40" s="315">
        <f t="shared" si="7"/>
        <v>39</v>
      </c>
      <c r="B40" s="314" t="s">
        <v>1191</v>
      </c>
      <c r="C40" s="340">
        <v>140</v>
      </c>
      <c r="D40" s="359"/>
      <c r="E40" s="478">
        <v>19</v>
      </c>
      <c r="F40" s="359"/>
      <c r="G40" s="478">
        <v>6</v>
      </c>
      <c r="H40" s="359"/>
      <c r="I40" s="478"/>
      <c r="J40" s="359"/>
      <c r="K40" s="478"/>
      <c r="L40" s="359"/>
      <c r="M40" s="478">
        <v>4</v>
      </c>
      <c r="N40" s="561"/>
      <c r="O40" s="340">
        <f t="shared" si="0"/>
        <v>111</v>
      </c>
      <c r="P40" s="438">
        <f t="shared" si="1"/>
        <v>17</v>
      </c>
      <c r="Q40" s="7">
        <v>1.5</v>
      </c>
      <c r="R40" s="28" t="s">
        <v>87</v>
      </c>
      <c r="S40" s="118">
        <v>46204</v>
      </c>
      <c r="T40" s="316">
        <v>14</v>
      </c>
      <c r="U40" s="316"/>
      <c r="V40" s="344">
        <v>45689</v>
      </c>
      <c r="W40" s="122">
        <v>26</v>
      </c>
      <c r="X40" s="122">
        <v>18</v>
      </c>
      <c r="Y40" s="122">
        <v>15</v>
      </c>
      <c r="Z40" s="309">
        <v>5</v>
      </c>
      <c r="AA40" s="185">
        <f t="shared" si="2"/>
        <v>64</v>
      </c>
      <c r="AB40" s="185">
        <f t="shared" si="3"/>
        <v>16</v>
      </c>
      <c r="AC40" s="185">
        <f t="shared" si="4"/>
        <v>64</v>
      </c>
      <c r="AD40" s="185">
        <f t="shared" si="5"/>
        <v>128</v>
      </c>
    </row>
    <row r="41" spans="1:31" s="113" customFormat="1" ht="15" customHeight="1" x14ac:dyDescent="0.25">
      <c r="A41" s="315">
        <f t="shared" si="7"/>
        <v>40</v>
      </c>
      <c r="B41" s="314" t="s">
        <v>342</v>
      </c>
      <c r="C41" s="340">
        <v>1</v>
      </c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340">
        <f t="shared" si="0"/>
        <v>1</v>
      </c>
      <c r="P41" s="438">
        <f t="shared" si="1"/>
        <v>7</v>
      </c>
      <c r="Q41" s="7">
        <v>59</v>
      </c>
      <c r="R41" s="28" t="s">
        <v>87</v>
      </c>
      <c r="S41" s="118">
        <v>46447</v>
      </c>
      <c r="T41" s="316"/>
      <c r="U41" s="316"/>
      <c r="V41" s="118">
        <v>45536</v>
      </c>
      <c r="W41" s="309">
        <v>1</v>
      </c>
      <c r="X41" s="309">
        <v>1</v>
      </c>
      <c r="Y41" s="309">
        <v>1</v>
      </c>
      <c r="Z41" s="309">
        <v>1</v>
      </c>
      <c r="AA41" s="185">
        <f t="shared" si="2"/>
        <v>4</v>
      </c>
      <c r="AB41" s="185">
        <f t="shared" si="3"/>
        <v>1</v>
      </c>
      <c r="AC41" s="185">
        <f t="shared" si="4"/>
        <v>4</v>
      </c>
      <c r="AD41" s="185">
        <f t="shared" si="5"/>
        <v>8</v>
      </c>
      <c r="AE41" s="13"/>
    </row>
    <row r="42" spans="1:31" ht="15.75" x14ac:dyDescent="0.25">
      <c r="A42" s="315">
        <f t="shared" si="7"/>
        <v>41</v>
      </c>
      <c r="B42" s="164"/>
      <c r="C42" s="340"/>
      <c r="D42" s="361"/>
      <c r="E42" s="482"/>
      <c r="F42" s="361"/>
      <c r="G42" s="482"/>
      <c r="H42" s="361"/>
      <c r="I42" s="482"/>
      <c r="J42" s="361"/>
      <c r="K42" s="482"/>
      <c r="L42" s="361"/>
      <c r="M42" s="482"/>
      <c r="N42" s="563"/>
      <c r="O42" s="340"/>
      <c r="P42" s="340"/>
      <c r="Q42" s="133"/>
      <c r="R42" s="102"/>
      <c r="S42" s="118"/>
      <c r="T42" s="316"/>
      <c r="U42" s="118"/>
      <c r="V42" s="118"/>
      <c r="W42" s="122"/>
      <c r="X42" s="122"/>
      <c r="Y42" s="122"/>
      <c r="Z42" s="309"/>
      <c r="AA42" s="184">
        <f>W42+X42+Y42+Z42</f>
        <v>0</v>
      </c>
      <c r="AB42" s="185">
        <f t="shared" si="3"/>
        <v>0</v>
      </c>
      <c r="AC42" s="185">
        <f>AB42*4</f>
        <v>0</v>
      </c>
      <c r="AD42" s="185">
        <f>AC42*2</f>
        <v>0</v>
      </c>
    </row>
    <row r="43" spans="1:31" ht="15" customHeight="1" x14ac:dyDescent="0.25">
      <c r="A43" s="315">
        <f t="shared" si="7"/>
        <v>42</v>
      </c>
      <c r="B43" s="3"/>
      <c r="C43" s="340"/>
      <c r="D43" s="359"/>
      <c r="E43" s="478"/>
      <c r="F43" s="360"/>
      <c r="G43" s="480"/>
      <c r="H43" s="360"/>
      <c r="I43" s="480"/>
      <c r="J43" s="363"/>
      <c r="K43" s="502"/>
      <c r="L43" s="360"/>
      <c r="M43" s="480"/>
      <c r="N43" s="562"/>
      <c r="O43" s="47"/>
      <c r="P43" s="340"/>
      <c r="Q43" s="7"/>
      <c r="R43" s="8"/>
      <c r="S43" s="94"/>
      <c r="T43" s="338"/>
      <c r="U43" s="94"/>
      <c r="V43" s="118"/>
      <c r="W43" s="122"/>
      <c r="X43" s="122"/>
      <c r="Y43" s="122"/>
      <c r="Z43" s="309"/>
      <c r="AA43" s="190"/>
      <c r="AB43" s="152"/>
      <c r="AC43" s="152"/>
      <c r="AD43" s="152"/>
    </row>
    <row r="44" spans="1:31" ht="15" customHeight="1" x14ac:dyDescent="0.25">
      <c r="A44" s="315">
        <f t="shared" si="7"/>
        <v>43</v>
      </c>
      <c r="B44" s="3"/>
      <c r="C44" s="340"/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47"/>
      <c r="P44" s="340"/>
      <c r="Q44" s="7"/>
      <c r="R44" s="28"/>
      <c r="S44" s="118"/>
      <c r="T44" s="316"/>
      <c r="U44" s="118"/>
      <c r="V44" s="118"/>
      <c r="W44" s="122"/>
      <c r="X44" s="122"/>
      <c r="Y44" s="122"/>
      <c r="Z44" s="309"/>
      <c r="AA44" s="190"/>
      <c r="AB44" s="152"/>
      <c r="AC44" s="152"/>
      <c r="AD44" s="152"/>
    </row>
    <row r="45" spans="1:31" ht="15" customHeight="1" x14ac:dyDescent="0.25">
      <c r="A45" s="315">
        <f t="shared" si="7"/>
        <v>44</v>
      </c>
      <c r="B45" s="3"/>
      <c r="C45" s="47"/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47"/>
      <c r="P45" s="340"/>
      <c r="Q45" s="7"/>
      <c r="R45" s="28"/>
      <c r="S45" s="118"/>
      <c r="T45" s="118"/>
      <c r="U45" s="118"/>
      <c r="V45" s="118"/>
      <c r="W45" s="122"/>
      <c r="X45" s="122"/>
      <c r="Y45" s="122"/>
      <c r="Z45" s="309"/>
      <c r="AA45" s="190"/>
      <c r="AB45" s="152"/>
      <c r="AC45" s="152"/>
      <c r="AD45" s="152"/>
    </row>
    <row r="46" spans="1:31" ht="15" customHeight="1" x14ac:dyDescent="0.25">
      <c r="A46" s="315">
        <f t="shared" si="7"/>
        <v>45</v>
      </c>
      <c r="B46" s="3"/>
      <c r="C46" s="47"/>
      <c r="D46" s="367"/>
      <c r="E46" s="479"/>
      <c r="F46" s="364"/>
      <c r="G46" s="486"/>
      <c r="H46" s="364"/>
      <c r="I46" s="486"/>
      <c r="J46" s="381"/>
      <c r="K46" s="487"/>
      <c r="L46" s="364"/>
      <c r="M46" s="486"/>
      <c r="N46" s="568"/>
      <c r="O46" s="47"/>
      <c r="P46" s="340"/>
      <c r="Q46" s="7"/>
      <c r="R46" s="156"/>
      <c r="S46" s="112"/>
      <c r="T46" s="112"/>
      <c r="U46" s="112"/>
      <c r="V46" s="112"/>
      <c r="W46" s="189"/>
      <c r="X46" s="189"/>
      <c r="Y46" s="189"/>
      <c r="Z46" s="189"/>
      <c r="AA46" s="190"/>
      <c r="AB46" s="152"/>
      <c r="AC46" s="152"/>
      <c r="AD46" s="152"/>
    </row>
    <row r="47" spans="1:31" ht="15" customHeight="1" x14ac:dyDescent="0.25">
      <c r="A47" s="315">
        <f t="shared" si="7"/>
        <v>46</v>
      </c>
      <c r="B47" s="164"/>
      <c r="C47" s="47"/>
      <c r="D47" s="367"/>
      <c r="E47" s="479"/>
      <c r="F47" s="364"/>
      <c r="G47" s="486"/>
      <c r="H47" s="364"/>
      <c r="I47" s="486"/>
      <c r="J47" s="381"/>
      <c r="K47" s="487"/>
      <c r="L47" s="364"/>
      <c r="M47" s="486"/>
      <c r="N47" s="568"/>
      <c r="O47" s="47"/>
      <c r="P47" s="340"/>
      <c r="Q47" s="7"/>
      <c r="R47" s="177"/>
      <c r="S47" s="112"/>
      <c r="T47" s="112"/>
      <c r="U47" s="112"/>
      <c r="V47" s="112"/>
      <c r="W47" s="189"/>
      <c r="X47" s="189"/>
      <c r="Y47" s="189"/>
      <c r="Z47" s="189"/>
      <c r="AA47" s="190"/>
      <c r="AB47" s="152"/>
      <c r="AC47" s="152"/>
      <c r="AD47" s="152"/>
    </row>
    <row r="48" spans="1:31" ht="15" customHeight="1" x14ac:dyDescent="0.25">
      <c r="A48" s="315">
        <f t="shared" si="7"/>
        <v>47</v>
      </c>
      <c r="B48" s="3"/>
      <c r="C48" s="47"/>
      <c r="D48" s="359"/>
      <c r="E48" s="478"/>
      <c r="F48" s="360"/>
      <c r="G48" s="480"/>
      <c r="H48" s="360"/>
      <c r="I48" s="480"/>
      <c r="J48" s="360"/>
      <c r="K48" s="480"/>
      <c r="L48" s="360"/>
      <c r="M48" s="480"/>
      <c r="N48" s="562"/>
      <c r="O48" s="47"/>
      <c r="P48" s="340"/>
      <c r="Q48" s="7"/>
      <c r="R48" s="156"/>
      <c r="S48" s="110"/>
      <c r="T48" s="110"/>
      <c r="U48" s="110"/>
      <c r="V48" s="112"/>
      <c r="W48" s="189"/>
      <c r="X48" s="189"/>
      <c r="Y48" s="189"/>
      <c r="Z48" s="189"/>
      <c r="AA48" s="190"/>
      <c r="AB48" s="152"/>
      <c r="AC48" s="152"/>
      <c r="AD48" s="152"/>
    </row>
    <row r="49" spans="1:30" ht="15" customHeight="1" x14ac:dyDescent="0.25">
      <c r="A49" s="315">
        <f t="shared" si="7"/>
        <v>48</v>
      </c>
      <c r="B49" s="164"/>
      <c r="C49" s="47"/>
      <c r="D49" s="380"/>
      <c r="E49" s="515"/>
      <c r="F49" s="380"/>
      <c r="G49" s="515"/>
      <c r="H49" s="380"/>
      <c r="I49" s="515"/>
      <c r="J49" s="380"/>
      <c r="K49" s="515"/>
      <c r="L49" s="380"/>
      <c r="M49" s="515"/>
      <c r="N49" s="580"/>
      <c r="O49" s="47"/>
      <c r="P49" s="340"/>
      <c r="Q49" s="133"/>
      <c r="R49" s="102"/>
      <c r="V49" s="28"/>
      <c r="W49" s="122"/>
      <c r="X49" s="122"/>
      <c r="Y49" s="122"/>
      <c r="Z49" s="309"/>
      <c r="AA49" s="190"/>
      <c r="AB49" s="152"/>
      <c r="AC49" s="152"/>
      <c r="AD49" s="152"/>
    </row>
    <row r="50" spans="1:30" ht="15" customHeight="1" x14ac:dyDescent="0.25">
      <c r="A50" s="315">
        <f t="shared" si="7"/>
        <v>49</v>
      </c>
      <c r="B50" s="164"/>
      <c r="C50" s="47"/>
      <c r="D50" s="380"/>
      <c r="E50" s="515"/>
      <c r="F50" s="380"/>
      <c r="G50" s="515"/>
      <c r="H50" s="380"/>
      <c r="I50" s="515"/>
      <c r="J50" s="380"/>
      <c r="K50" s="515"/>
      <c r="L50" s="380"/>
      <c r="M50" s="515"/>
      <c r="N50" s="580"/>
      <c r="O50" s="47"/>
      <c r="P50" s="340"/>
      <c r="Q50" s="133"/>
      <c r="R50" s="102"/>
      <c r="V50" s="28"/>
      <c r="W50" s="122"/>
      <c r="X50" s="122"/>
      <c r="Y50" s="122"/>
      <c r="Z50" s="309"/>
      <c r="AA50" s="190"/>
      <c r="AB50" s="152"/>
      <c r="AC50" s="152"/>
      <c r="AD50" s="152"/>
    </row>
    <row r="51" spans="1:30" ht="15" customHeight="1" x14ac:dyDescent="0.25">
      <c r="A51" s="315">
        <f t="shared" ref="A51:A59" si="8">A50+1</f>
        <v>50</v>
      </c>
      <c r="B51" s="164"/>
      <c r="C51" s="47"/>
      <c r="D51" s="380"/>
      <c r="E51" s="515"/>
      <c r="F51" s="380"/>
      <c r="G51" s="515"/>
      <c r="H51" s="380"/>
      <c r="I51" s="515"/>
      <c r="J51" s="380"/>
      <c r="K51" s="515"/>
      <c r="L51" s="380"/>
      <c r="M51" s="515"/>
      <c r="N51" s="580"/>
      <c r="O51" s="47"/>
      <c r="P51" s="340"/>
      <c r="Q51" s="133"/>
      <c r="R51" s="102"/>
      <c r="V51" s="118"/>
      <c r="W51" s="122"/>
      <c r="X51" s="122"/>
      <c r="Y51" s="122"/>
      <c r="Z51" s="309"/>
      <c r="AA51" s="190"/>
      <c r="AB51" s="152"/>
      <c r="AC51" s="152"/>
      <c r="AD51" s="152"/>
    </row>
    <row r="52" spans="1:30" ht="15" customHeight="1" x14ac:dyDescent="0.25">
      <c r="A52" s="315">
        <f t="shared" si="8"/>
        <v>51</v>
      </c>
      <c r="B52" s="164"/>
      <c r="C52" s="47"/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47"/>
      <c r="P52" s="340"/>
      <c r="Q52" s="133"/>
      <c r="R52" s="102"/>
      <c r="V52" s="28"/>
      <c r="W52" s="122"/>
      <c r="X52" s="122"/>
      <c r="Y52" s="122"/>
      <c r="Z52" s="309"/>
      <c r="AA52" s="190"/>
      <c r="AB52" s="152"/>
      <c r="AC52" s="152"/>
      <c r="AD52" s="152"/>
    </row>
    <row r="53" spans="1:30" ht="15" customHeight="1" x14ac:dyDescent="0.25">
      <c r="A53" s="315">
        <f t="shared" si="8"/>
        <v>52</v>
      </c>
      <c r="B53" s="3"/>
      <c r="C53" s="47"/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47"/>
      <c r="P53" s="340"/>
      <c r="Q53" s="7"/>
      <c r="R53" s="8"/>
      <c r="S53" s="118"/>
      <c r="T53" s="118"/>
      <c r="U53" s="118"/>
      <c r="V53" s="118"/>
      <c r="W53" s="122"/>
      <c r="X53" s="122"/>
      <c r="Y53" s="122"/>
      <c r="Z53" s="309"/>
      <c r="AA53" s="190"/>
      <c r="AB53" s="152"/>
      <c r="AC53" s="152"/>
      <c r="AD53" s="152"/>
    </row>
    <row r="54" spans="1:30" ht="15" customHeight="1" x14ac:dyDescent="0.25">
      <c r="A54" s="315">
        <f t="shared" si="8"/>
        <v>53</v>
      </c>
      <c r="B54" s="3"/>
      <c r="C54" s="47"/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47"/>
      <c r="P54" s="340"/>
      <c r="Q54" s="7"/>
      <c r="R54" s="125"/>
      <c r="S54" s="118"/>
      <c r="T54" s="118"/>
      <c r="U54" s="118"/>
      <c r="V54" s="118"/>
      <c r="W54" s="122"/>
      <c r="X54" s="122"/>
      <c r="Y54" s="122"/>
      <c r="Z54" s="309"/>
      <c r="AA54" s="190"/>
      <c r="AB54" s="152"/>
      <c r="AC54" s="152"/>
      <c r="AD54" s="152"/>
    </row>
    <row r="55" spans="1:30" ht="15" customHeight="1" x14ac:dyDescent="0.25">
      <c r="A55" s="315">
        <f t="shared" si="8"/>
        <v>54</v>
      </c>
      <c r="B55" s="3"/>
      <c r="C55" s="47"/>
      <c r="D55" s="359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47"/>
      <c r="P55" s="338"/>
      <c r="Q55" s="9"/>
    </row>
    <row r="56" spans="1:30" ht="15" customHeight="1" x14ac:dyDescent="0.25">
      <c r="A56" s="315">
        <f t="shared" si="8"/>
        <v>55</v>
      </c>
      <c r="B56" s="3"/>
      <c r="C56" s="9"/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47"/>
      <c r="P56" s="338"/>
      <c r="Q56" s="9"/>
    </row>
    <row r="57" spans="1:30" ht="15" customHeight="1" x14ac:dyDescent="0.25">
      <c r="A57" s="315">
        <f t="shared" si="8"/>
        <v>56</v>
      </c>
      <c r="B57" s="3"/>
      <c r="C57" s="9"/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47"/>
      <c r="P57" s="338"/>
      <c r="Q57" s="9"/>
    </row>
    <row r="58" spans="1:30" ht="15" customHeight="1" x14ac:dyDescent="0.25">
      <c r="A58" s="315">
        <f t="shared" si="8"/>
        <v>57</v>
      </c>
      <c r="B58" s="3"/>
      <c r="C58" s="9"/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47"/>
      <c r="P58" s="338"/>
      <c r="Q58" s="9"/>
    </row>
    <row r="59" spans="1:30" ht="15" customHeight="1" x14ac:dyDescent="0.25">
      <c r="A59" s="315">
        <f t="shared" si="8"/>
        <v>58</v>
      </c>
      <c r="B59" s="3"/>
      <c r="C59" s="9"/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47"/>
      <c r="P59" s="338"/>
      <c r="Q59" s="9"/>
    </row>
    <row r="60" spans="1:30" ht="15" customHeight="1" x14ac:dyDescent="0.25">
      <c r="A60" s="13"/>
      <c r="B60" s="3"/>
      <c r="C60" s="9"/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47"/>
      <c r="P60" s="338"/>
      <c r="Q60" s="9"/>
    </row>
    <row r="61" spans="1:30" ht="15" customHeight="1" x14ac:dyDescent="0.25">
      <c r="A61" s="13"/>
      <c r="B61" s="3"/>
      <c r="C61" s="9"/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47"/>
      <c r="P61" s="338"/>
      <c r="Q61" s="9"/>
    </row>
    <row r="62" spans="1:30" ht="15" customHeight="1" x14ac:dyDescent="0.25">
      <c r="A62" s="13"/>
      <c r="B62" s="3"/>
      <c r="C62" s="9"/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47"/>
      <c r="P62" s="338"/>
      <c r="Q62" s="9"/>
    </row>
    <row r="63" spans="1:30" ht="15" customHeight="1" x14ac:dyDescent="0.25">
      <c r="A63" s="13"/>
      <c r="B63" s="3"/>
      <c r="C63" s="9"/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47"/>
      <c r="P63" s="338"/>
      <c r="Q63" s="9"/>
    </row>
    <row r="64" spans="1:30" ht="15" customHeight="1" x14ac:dyDescent="0.25">
      <c r="A64" s="13"/>
      <c r="B64" s="3"/>
      <c r="C64" s="8"/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47"/>
      <c r="P64" s="338"/>
      <c r="Q64" s="9"/>
    </row>
    <row r="65" spans="1:17" ht="15" customHeight="1" x14ac:dyDescent="0.25">
      <c r="A65" s="13"/>
      <c r="B65" s="3"/>
      <c r="C65" s="9"/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47"/>
      <c r="P65" s="338"/>
      <c r="Q65" s="9"/>
    </row>
    <row r="66" spans="1:17" ht="15" customHeight="1" x14ac:dyDescent="0.25">
      <c r="A66" s="13"/>
      <c r="B66" s="3"/>
      <c r="C66" s="8"/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47"/>
      <c r="P66" s="338"/>
      <c r="Q66" s="9"/>
    </row>
    <row r="67" spans="1:17" ht="15" customHeight="1" x14ac:dyDescent="0.25">
      <c r="A67" s="13"/>
      <c r="B67" s="3"/>
      <c r="C67" s="9"/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47"/>
      <c r="P67" s="338"/>
      <c r="Q67" s="9"/>
    </row>
    <row r="68" spans="1:17" ht="15" customHeight="1" x14ac:dyDescent="0.25">
      <c r="A68" s="13"/>
      <c r="B68" s="3"/>
      <c r="C68" s="9"/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47"/>
      <c r="P68" s="338"/>
      <c r="Q68" s="9"/>
    </row>
    <row r="69" spans="1:17" ht="15" customHeight="1" x14ac:dyDescent="0.25">
      <c r="A69" s="13"/>
      <c r="B69" s="3"/>
      <c r="C69" s="9"/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47"/>
      <c r="P69" s="338"/>
      <c r="Q69" s="9"/>
    </row>
    <row r="70" spans="1:17" ht="15" customHeight="1" x14ac:dyDescent="0.25">
      <c r="A70" s="13"/>
      <c r="B70" s="3"/>
      <c r="C70" s="9"/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47"/>
      <c r="P70" s="338"/>
      <c r="Q70" s="9"/>
    </row>
    <row r="71" spans="1:17" ht="15" customHeight="1" x14ac:dyDescent="0.25">
      <c r="A71" s="13"/>
      <c r="B71" s="3"/>
      <c r="C71" s="9"/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47"/>
      <c r="P71" s="338"/>
      <c r="Q71" s="9"/>
    </row>
    <row r="72" spans="1:17" ht="15" customHeight="1" x14ac:dyDescent="0.25">
      <c r="A72" s="3"/>
      <c r="B72" s="3"/>
      <c r="C72" s="8"/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47"/>
      <c r="P72" s="338"/>
      <c r="Q72" s="9"/>
    </row>
    <row r="73" spans="1:17" ht="15" customHeight="1" x14ac:dyDescent="0.25">
      <c r="A73" s="3"/>
      <c r="B73" s="3"/>
      <c r="C73" s="9"/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47"/>
      <c r="P73" s="338"/>
      <c r="Q73" s="9"/>
    </row>
    <row r="74" spans="1:17" ht="15" customHeight="1" x14ac:dyDescent="0.25">
      <c r="A74" s="3"/>
      <c r="B74" s="3"/>
      <c r="C74" s="8"/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47"/>
      <c r="P74" s="338"/>
      <c r="Q74" s="9"/>
    </row>
    <row r="75" spans="1:17" ht="15" customHeight="1" x14ac:dyDescent="0.25">
      <c r="A75" s="3"/>
      <c r="B75" s="3"/>
      <c r="C75" s="9"/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47"/>
      <c r="P75" s="338"/>
      <c r="Q75" s="9"/>
    </row>
    <row r="76" spans="1:17" ht="15" customHeight="1" x14ac:dyDescent="0.25">
      <c r="A76" s="3"/>
      <c r="B76" s="3"/>
      <c r="C76" s="9"/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47"/>
      <c r="P76" s="338"/>
      <c r="Q76" s="9"/>
    </row>
    <row r="77" spans="1:17" ht="15" customHeight="1" x14ac:dyDescent="0.25">
      <c r="A77" s="3"/>
      <c r="B77" s="3"/>
      <c r="C77" s="9"/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47"/>
      <c r="P77" s="338"/>
      <c r="Q77" s="9"/>
    </row>
    <row r="78" spans="1:17" ht="15" customHeight="1" x14ac:dyDescent="0.25">
      <c r="A78" s="3"/>
      <c r="B78" s="3"/>
      <c r="C78" s="8"/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47"/>
      <c r="P78" s="338"/>
      <c r="Q78" s="9"/>
    </row>
    <row r="79" spans="1:17" ht="15" customHeight="1" x14ac:dyDescent="0.25">
      <c r="A79" s="3"/>
      <c r="B79" s="3"/>
      <c r="C79" s="9"/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47"/>
      <c r="P79" s="338"/>
      <c r="Q79" s="9"/>
    </row>
    <row r="80" spans="1:17" ht="15" customHeight="1" x14ac:dyDescent="0.25">
      <c r="A80" s="3"/>
      <c r="B80" s="3"/>
      <c r="C80" s="9"/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47"/>
      <c r="P80" s="338"/>
      <c r="Q80" s="9"/>
    </row>
    <row r="81" spans="1:17" ht="15" customHeight="1" x14ac:dyDescent="0.25">
      <c r="A81" s="3"/>
      <c r="B81" s="3"/>
      <c r="C81" s="9"/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47"/>
      <c r="P81" s="338"/>
      <c r="Q81" s="9"/>
    </row>
    <row r="82" spans="1:17" ht="15" customHeight="1" x14ac:dyDescent="0.25">
      <c r="A82" s="3"/>
      <c r="B82" s="3"/>
      <c r="C82" s="9"/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47"/>
      <c r="P82" s="338"/>
      <c r="Q82" s="9"/>
    </row>
    <row r="83" spans="1:17" ht="15" customHeight="1" x14ac:dyDescent="0.25">
      <c r="A83" s="3"/>
      <c r="B83" s="3"/>
      <c r="C83" s="8"/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47"/>
      <c r="P83" s="338"/>
      <c r="Q83" s="9"/>
    </row>
    <row r="84" spans="1:17" ht="15" customHeight="1" x14ac:dyDescent="0.25">
      <c r="A84" s="3"/>
      <c r="B84" s="3"/>
      <c r="C84" s="9"/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47"/>
      <c r="P84" s="338"/>
      <c r="Q84" s="9"/>
    </row>
    <row r="85" spans="1:17" ht="15" customHeight="1" x14ac:dyDescent="0.25">
      <c r="A85" s="3"/>
      <c r="B85" s="3"/>
      <c r="C85" s="9"/>
      <c r="D85" s="359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47"/>
      <c r="P85" s="338"/>
      <c r="Q85" s="9"/>
    </row>
    <row r="86" spans="1:17" ht="15" customHeight="1" x14ac:dyDescent="0.25">
      <c r="A86" s="3"/>
      <c r="B86" s="3"/>
      <c r="C86" s="8"/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47"/>
      <c r="P86" s="338"/>
      <c r="Q86" s="9"/>
    </row>
    <row r="87" spans="1:17" ht="15" customHeight="1" x14ac:dyDescent="0.25">
      <c r="A87" s="3"/>
      <c r="B87" s="3"/>
      <c r="C87" s="8"/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47"/>
      <c r="P87" s="338"/>
      <c r="Q87" s="9"/>
    </row>
    <row r="88" spans="1:17" ht="15" customHeight="1" x14ac:dyDescent="0.25">
      <c r="A88" s="3"/>
      <c r="B88" s="3"/>
      <c r="C88" s="9"/>
      <c r="D88" s="359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47"/>
      <c r="P88" s="338"/>
      <c r="Q88" s="9"/>
    </row>
    <row r="89" spans="1:17" ht="15" customHeight="1" x14ac:dyDescent="0.25">
      <c r="A89" s="3"/>
      <c r="B89" s="3"/>
      <c r="C89" s="8"/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47"/>
      <c r="P89" s="338"/>
      <c r="Q89" s="9"/>
    </row>
    <row r="90" spans="1:17" ht="15" customHeight="1" x14ac:dyDescent="0.25">
      <c r="A90" s="3"/>
      <c r="B90" s="3"/>
      <c r="C90" s="9"/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47"/>
      <c r="P90" s="338"/>
      <c r="Q90" s="9"/>
    </row>
    <row r="91" spans="1:17" ht="15" customHeight="1" x14ac:dyDescent="0.25">
      <c r="A91" s="3"/>
      <c r="B91" s="3"/>
      <c r="C91" s="9"/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47"/>
      <c r="P91" s="338"/>
      <c r="Q91" s="9"/>
    </row>
    <row r="92" spans="1:17" ht="15" customHeight="1" x14ac:dyDescent="0.25">
      <c r="A92" s="3"/>
      <c r="B92" s="3"/>
      <c r="C92" s="9"/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47"/>
      <c r="P92" s="338"/>
      <c r="Q92" s="9"/>
    </row>
    <row r="93" spans="1:17" ht="15" customHeight="1" x14ac:dyDescent="0.25">
      <c r="A93" s="3"/>
      <c r="B93" s="3"/>
      <c r="C93" s="9"/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47"/>
      <c r="P93" s="338"/>
      <c r="Q93" s="9"/>
    </row>
    <row r="94" spans="1:17" ht="15" customHeight="1" x14ac:dyDescent="0.25">
      <c r="A94" s="3"/>
      <c r="B94" s="3"/>
      <c r="C94" s="9"/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47"/>
      <c r="P94" s="338"/>
      <c r="Q94" s="9"/>
    </row>
    <row r="95" spans="1:17" ht="15" customHeight="1" x14ac:dyDescent="0.25">
      <c r="A95" s="3"/>
      <c r="B95" s="3"/>
      <c r="C95" s="8"/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47"/>
      <c r="P95" s="338"/>
      <c r="Q95" s="50"/>
    </row>
    <row r="96" spans="1:17" ht="15" customHeight="1" x14ac:dyDescent="0.25">
      <c r="A96" s="3"/>
      <c r="B96" s="3"/>
      <c r="C96" s="9"/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47"/>
      <c r="P96" s="338"/>
      <c r="Q96" s="9"/>
    </row>
    <row r="97" spans="1:17" ht="15" customHeight="1" x14ac:dyDescent="0.25">
      <c r="A97" s="3"/>
      <c r="B97" s="3"/>
      <c r="C97" s="9"/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47"/>
      <c r="P97" s="338"/>
      <c r="Q97" s="9"/>
    </row>
    <row r="98" spans="1:17" ht="15" customHeight="1" x14ac:dyDescent="0.25">
      <c r="A98" s="3"/>
      <c r="B98" s="3"/>
      <c r="C98" s="9"/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47"/>
      <c r="P98" s="338"/>
      <c r="Q98" s="9"/>
    </row>
    <row r="99" spans="1:17" ht="15" customHeight="1" x14ac:dyDescent="0.25">
      <c r="A99" s="3"/>
      <c r="B99" s="3"/>
      <c r="C99" s="8"/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47"/>
      <c r="P99" s="338"/>
      <c r="Q99" s="9"/>
    </row>
    <row r="100" spans="1:17" ht="15" customHeight="1" x14ac:dyDescent="0.25">
      <c r="A100" s="3"/>
      <c r="B100" s="3"/>
      <c r="C100" s="9"/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47"/>
      <c r="P100" s="338"/>
      <c r="Q100" s="9"/>
    </row>
    <row r="101" spans="1:17" ht="15" customHeight="1" x14ac:dyDescent="0.25">
      <c r="A101" s="3"/>
      <c r="B101" s="3"/>
      <c r="C101" s="9"/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47"/>
      <c r="P101" s="338"/>
      <c r="Q101" s="9"/>
    </row>
    <row r="102" spans="1:17" ht="15" customHeight="1" x14ac:dyDescent="0.25">
      <c r="A102" s="3"/>
      <c r="B102" s="3"/>
      <c r="C102" s="9"/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47"/>
      <c r="P102" s="338"/>
      <c r="Q102" s="9"/>
    </row>
    <row r="103" spans="1:17" ht="15" customHeight="1" x14ac:dyDescent="0.25">
      <c r="A103" s="3"/>
      <c r="B103" s="3"/>
      <c r="C103" s="9"/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47"/>
      <c r="P103" s="338"/>
      <c r="Q103" s="9"/>
    </row>
    <row r="104" spans="1:17" ht="15" customHeight="1" x14ac:dyDescent="0.25">
      <c r="A104" s="3"/>
      <c r="B104" s="3"/>
      <c r="C104" s="9"/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47"/>
      <c r="P104" s="338"/>
      <c r="Q104" s="50"/>
    </row>
    <row r="105" spans="1:17" ht="15" customHeight="1" x14ac:dyDescent="0.25">
      <c r="A105" s="3"/>
      <c r="B105" s="3"/>
      <c r="C105" s="9"/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47"/>
      <c r="P105" s="338"/>
      <c r="Q105" s="50"/>
    </row>
    <row r="106" spans="1:17" ht="15" customHeight="1" x14ac:dyDescent="0.25">
      <c r="A106" s="3"/>
      <c r="B106" s="3"/>
      <c r="C106" s="9"/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47"/>
      <c r="P106" s="338"/>
      <c r="Q106" s="9"/>
    </row>
    <row r="107" spans="1:17" ht="15" customHeight="1" x14ac:dyDescent="0.25">
      <c r="A107" s="3"/>
      <c r="B107" s="3"/>
      <c r="C107" s="8"/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47"/>
      <c r="P107" s="338"/>
      <c r="Q107" s="9"/>
    </row>
    <row r="108" spans="1:17" ht="15" customHeight="1" x14ac:dyDescent="0.25">
      <c r="A108" s="3"/>
      <c r="B108" s="3"/>
      <c r="C108" s="9"/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47"/>
      <c r="P108" s="338"/>
      <c r="Q108" s="9"/>
    </row>
    <row r="109" spans="1:17" ht="15" customHeight="1" x14ac:dyDescent="0.25">
      <c r="A109" s="3"/>
      <c r="B109" s="3"/>
      <c r="C109" s="9"/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47"/>
      <c r="P109" s="338"/>
      <c r="Q109" s="9"/>
    </row>
    <row r="110" spans="1:17" ht="15" customHeight="1" x14ac:dyDescent="0.25">
      <c r="A110" s="3"/>
      <c r="B110" s="3"/>
      <c r="C110" s="9"/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47"/>
      <c r="P110" s="338"/>
      <c r="Q110" s="9"/>
    </row>
    <row r="111" spans="1:17" ht="15" customHeight="1" x14ac:dyDescent="0.25">
      <c r="A111" s="3"/>
      <c r="B111" s="3"/>
      <c r="C111" s="9"/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47"/>
      <c r="P111" s="338"/>
      <c r="Q111" s="9"/>
    </row>
    <row r="112" spans="1:17" ht="15" customHeight="1" x14ac:dyDescent="0.25">
      <c r="A112" s="3"/>
      <c r="B112" s="3"/>
      <c r="C112" s="8"/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47"/>
      <c r="P112" s="338"/>
      <c r="Q112" s="9"/>
    </row>
    <row r="113" spans="1:17" ht="15" customHeight="1" x14ac:dyDescent="0.25">
      <c r="A113" s="3"/>
      <c r="B113" s="3"/>
      <c r="C113" s="9"/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47"/>
      <c r="P113" s="338"/>
      <c r="Q113" s="9"/>
    </row>
    <row r="114" spans="1:17" ht="15" customHeight="1" x14ac:dyDescent="0.25">
      <c r="A114" s="3"/>
      <c r="B114" s="3"/>
      <c r="C114" s="9"/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47"/>
      <c r="P114" s="338"/>
      <c r="Q114" s="9"/>
    </row>
    <row r="115" spans="1:17" ht="15" customHeight="1" x14ac:dyDescent="0.25">
      <c r="A115" s="3"/>
      <c r="B115" s="3"/>
      <c r="C115" s="9"/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47"/>
      <c r="P115" s="338"/>
      <c r="Q115" s="9"/>
    </row>
    <row r="116" spans="1:17" ht="15" customHeight="1" x14ac:dyDescent="0.25">
      <c r="A116" s="3"/>
      <c r="B116" s="3"/>
      <c r="C116" s="9"/>
      <c r="D116" s="359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47"/>
      <c r="P116" s="338"/>
      <c r="Q116" s="9"/>
    </row>
    <row r="117" spans="1:17" ht="15" customHeight="1" x14ac:dyDescent="0.25">
      <c r="A117" s="3"/>
      <c r="B117" s="3"/>
      <c r="C117" s="9"/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47"/>
      <c r="P117" s="338"/>
      <c r="Q117" s="9"/>
    </row>
    <row r="118" spans="1:17" ht="15" customHeight="1" x14ac:dyDescent="0.25">
      <c r="A118" s="3"/>
      <c r="B118" s="3"/>
      <c r="C118" s="9"/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47"/>
      <c r="P118" s="338"/>
      <c r="Q118" s="9"/>
    </row>
    <row r="119" spans="1:17" ht="15" customHeight="1" x14ac:dyDescent="0.25">
      <c r="A119" s="3"/>
      <c r="B119" s="3"/>
      <c r="C119" s="8"/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47"/>
      <c r="P119" s="338"/>
      <c r="Q119" s="9"/>
    </row>
    <row r="120" spans="1:17" ht="15" customHeight="1" x14ac:dyDescent="0.25">
      <c r="A120" s="3"/>
      <c r="B120" s="3"/>
      <c r="C120" s="9"/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47"/>
      <c r="P120" s="338"/>
      <c r="Q120" s="9"/>
    </row>
    <row r="121" spans="1:17" ht="15" customHeight="1" x14ac:dyDescent="0.25">
      <c r="A121" s="3"/>
      <c r="B121" s="3"/>
      <c r="C121" s="9"/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47"/>
      <c r="P121" s="338"/>
      <c r="Q121" s="9"/>
    </row>
    <row r="122" spans="1:17" ht="15" customHeight="1" x14ac:dyDescent="0.25">
      <c r="A122" s="3"/>
      <c r="B122" s="3"/>
      <c r="C122" s="9"/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47"/>
      <c r="P122" s="338"/>
      <c r="Q122" s="9"/>
    </row>
    <row r="123" spans="1:17" ht="15" customHeight="1" x14ac:dyDescent="0.25">
      <c r="A123" s="3"/>
      <c r="B123" s="3"/>
      <c r="C123" s="9"/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47"/>
      <c r="P123" s="338"/>
      <c r="Q123" s="9"/>
    </row>
    <row r="124" spans="1:17" ht="15" customHeight="1" x14ac:dyDescent="0.25">
      <c r="A124" s="3"/>
      <c r="B124" s="3"/>
      <c r="C124" s="9"/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47"/>
      <c r="P124" s="338"/>
      <c r="Q124" s="9"/>
    </row>
    <row r="125" spans="1:17" ht="15" customHeight="1" x14ac:dyDescent="0.25">
      <c r="A125" s="3"/>
      <c r="B125" s="3"/>
      <c r="C125" s="9"/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47"/>
      <c r="P125" s="338"/>
      <c r="Q125" s="9"/>
    </row>
    <row r="126" spans="1:17" ht="15" customHeight="1" x14ac:dyDescent="0.25">
      <c r="A126" s="3"/>
      <c r="B126" s="3"/>
      <c r="C126" s="9"/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47"/>
      <c r="P126" s="338"/>
      <c r="Q126" s="9"/>
    </row>
    <row r="127" spans="1:17" ht="15" customHeight="1" x14ac:dyDescent="0.25">
      <c r="A127" s="3"/>
      <c r="B127" s="3"/>
      <c r="C127" s="9"/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47"/>
      <c r="P127" s="338"/>
      <c r="Q127" s="9"/>
    </row>
    <row r="128" spans="1:17" ht="15" customHeight="1" x14ac:dyDescent="0.25">
      <c r="A128" s="3"/>
      <c r="B128" s="3"/>
      <c r="C128" s="8"/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47"/>
      <c r="P128" s="338"/>
      <c r="Q128" s="9"/>
    </row>
    <row r="129" spans="1:17" ht="15" customHeight="1" x14ac:dyDescent="0.25">
      <c r="A129" s="3"/>
      <c r="B129" s="3"/>
      <c r="C129" s="9"/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47"/>
      <c r="P129" s="338"/>
      <c r="Q129" s="9"/>
    </row>
    <row r="130" spans="1:17" ht="15" customHeight="1" x14ac:dyDescent="0.25">
      <c r="A130" s="3"/>
      <c r="B130" s="3"/>
      <c r="C130" s="9"/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8"/>
      <c r="P130" s="338"/>
      <c r="Q130" s="9"/>
    </row>
    <row r="131" spans="1:17" ht="15" customHeight="1" x14ac:dyDescent="0.25">
      <c r="A131" s="3"/>
      <c r="B131" s="3"/>
      <c r="C131" s="9"/>
      <c r="D131" s="369"/>
      <c r="E131" s="481"/>
      <c r="F131" s="361"/>
      <c r="G131" s="482"/>
      <c r="H131" s="369"/>
      <c r="I131" s="481"/>
      <c r="J131" s="369"/>
      <c r="K131" s="481"/>
      <c r="L131" s="369"/>
      <c r="M131" s="481"/>
      <c r="N131" s="565"/>
      <c r="O131" s="8"/>
      <c r="P131" s="338"/>
      <c r="Q131" s="9"/>
    </row>
    <row r="132" spans="1:17" ht="15" customHeight="1" x14ac:dyDescent="0.25">
      <c r="A132" s="3"/>
      <c r="B132" s="3"/>
      <c r="C132" s="9"/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8"/>
      <c r="P132" s="338"/>
      <c r="Q132" s="9"/>
    </row>
    <row r="133" spans="1:17" ht="15" customHeight="1" x14ac:dyDescent="0.25">
      <c r="A133" s="3"/>
      <c r="B133" s="3"/>
      <c r="C133" s="8"/>
      <c r="D133" s="369"/>
      <c r="E133" s="481"/>
      <c r="F133" s="361"/>
      <c r="G133" s="482"/>
      <c r="H133" s="369"/>
      <c r="I133" s="481"/>
      <c r="J133" s="369"/>
      <c r="K133" s="481"/>
      <c r="L133" s="369"/>
      <c r="M133" s="481"/>
      <c r="N133" s="565"/>
      <c r="O133" s="8"/>
      <c r="P133" s="338"/>
      <c r="Q133" s="9"/>
    </row>
    <row r="134" spans="1:17" ht="15" customHeight="1" x14ac:dyDescent="0.25">
      <c r="A134" s="3"/>
      <c r="B134" s="3"/>
      <c r="C134" s="8"/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8"/>
      <c r="P134" s="338"/>
      <c r="Q134" s="9"/>
    </row>
    <row r="135" spans="1:17" ht="15" customHeight="1" x14ac:dyDescent="0.25">
      <c r="A135" s="3"/>
      <c r="B135" s="3"/>
      <c r="C135" s="8"/>
      <c r="D135" s="359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8"/>
      <c r="P135" s="338"/>
      <c r="Q135" s="9"/>
    </row>
    <row r="136" spans="1:17" ht="15" customHeight="1" x14ac:dyDescent="0.25">
      <c r="A136" s="3"/>
      <c r="B136" s="3"/>
      <c r="C136" s="8"/>
      <c r="D136" s="359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8"/>
      <c r="P136" s="338"/>
      <c r="Q136" s="9"/>
    </row>
    <row r="137" spans="1:17" ht="15" customHeight="1" x14ac:dyDescent="0.25">
      <c r="A137" s="3"/>
      <c r="B137" s="3"/>
      <c r="C137" s="9"/>
      <c r="D137" s="369"/>
      <c r="E137" s="481"/>
      <c r="F137" s="361"/>
      <c r="G137" s="482"/>
      <c r="H137" s="369"/>
      <c r="I137" s="481"/>
      <c r="J137" s="369"/>
      <c r="K137" s="481"/>
      <c r="L137" s="369"/>
      <c r="M137" s="481"/>
      <c r="N137" s="565"/>
      <c r="O137" s="8"/>
      <c r="P137" s="338"/>
      <c r="Q137" s="9"/>
    </row>
    <row r="138" spans="1:17" ht="15" customHeight="1" x14ac:dyDescent="0.25">
      <c r="A138" s="3"/>
      <c r="B138" s="3"/>
      <c r="C138" s="9"/>
      <c r="D138" s="369"/>
      <c r="E138" s="481"/>
      <c r="F138" s="361"/>
      <c r="G138" s="482"/>
      <c r="H138" s="369"/>
      <c r="I138" s="481"/>
      <c r="J138" s="369"/>
      <c r="K138" s="481"/>
      <c r="L138" s="369"/>
      <c r="M138" s="481"/>
      <c r="N138" s="565"/>
      <c r="O138" s="8"/>
      <c r="P138" s="338"/>
      <c r="Q138" s="9"/>
    </row>
    <row r="139" spans="1:17" ht="15" customHeight="1" x14ac:dyDescent="0.25">
      <c r="A139" s="3"/>
      <c r="B139" s="3"/>
      <c r="C139" s="8"/>
      <c r="D139" s="369"/>
      <c r="E139" s="481"/>
      <c r="F139" s="361"/>
      <c r="G139" s="482"/>
      <c r="H139" s="369"/>
      <c r="I139" s="481"/>
      <c r="J139" s="369"/>
      <c r="K139" s="481"/>
      <c r="L139" s="369"/>
      <c r="M139" s="481"/>
      <c r="N139" s="565"/>
      <c r="O139" s="8"/>
      <c r="P139" s="338"/>
      <c r="Q139" s="9"/>
    </row>
    <row r="140" spans="1:17" ht="15" customHeight="1" x14ac:dyDescent="0.25">
      <c r="A140" s="3"/>
      <c r="B140" s="3"/>
      <c r="C140" s="8"/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8"/>
      <c r="P140" s="338"/>
      <c r="Q140" s="9"/>
    </row>
    <row r="141" spans="1:17" ht="15" customHeight="1" x14ac:dyDescent="0.25">
      <c r="A141" s="3"/>
      <c r="B141" s="3"/>
      <c r="C141" s="9"/>
      <c r="D141" s="369"/>
      <c r="E141" s="481"/>
      <c r="F141" s="361"/>
      <c r="G141" s="482"/>
      <c r="H141" s="369"/>
      <c r="I141" s="481"/>
      <c r="J141" s="369"/>
      <c r="K141" s="481"/>
      <c r="L141" s="369"/>
      <c r="M141" s="481"/>
      <c r="N141" s="565"/>
      <c r="O141" s="8"/>
      <c r="P141" s="338"/>
      <c r="Q141" s="9"/>
    </row>
    <row r="142" spans="1:17" ht="15" customHeight="1" x14ac:dyDescent="0.25">
      <c r="A142" s="3"/>
      <c r="B142" s="3"/>
      <c r="C142" s="9"/>
      <c r="D142" s="369"/>
      <c r="E142" s="481"/>
      <c r="F142" s="361"/>
      <c r="G142" s="482"/>
      <c r="H142" s="369"/>
      <c r="I142" s="481"/>
      <c r="J142" s="369"/>
      <c r="K142" s="481"/>
      <c r="L142" s="369"/>
      <c r="M142" s="481"/>
      <c r="N142" s="565"/>
      <c r="O142" s="8"/>
      <c r="P142" s="338"/>
      <c r="Q142" s="9"/>
    </row>
    <row r="143" spans="1:17" ht="15" customHeight="1" x14ac:dyDescent="0.25">
      <c r="A143" s="3"/>
      <c r="B143" s="3"/>
      <c r="C143" s="9"/>
      <c r="D143" s="369"/>
      <c r="E143" s="481"/>
      <c r="F143" s="361"/>
      <c r="G143" s="482"/>
      <c r="H143" s="369"/>
      <c r="I143" s="481"/>
      <c r="J143" s="369"/>
      <c r="K143" s="481"/>
      <c r="L143" s="369"/>
      <c r="M143" s="481"/>
      <c r="N143" s="565"/>
      <c r="O143" s="8"/>
      <c r="P143" s="338"/>
      <c r="Q143" s="9"/>
    </row>
    <row r="144" spans="1:17" ht="15" customHeight="1" x14ac:dyDescent="0.25">
      <c r="A144" s="3"/>
      <c r="B144" s="3"/>
      <c r="C144" s="9"/>
      <c r="D144" s="369"/>
      <c r="E144" s="481"/>
      <c r="F144" s="361"/>
      <c r="G144" s="482"/>
      <c r="H144" s="369"/>
      <c r="I144" s="481"/>
      <c r="J144" s="369"/>
      <c r="K144" s="481"/>
      <c r="L144" s="369"/>
      <c r="M144" s="481"/>
      <c r="N144" s="565"/>
      <c r="O144" s="8"/>
      <c r="P144" s="338"/>
      <c r="Q144" s="9"/>
    </row>
    <row r="145" spans="1:17" ht="15" customHeight="1" x14ac:dyDescent="0.25">
      <c r="A145" s="3"/>
      <c r="B145" s="3"/>
      <c r="C145" s="9"/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8"/>
      <c r="P145" s="338"/>
      <c r="Q145" s="9"/>
    </row>
    <row r="146" spans="1:17" ht="15" customHeight="1" x14ac:dyDescent="0.25">
      <c r="A146" s="3"/>
      <c r="B146" s="3"/>
      <c r="C146" s="8"/>
      <c r="D146" s="369"/>
      <c r="E146" s="481"/>
      <c r="F146" s="361"/>
      <c r="G146" s="482"/>
      <c r="H146" s="369"/>
      <c r="I146" s="481"/>
      <c r="J146" s="369"/>
      <c r="K146" s="481"/>
      <c r="L146" s="369"/>
      <c r="M146" s="481"/>
      <c r="N146" s="565"/>
      <c r="O146" s="8"/>
      <c r="P146" s="338"/>
      <c r="Q146" s="9"/>
    </row>
    <row r="147" spans="1:17" ht="15" customHeight="1" x14ac:dyDescent="0.25">
      <c r="A147" s="3"/>
      <c r="B147" s="3"/>
      <c r="C147" s="9"/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8"/>
      <c r="P147" s="338"/>
      <c r="Q147" s="9"/>
    </row>
    <row r="148" spans="1:17" ht="15" customHeight="1" x14ac:dyDescent="0.25">
      <c r="A148" s="3"/>
      <c r="B148" s="3"/>
      <c r="C148" s="9"/>
      <c r="D148" s="369"/>
      <c r="E148" s="481"/>
      <c r="F148" s="361"/>
      <c r="G148" s="482"/>
      <c r="H148" s="369"/>
      <c r="I148" s="481"/>
      <c r="J148" s="369"/>
      <c r="K148" s="481"/>
      <c r="L148" s="369"/>
      <c r="M148" s="481"/>
      <c r="N148" s="565"/>
      <c r="O148" s="8"/>
      <c r="P148" s="338"/>
      <c r="Q148" s="9"/>
    </row>
    <row r="149" spans="1:17" ht="15" customHeight="1" x14ac:dyDescent="0.25">
      <c r="A149" s="13"/>
      <c r="B149" s="3"/>
      <c r="C149" s="9"/>
      <c r="D149" s="369"/>
      <c r="E149" s="481"/>
      <c r="F149" s="361"/>
      <c r="G149" s="482"/>
      <c r="H149" s="369"/>
      <c r="I149" s="481"/>
      <c r="J149" s="369"/>
      <c r="K149" s="481"/>
      <c r="L149" s="369"/>
      <c r="M149" s="481"/>
      <c r="N149" s="565"/>
      <c r="O149" s="8"/>
      <c r="P149" s="338"/>
      <c r="Q149" s="9"/>
    </row>
    <row r="150" spans="1:17" ht="15" customHeight="1" x14ac:dyDescent="0.25">
      <c r="A150" s="13"/>
      <c r="B150" s="3"/>
      <c r="C150" s="9"/>
      <c r="D150" s="369"/>
      <c r="E150" s="481"/>
      <c r="F150" s="361"/>
      <c r="G150" s="482"/>
      <c r="H150" s="369"/>
      <c r="I150" s="481"/>
      <c r="J150" s="369"/>
      <c r="K150" s="481"/>
      <c r="L150" s="369"/>
      <c r="M150" s="481"/>
      <c r="N150" s="565"/>
      <c r="O150" s="8"/>
      <c r="P150" s="338"/>
      <c r="Q150" s="9"/>
    </row>
    <row r="151" spans="1:17" ht="15" customHeight="1" x14ac:dyDescent="0.25">
      <c r="A151" s="13"/>
      <c r="B151" s="3"/>
      <c r="C151" s="9"/>
      <c r="D151" s="369"/>
      <c r="E151" s="481"/>
      <c r="F151" s="361"/>
      <c r="G151" s="482"/>
      <c r="H151" s="369"/>
      <c r="I151" s="481"/>
      <c r="J151" s="369"/>
      <c r="K151" s="481"/>
      <c r="L151" s="369"/>
      <c r="M151" s="481"/>
      <c r="N151" s="565"/>
      <c r="O151" s="8"/>
      <c r="P151" s="338"/>
      <c r="Q151" s="9"/>
    </row>
    <row r="152" spans="1:17" ht="15" customHeight="1" x14ac:dyDescent="0.25">
      <c r="A152" s="13"/>
      <c r="B152" s="3"/>
      <c r="C152" s="9"/>
      <c r="D152" s="369"/>
      <c r="E152" s="481"/>
      <c r="F152" s="361"/>
      <c r="G152" s="482"/>
      <c r="H152" s="369"/>
      <c r="I152" s="481"/>
      <c r="J152" s="369"/>
      <c r="K152" s="481"/>
      <c r="L152" s="369"/>
      <c r="M152" s="481"/>
      <c r="N152" s="565"/>
      <c r="O152" s="8"/>
      <c r="P152" s="338"/>
      <c r="Q152" s="9"/>
    </row>
    <row r="153" spans="1:17" ht="15" customHeight="1" x14ac:dyDescent="0.25">
      <c r="A153" s="13"/>
      <c r="B153" s="3"/>
      <c r="C153" s="9"/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8"/>
      <c r="P153" s="338"/>
      <c r="Q153" s="9"/>
    </row>
    <row r="154" spans="1:17" ht="15" customHeight="1" x14ac:dyDescent="0.25">
      <c r="A154" s="13"/>
      <c r="B154" s="3"/>
      <c r="C154" s="9"/>
      <c r="D154" s="369"/>
      <c r="E154" s="481"/>
      <c r="F154" s="361"/>
      <c r="G154" s="482"/>
      <c r="H154" s="369"/>
      <c r="I154" s="481"/>
      <c r="J154" s="369"/>
      <c r="K154" s="481"/>
      <c r="L154" s="369"/>
      <c r="M154" s="481"/>
      <c r="N154" s="565"/>
      <c r="O154" s="8"/>
      <c r="P154" s="338"/>
      <c r="Q154" s="9"/>
    </row>
    <row r="155" spans="1:17" ht="15" customHeight="1" x14ac:dyDescent="0.25">
      <c r="A155" s="13"/>
      <c r="B155" s="3"/>
      <c r="C155" s="9"/>
      <c r="D155" s="369"/>
      <c r="E155" s="481"/>
      <c r="F155" s="361"/>
      <c r="G155" s="482"/>
      <c r="H155" s="369"/>
      <c r="I155" s="481"/>
      <c r="J155" s="369"/>
      <c r="K155" s="481"/>
      <c r="L155" s="369"/>
      <c r="M155" s="481"/>
      <c r="N155" s="565"/>
      <c r="O155" s="8"/>
      <c r="P155" s="338"/>
      <c r="Q155" s="9"/>
    </row>
    <row r="156" spans="1:17" ht="15" customHeight="1" x14ac:dyDescent="0.25">
      <c r="A156" s="13"/>
      <c r="B156" s="3"/>
      <c r="C156" s="9"/>
      <c r="D156" s="369"/>
      <c r="E156" s="481"/>
      <c r="F156" s="361"/>
      <c r="G156" s="482"/>
      <c r="H156" s="369"/>
      <c r="I156" s="481"/>
      <c r="J156" s="369"/>
      <c r="K156" s="481"/>
      <c r="L156" s="369"/>
      <c r="M156" s="481"/>
      <c r="N156" s="565"/>
      <c r="O156" s="8"/>
      <c r="P156" s="338"/>
      <c r="Q156" s="9"/>
    </row>
    <row r="157" spans="1:17" ht="15" customHeight="1" x14ac:dyDescent="0.25">
      <c r="A157" s="13"/>
      <c r="B157" s="3"/>
      <c r="C157" s="8"/>
      <c r="D157" s="369"/>
      <c r="E157" s="481"/>
      <c r="F157" s="361"/>
      <c r="G157" s="482"/>
      <c r="H157" s="369"/>
      <c r="I157" s="481"/>
      <c r="J157" s="369"/>
      <c r="K157" s="481"/>
      <c r="L157" s="369"/>
      <c r="M157" s="481"/>
      <c r="N157" s="565"/>
      <c r="O157" s="8"/>
      <c r="P157" s="338"/>
      <c r="Q157" s="9"/>
    </row>
    <row r="158" spans="1:17" ht="15" customHeight="1" x14ac:dyDescent="0.25">
      <c r="A158" s="13"/>
      <c r="B158" s="3"/>
      <c r="C158" s="8"/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8"/>
      <c r="P158" s="338"/>
      <c r="Q158" s="9"/>
    </row>
    <row r="159" spans="1:17" ht="15" customHeight="1" x14ac:dyDescent="0.25">
      <c r="A159" s="13"/>
      <c r="B159" s="3"/>
      <c r="C159" s="8"/>
      <c r="D159" s="369"/>
      <c r="E159" s="481"/>
      <c r="F159" s="361"/>
      <c r="G159" s="482"/>
      <c r="H159" s="369"/>
      <c r="I159" s="481"/>
      <c r="J159" s="369"/>
      <c r="K159" s="481"/>
      <c r="L159" s="369"/>
      <c r="M159" s="481"/>
      <c r="N159" s="565"/>
      <c r="O159" s="8"/>
      <c r="P159" s="338"/>
      <c r="Q159" s="9"/>
    </row>
    <row r="160" spans="1:17" ht="15" customHeight="1" x14ac:dyDescent="0.25">
      <c r="A160" s="13"/>
      <c r="B160" s="3"/>
      <c r="C160" s="9"/>
      <c r="D160" s="369"/>
      <c r="E160" s="481"/>
      <c r="F160" s="361"/>
      <c r="G160" s="482"/>
      <c r="H160" s="369"/>
      <c r="I160" s="481"/>
      <c r="J160" s="369"/>
      <c r="K160" s="481"/>
      <c r="L160" s="369"/>
      <c r="M160" s="481"/>
      <c r="N160" s="565"/>
      <c r="O160" s="8"/>
      <c r="P160" s="338"/>
      <c r="Q160" s="9"/>
    </row>
    <row r="161" spans="1:17" ht="15" customHeight="1" x14ac:dyDescent="0.25">
      <c r="A161" s="13"/>
      <c r="B161" s="3"/>
      <c r="C161" s="9"/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8"/>
      <c r="P161" s="338"/>
      <c r="Q161" s="9"/>
    </row>
    <row r="162" spans="1:17" ht="15" customHeight="1" x14ac:dyDescent="0.25">
      <c r="A162" s="13"/>
      <c r="B162" s="3"/>
      <c r="C162" s="8"/>
      <c r="D162" s="369"/>
      <c r="E162" s="481"/>
      <c r="F162" s="361"/>
      <c r="G162" s="482"/>
      <c r="H162" s="369"/>
      <c r="I162" s="481"/>
      <c r="J162" s="369"/>
      <c r="K162" s="481"/>
      <c r="L162" s="369"/>
      <c r="M162" s="481"/>
      <c r="N162" s="565"/>
      <c r="O162" s="8"/>
      <c r="P162" s="338"/>
      <c r="Q162" s="9"/>
    </row>
    <row r="163" spans="1:17" ht="15" customHeight="1" x14ac:dyDescent="0.25">
      <c r="A163" s="13"/>
      <c r="B163" s="3"/>
      <c r="C163" s="9"/>
      <c r="D163" s="369"/>
      <c r="E163" s="481"/>
      <c r="F163" s="361"/>
      <c r="G163" s="482"/>
      <c r="H163" s="369"/>
      <c r="I163" s="481"/>
      <c r="J163" s="369"/>
      <c r="K163" s="481"/>
      <c r="L163" s="369"/>
      <c r="M163" s="481"/>
      <c r="N163" s="565"/>
      <c r="O163" s="8"/>
      <c r="P163" s="338"/>
      <c r="Q163" s="9"/>
    </row>
    <row r="164" spans="1:17" ht="15" customHeight="1" x14ac:dyDescent="0.25">
      <c r="A164" s="13"/>
      <c r="B164" s="3"/>
      <c r="C164" s="9"/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8"/>
      <c r="P164" s="338"/>
      <c r="Q164" s="9"/>
    </row>
    <row r="165" spans="1:17" ht="15" customHeight="1" x14ac:dyDescent="0.25">
      <c r="A165" s="13"/>
      <c r="B165" s="3"/>
      <c r="C165" s="9"/>
      <c r="D165" s="369"/>
      <c r="E165" s="481"/>
      <c r="F165" s="361"/>
      <c r="G165" s="482"/>
      <c r="H165" s="369"/>
      <c r="I165" s="481"/>
      <c r="J165" s="369"/>
      <c r="K165" s="481"/>
      <c r="L165" s="369"/>
      <c r="M165" s="481"/>
      <c r="N165" s="565"/>
      <c r="O165" s="8"/>
      <c r="P165" s="338"/>
      <c r="Q165" s="9"/>
    </row>
    <row r="166" spans="1:17" ht="15" customHeight="1" x14ac:dyDescent="0.25">
      <c r="A166" s="13"/>
      <c r="B166" s="3"/>
      <c r="C166" s="9"/>
      <c r="D166" s="369"/>
      <c r="E166" s="481"/>
      <c r="F166" s="361"/>
      <c r="G166" s="482"/>
      <c r="H166" s="369"/>
      <c r="I166" s="481"/>
      <c r="J166" s="369"/>
      <c r="K166" s="481"/>
      <c r="L166" s="369"/>
      <c r="M166" s="481"/>
      <c r="N166" s="565"/>
      <c r="O166" s="8"/>
      <c r="P166" s="338"/>
      <c r="Q166" s="9"/>
    </row>
    <row r="167" spans="1:17" ht="15" customHeight="1" x14ac:dyDescent="0.25">
      <c r="A167" s="13"/>
      <c r="B167" s="3"/>
      <c r="C167" s="9"/>
      <c r="D167" s="369"/>
      <c r="E167" s="481"/>
      <c r="F167" s="361"/>
      <c r="G167" s="482"/>
      <c r="H167" s="369"/>
      <c r="I167" s="481"/>
      <c r="J167" s="369"/>
      <c r="K167" s="481"/>
      <c r="L167" s="369"/>
      <c r="M167" s="481"/>
      <c r="N167" s="565"/>
      <c r="O167" s="8"/>
      <c r="P167" s="338"/>
      <c r="Q167" s="9"/>
    </row>
    <row r="168" spans="1:17" ht="15" customHeight="1" x14ac:dyDescent="0.25">
      <c r="A168" s="13"/>
      <c r="B168" s="3"/>
      <c r="C168" s="8"/>
      <c r="D168" s="369"/>
      <c r="E168" s="481"/>
      <c r="F168" s="361"/>
      <c r="G168" s="482"/>
      <c r="H168" s="369"/>
      <c r="I168" s="481"/>
      <c r="J168" s="369"/>
      <c r="K168" s="481"/>
      <c r="L168" s="369"/>
      <c r="M168" s="481"/>
      <c r="N168" s="565"/>
      <c r="O168" s="8"/>
      <c r="P168" s="338"/>
      <c r="Q168" s="9"/>
    </row>
    <row r="169" spans="1:17" ht="15" customHeight="1" x14ac:dyDescent="0.25">
      <c r="A169" s="13"/>
      <c r="B169" s="3"/>
      <c r="C169" s="9"/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8"/>
      <c r="P169" s="338"/>
      <c r="Q169" s="9"/>
    </row>
    <row r="170" spans="1:17" ht="15" customHeight="1" x14ac:dyDescent="0.25">
      <c r="A170" s="13"/>
      <c r="B170" s="3"/>
      <c r="C170" s="9"/>
      <c r="D170" s="369"/>
      <c r="E170" s="481"/>
      <c r="F170" s="361"/>
      <c r="G170" s="482"/>
      <c r="H170" s="369"/>
      <c r="I170" s="481"/>
      <c r="J170" s="369"/>
      <c r="K170" s="481"/>
      <c r="L170" s="369"/>
      <c r="M170" s="481"/>
      <c r="N170" s="565"/>
      <c r="O170" s="8"/>
      <c r="P170" s="338"/>
      <c r="Q170" s="9"/>
    </row>
    <row r="171" spans="1:17" ht="15" customHeight="1" x14ac:dyDescent="0.25">
      <c r="A171" s="13"/>
      <c r="B171" s="3"/>
      <c r="C171" s="9"/>
      <c r="D171" s="369"/>
      <c r="E171" s="481"/>
      <c r="F171" s="361"/>
      <c r="G171" s="482"/>
      <c r="H171" s="369"/>
      <c r="I171" s="481"/>
      <c r="J171" s="369"/>
      <c r="K171" s="481"/>
      <c r="L171" s="369"/>
      <c r="M171" s="481"/>
      <c r="N171" s="565"/>
      <c r="O171" s="8"/>
      <c r="P171" s="338"/>
      <c r="Q171" s="9"/>
    </row>
    <row r="172" spans="1:17" ht="15" customHeight="1" x14ac:dyDescent="0.25">
      <c r="A172" s="13"/>
      <c r="B172" s="3"/>
      <c r="C172" s="9"/>
      <c r="D172" s="369"/>
      <c r="E172" s="481"/>
      <c r="F172" s="361"/>
      <c r="G172" s="482"/>
      <c r="H172" s="369"/>
      <c r="I172" s="481"/>
      <c r="J172" s="369"/>
      <c r="K172" s="481"/>
      <c r="L172" s="369"/>
      <c r="M172" s="481"/>
      <c r="N172" s="565"/>
      <c r="O172" s="8"/>
      <c r="P172" s="338"/>
      <c r="Q172" s="9"/>
    </row>
    <row r="173" spans="1:17" ht="15" customHeight="1" x14ac:dyDescent="0.25">
      <c r="A173" s="13"/>
      <c r="B173" s="3"/>
      <c r="C173" s="9"/>
      <c r="D173" s="369"/>
      <c r="E173" s="481"/>
      <c r="F173" s="361"/>
      <c r="G173" s="482"/>
      <c r="H173" s="369"/>
      <c r="I173" s="481"/>
      <c r="J173" s="369"/>
      <c r="K173" s="481"/>
      <c r="L173" s="369"/>
      <c r="M173" s="481"/>
      <c r="N173" s="565"/>
      <c r="O173" s="8"/>
      <c r="P173" s="338"/>
      <c r="Q173" s="9"/>
    </row>
    <row r="174" spans="1:17" ht="15" customHeight="1" x14ac:dyDescent="0.25">
      <c r="A174" s="13"/>
      <c r="B174" s="3"/>
      <c r="C174" s="9"/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8"/>
      <c r="P174" s="338"/>
      <c r="Q174" s="9"/>
    </row>
    <row r="175" spans="1:17" ht="15" customHeight="1" x14ac:dyDescent="0.25">
      <c r="A175" s="13"/>
      <c r="B175" s="3"/>
      <c r="C175" s="9"/>
      <c r="D175" s="369"/>
      <c r="E175" s="481"/>
      <c r="F175" s="361"/>
      <c r="G175" s="482"/>
      <c r="H175" s="369"/>
      <c r="I175" s="481"/>
      <c r="J175" s="369"/>
      <c r="K175" s="481"/>
      <c r="L175" s="369"/>
      <c r="M175" s="481"/>
      <c r="N175" s="565"/>
      <c r="O175" s="8"/>
      <c r="P175" s="338"/>
      <c r="Q175" s="9"/>
    </row>
    <row r="176" spans="1:17" ht="15" customHeight="1" x14ac:dyDescent="0.25">
      <c r="A176" s="13"/>
      <c r="B176" s="3"/>
      <c r="C176" s="9"/>
      <c r="D176" s="369"/>
      <c r="E176" s="481"/>
      <c r="F176" s="361"/>
      <c r="G176" s="482"/>
      <c r="H176" s="369"/>
      <c r="I176" s="481"/>
      <c r="J176" s="369"/>
      <c r="K176" s="481"/>
      <c r="L176" s="369"/>
      <c r="M176" s="481"/>
      <c r="N176" s="565"/>
      <c r="O176" s="8"/>
      <c r="P176" s="338"/>
      <c r="Q176" s="9"/>
    </row>
    <row r="177" spans="1:17" ht="15" customHeight="1" x14ac:dyDescent="0.25">
      <c r="A177" s="13"/>
      <c r="B177" s="3"/>
      <c r="C177" s="9"/>
      <c r="D177" s="359"/>
      <c r="E177" s="478"/>
      <c r="F177" s="359"/>
      <c r="G177" s="478"/>
      <c r="H177" s="359"/>
      <c r="I177" s="478"/>
      <c r="J177" s="359"/>
      <c r="K177" s="478"/>
      <c r="L177" s="359"/>
      <c r="M177" s="478"/>
      <c r="N177" s="561"/>
      <c r="O177" s="8"/>
      <c r="P177" s="338"/>
      <c r="Q177" s="9"/>
    </row>
    <row r="178" spans="1:17" ht="15" customHeight="1" x14ac:dyDescent="0.25">
      <c r="A178" s="13"/>
      <c r="B178" s="3"/>
      <c r="C178" s="8"/>
      <c r="D178" s="369"/>
      <c r="E178" s="481"/>
      <c r="F178" s="361"/>
      <c r="G178" s="482"/>
      <c r="H178" s="369"/>
      <c r="I178" s="481"/>
      <c r="J178" s="369"/>
      <c r="K178" s="481"/>
      <c r="L178" s="369"/>
      <c r="M178" s="481"/>
      <c r="N178" s="565"/>
      <c r="O178" s="8"/>
      <c r="P178" s="338"/>
      <c r="Q178" s="9"/>
    </row>
    <row r="179" spans="1:17" ht="15" customHeight="1" x14ac:dyDescent="0.25">
      <c r="A179" s="13"/>
      <c r="B179" s="3"/>
      <c r="C179" s="9"/>
      <c r="D179" s="369"/>
      <c r="E179" s="481"/>
      <c r="F179" s="361"/>
      <c r="G179" s="482"/>
      <c r="H179" s="369"/>
      <c r="I179" s="481"/>
      <c r="J179" s="369"/>
      <c r="K179" s="481"/>
      <c r="L179" s="369"/>
      <c r="M179" s="481"/>
      <c r="N179" s="565"/>
      <c r="O179" s="8"/>
      <c r="P179" s="338"/>
      <c r="Q179" s="9"/>
    </row>
    <row r="180" spans="1:17" ht="15" customHeight="1" x14ac:dyDescent="0.25">
      <c r="A180" s="13"/>
      <c r="B180" s="3"/>
      <c r="C180" s="9"/>
      <c r="D180" s="359"/>
      <c r="E180" s="478"/>
      <c r="F180" s="359"/>
      <c r="G180" s="478"/>
      <c r="H180" s="359"/>
      <c r="I180" s="478"/>
      <c r="J180" s="359"/>
      <c r="K180" s="478"/>
      <c r="L180" s="359"/>
      <c r="M180" s="478"/>
      <c r="N180" s="561"/>
      <c r="O180" s="8"/>
      <c r="P180" s="338"/>
      <c r="Q180" s="9"/>
    </row>
    <row r="181" spans="1:17" ht="15" customHeight="1" x14ac:dyDescent="0.25">
      <c r="A181" s="13"/>
      <c r="B181" s="3"/>
      <c r="C181" s="8"/>
      <c r="D181" s="369"/>
      <c r="E181" s="481"/>
      <c r="F181" s="361"/>
      <c r="G181" s="482"/>
      <c r="H181" s="369"/>
      <c r="I181" s="481"/>
      <c r="J181" s="369"/>
      <c r="K181" s="481"/>
      <c r="L181" s="369"/>
      <c r="M181" s="481"/>
      <c r="N181" s="565"/>
      <c r="O181" s="8"/>
      <c r="P181" s="338"/>
      <c r="Q181" s="9"/>
    </row>
    <row r="182" spans="1:17" ht="15" customHeight="1" x14ac:dyDescent="0.25">
      <c r="A182" s="13"/>
      <c r="B182" s="3"/>
      <c r="C182" s="8"/>
      <c r="D182" s="369"/>
      <c r="E182" s="481"/>
      <c r="F182" s="361"/>
      <c r="G182" s="482"/>
      <c r="H182" s="369"/>
      <c r="I182" s="481"/>
      <c r="J182" s="369"/>
      <c r="K182" s="481"/>
      <c r="L182" s="369"/>
      <c r="M182" s="481"/>
      <c r="N182" s="565"/>
      <c r="O182" s="8"/>
      <c r="P182" s="338"/>
      <c r="Q182" s="9"/>
    </row>
    <row r="183" spans="1:17" ht="15" customHeight="1" x14ac:dyDescent="0.25">
      <c r="A183" s="13"/>
      <c r="B183" s="3"/>
      <c r="C183" s="9"/>
      <c r="D183" s="369"/>
      <c r="E183" s="481"/>
      <c r="F183" s="361"/>
      <c r="G183" s="482"/>
      <c r="H183" s="369"/>
      <c r="I183" s="481"/>
      <c r="J183" s="369"/>
      <c r="K183" s="481"/>
      <c r="L183" s="369"/>
      <c r="M183" s="481"/>
      <c r="N183" s="565"/>
      <c r="O183" s="8"/>
      <c r="P183" s="338"/>
      <c r="Q183" s="9"/>
    </row>
    <row r="184" spans="1:17" ht="15" customHeight="1" x14ac:dyDescent="0.25">
      <c r="A184" s="13"/>
      <c r="B184" s="3"/>
      <c r="C184" s="9"/>
      <c r="D184" s="369"/>
      <c r="E184" s="481"/>
      <c r="F184" s="361"/>
      <c r="G184" s="482"/>
      <c r="H184" s="369"/>
      <c r="I184" s="481"/>
      <c r="J184" s="369"/>
      <c r="K184" s="481"/>
      <c r="L184" s="369"/>
      <c r="M184" s="481"/>
      <c r="N184" s="565"/>
      <c r="O184" s="8"/>
      <c r="P184" s="338"/>
      <c r="Q184" s="9"/>
    </row>
    <row r="185" spans="1:17" ht="15" customHeight="1" x14ac:dyDescent="0.25">
      <c r="A185" s="13"/>
      <c r="B185" s="3"/>
      <c r="C185" s="9"/>
      <c r="D185" s="369"/>
      <c r="E185" s="481"/>
      <c r="F185" s="361"/>
      <c r="G185" s="482"/>
      <c r="H185" s="369"/>
      <c r="I185" s="481"/>
      <c r="J185" s="369"/>
      <c r="K185" s="481"/>
      <c r="L185" s="369"/>
      <c r="M185" s="481"/>
      <c r="N185" s="565"/>
      <c r="O185" s="8"/>
      <c r="P185" s="338"/>
      <c r="Q185" s="9"/>
    </row>
    <row r="186" spans="1:17" ht="15" customHeight="1" x14ac:dyDescent="0.25">
      <c r="A186" s="13"/>
      <c r="B186" s="3"/>
      <c r="C186" s="9"/>
      <c r="D186" s="369"/>
      <c r="E186" s="481"/>
      <c r="F186" s="361"/>
      <c r="G186" s="482"/>
      <c r="H186" s="369"/>
      <c r="I186" s="481"/>
      <c r="J186" s="369"/>
      <c r="K186" s="481"/>
      <c r="L186" s="369"/>
      <c r="M186" s="481"/>
      <c r="N186" s="565"/>
      <c r="O186" s="8"/>
      <c r="P186" s="338"/>
      <c r="Q186" s="9"/>
    </row>
    <row r="187" spans="1:17" ht="15" customHeight="1" x14ac:dyDescent="0.25">
      <c r="A187" s="13"/>
      <c r="B187" s="3"/>
      <c r="C187" s="8"/>
      <c r="D187" s="369"/>
      <c r="E187" s="481"/>
      <c r="F187" s="361"/>
      <c r="G187" s="482"/>
      <c r="H187" s="369"/>
      <c r="I187" s="481"/>
      <c r="J187" s="369"/>
      <c r="K187" s="481"/>
      <c r="L187" s="369"/>
      <c r="M187" s="481"/>
      <c r="N187" s="565"/>
      <c r="O187" s="8"/>
      <c r="P187" s="338"/>
      <c r="Q187" s="9"/>
    </row>
    <row r="188" spans="1:17" ht="15" customHeight="1" x14ac:dyDescent="0.25">
      <c r="A188" s="13"/>
      <c r="B188" s="3"/>
      <c r="C188" s="9"/>
      <c r="D188" s="369"/>
      <c r="E188" s="481"/>
      <c r="F188" s="361"/>
      <c r="G188" s="482"/>
      <c r="H188" s="369"/>
      <c r="I188" s="481"/>
      <c r="J188" s="369"/>
      <c r="K188" s="481"/>
      <c r="L188" s="369"/>
      <c r="M188" s="481"/>
      <c r="N188" s="565"/>
      <c r="O188" s="8"/>
      <c r="P188" s="338"/>
      <c r="Q188" s="9"/>
    </row>
    <row r="189" spans="1:17" ht="15" customHeight="1" x14ac:dyDescent="0.25">
      <c r="A189" s="13"/>
      <c r="B189" s="3"/>
      <c r="C189" s="9"/>
      <c r="D189" s="369"/>
      <c r="E189" s="481"/>
      <c r="F189" s="361"/>
      <c r="G189" s="482"/>
      <c r="H189" s="369"/>
      <c r="I189" s="481"/>
      <c r="J189" s="369"/>
      <c r="K189" s="481"/>
      <c r="L189" s="369"/>
      <c r="M189" s="481"/>
      <c r="N189" s="565"/>
      <c r="O189" s="8"/>
      <c r="P189" s="338"/>
      <c r="Q189" s="9"/>
    </row>
    <row r="190" spans="1:17" ht="15" customHeight="1" x14ac:dyDescent="0.25">
      <c r="A190" s="13"/>
      <c r="B190" s="3"/>
      <c r="C190" s="8"/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8"/>
      <c r="P190" s="338"/>
      <c r="Q190" s="9"/>
    </row>
    <row r="191" spans="1:17" ht="15" customHeight="1" x14ac:dyDescent="0.25">
      <c r="A191" s="13"/>
      <c r="B191" s="3"/>
      <c r="C191" s="9"/>
      <c r="D191" s="369"/>
      <c r="E191" s="481"/>
      <c r="F191" s="361"/>
      <c r="G191" s="482"/>
      <c r="H191" s="369"/>
      <c r="I191" s="481"/>
      <c r="J191" s="369"/>
      <c r="K191" s="481"/>
      <c r="L191" s="369"/>
      <c r="M191" s="481"/>
      <c r="N191" s="565"/>
      <c r="O191" s="8"/>
      <c r="P191" s="338"/>
      <c r="Q191" s="9"/>
    </row>
    <row r="192" spans="1:17" ht="15" customHeight="1" x14ac:dyDescent="0.25">
      <c r="A192" s="13"/>
      <c r="B192" s="3"/>
      <c r="C192" s="9"/>
      <c r="D192" s="369"/>
      <c r="E192" s="481"/>
      <c r="F192" s="361"/>
      <c r="G192" s="482"/>
      <c r="H192" s="369"/>
      <c r="I192" s="481"/>
      <c r="J192" s="369"/>
      <c r="K192" s="481"/>
      <c r="L192" s="369"/>
      <c r="M192" s="481"/>
      <c r="N192" s="565"/>
      <c r="O192" s="8"/>
      <c r="P192" s="338"/>
      <c r="Q192" s="9"/>
    </row>
    <row r="193" spans="1:17" ht="15" customHeight="1" x14ac:dyDescent="0.25">
      <c r="A193" s="13"/>
      <c r="B193" s="3"/>
      <c r="C193" s="8"/>
      <c r="D193" s="369"/>
      <c r="E193" s="481"/>
      <c r="F193" s="361"/>
      <c r="G193" s="482"/>
      <c r="H193" s="369"/>
      <c r="I193" s="481"/>
      <c r="J193" s="369"/>
      <c r="K193" s="481"/>
      <c r="L193" s="369"/>
      <c r="M193" s="481"/>
      <c r="N193" s="565"/>
      <c r="O193" s="8"/>
      <c r="P193" s="338"/>
      <c r="Q193" s="9"/>
    </row>
    <row r="194" spans="1:17" ht="15" customHeight="1" x14ac:dyDescent="0.25">
      <c r="A194" s="13"/>
      <c r="B194" s="3"/>
      <c r="C194" s="9"/>
      <c r="D194" s="369"/>
      <c r="E194" s="481"/>
      <c r="F194" s="361"/>
      <c r="G194" s="482"/>
      <c r="H194" s="369"/>
      <c r="I194" s="481"/>
      <c r="J194" s="369"/>
      <c r="K194" s="481"/>
      <c r="L194" s="369"/>
      <c r="M194" s="481"/>
      <c r="N194" s="565"/>
      <c r="O194" s="8"/>
      <c r="P194" s="338"/>
      <c r="Q194" s="9"/>
    </row>
    <row r="195" spans="1:17" ht="15" customHeight="1" x14ac:dyDescent="0.25">
      <c r="A195" s="13"/>
      <c r="B195" s="3"/>
      <c r="C195" s="9"/>
      <c r="D195" s="369"/>
      <c r="E195" s="481"/>
      <c r="F195" s="361"/>
      <c r="G195" s="482"/>
      <c r="H195" s="369"/>
      <c r="I195" s="481"/>
      <c r="J195" s="369"/>
      <c r="K195" s="481"/>
      <c r="L195" s="369"/>
      <c r="M195" s="481"/>
      <c r="N195" s="565"/>
      <c r="O195" s="8"/>
      <c r="P195" s="338"/>
      <c r="Q195" s="9"/>
    </row>
    <row r="196" spans="1:17" ht="15" customHeight="1" x14ac:dyDescent="0.25">
      <c r="A196" s="13"/>
      <c r="B196" s="3"/>
      <c r="C196" s="8"/>
      <c r="D196" s="369"/>
      <c r="E196" s="481"/>
      <c r="F196" s="361"/>
      <c r="G196" s="482"/>
      <c r="H196" s="369"/>
      <c r="I196" s="481"/>
      <c r="J196" s="369"/>
      <c r="K196" s="481"/>
      <c r="L196" s="369"/>
      <c r="M196" s="481"/>
      <c r="N196" s="565"/>
      <c r="O196" s="8"/>
      <c r="P196" s="338"/>
      <c r="Q196" s="9"/>
    </row>
    <row r="197" spans="1:17" ht="15" customHeight="1" x14ac:dyDescent="0.25">
      <c r="A197" s="13"/>
      <c r="B197" s="3"/>
      <c r="C197" s="9"/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8"/>
      <c r="P197" s="338"/>
      <c r="Q197" s="9"/>
    </row>
    <row r="198" spans="1:17" ht="15" customHeight="1" x14ac:dyDescent="0.25">
      <c r="A198" s="13"/>
      <c r="B198" s="3"/>
      <c r="C198" s="9"/>
      <c r="D198" s="369"/>
      <c r="E198" s="481"/>
      <c r="F198" s="361"/>
      <c r="G198" s="482"/>
      <c r="H198" s="369"/>
      <c r="I198" s="481"/>
      <c r="J198" s="369"/>
      <c r="K198" s="481"/>
      <c r="L198" s="369"/>
      <c r="M198" s="481"/>
      <c r="N198" s="565"/>
      <c r="O198" s="8"/>
      <c r="P198" s="338"/>
      <c r="Q198" s="9"/>
    </row>
    <row r="199" spans="1:17" ht="15" customHeight="1" x14ac:dyDescent="0.25">
      <c r="A199" s="13"/>
      <c r="B199" s="3"/>
      <c r="C199" s="9"/>
      <c r="D199" s="369"/>
      <c r="E199" s="481"/>
      <c r="F199" s="361"/>
      <c r="G199" s="482"/>
      <c r="H199" s="369"/>
      <c r="I199" s="481"/>
      <c r="J199" s="369"/>
      <c r="K199" s="481"/>
      <c r="L199" s="369"/>
      <c r="M199" s="481"/>
      <c r="N199" s="565"/>
      <c r="O199" s="8"/>
      <c r="P199" s="338"/>
      <c r="Q199" s="9"/>
    </row>
    <row r="200" spans="1:17" ht="15" customHeight="1" x14ac:dyDescent="0.25">
      <c r="A200" s="13"/>
      <c r="B200" s="3"/>
      <c r="C200" s="8"/>
      <c r="D200" s="369"/>
      <c r="E200" s="481"/>
      <c r="F200" s="361"/>
      <c r="G200" s="482"/>
      <c r="H200" s="369"/>
      <c r="I200" s="481"/>
      <c r="J200" s="369"/>
      <c r="K200" s="481"/>
      <c r="L200" s="369"/>
      <c r="M200" s="481"/>
      <c r="N200" s="565"/>
      <c r="O200" s="8"/>
      <c r="P200" s="338"/>
      <c r="Q200" s="9"/>
    </row>
    <row r="201" spans="1:17" ht="15" customHeight="1" x14ac:dyDescent="0.25">
      <c r="A201" s="13"/>
      <c r="B201" s="3"/>
      <c r="C201" s="9"/>
      <c r="D201" s="369"/>
      <c r="E201" s="481"/>
      <c r="F201" s="361"/>
      <c r="G201" s="482"/>
      <c r="H201" s="369"/>
      <c r="I201" s="481"/>
      <c r="J201" s="369"/>
      <c r="K201" s="481"/>
      <c r="L201" s="369"/>
      <c r="M201" s="481"/>
      <c r="N201" s="565"/>
      <c r="O201" s="8"/>
      <c r="P201" s="338"/>
      <c r="Q201" s="9"/>
    </row>
    <row r="202" spans="1:17" ht="15" customHeight="1" x14ac:dyDescent="0.25">
      <c r="A202" s="13"/>
      <c r="B202" s="3"/>
      <c r="C202" s="9"/>
      <c r="D202" s="369"/>
      <c r="E202" s="481"/>
      <c r="F202" s="361"/>
      <c r="G202" s="482"/>
      <c r="H202" s="369"/>
      <c r="I202" s="481"/>
      <c r="J202" s="369"/>
      <c r="K202" s="481"/>
      <c r="L202" s="369"/>
      <c r="M202" s="481"/>
      <c r="N202" s="565"/>
      <c r="O202" s="8"/>
      <c r="P202" s="338"/>
      <c r="Q202" s="9"/>
    </row>
    <row r="203" spans="1:17" ht="15" customHeight="1" x14ac:dyDescent="0.25">
      <c r="A203" s="13"/>
      <c r="B203" s="3"/>
      <c r="C203" s="9"/>
      <c r="D203" s="369"/>
      <c r="E203" s="481"/>
      <c r="F203" s="361"/>
      <c r="G203" s="482"/>
      <c r="H203" s="369"/>
      <c r="I203" s="481"/>
      <c r="J203" s="369"/>
      <c r="K203" s="481"/>
      <c r="L203" s="369"/>
      <c r="M203" s="481"/>
      <c r="N203" s="565"/>
      <c r="O203" s="8"/>
      <c r="P203" s="338"/>
      <c r="Q203" s="9"/>
    </row>
    <row r="204" spans="1:17" ht="15" customHeight="1" x14ac:dyDescent="0.25">
      <c r="A204" s="13"/>
      <c r="B204" s="3"/>
      <c r="C204" s="9"/>
      <c r="D204" s="369"/>
      <c r="E204" s="481"/>
      <c r="F204" s="361"/>
      <c r="G204" s="482"/>
      <c r="H204" s="369"/>
      <c r="I204" s="481"/>
      <c r="J204" s="369"/>
      <c r="K204" s="481"/>
      <c r="L204" s="369"/>
      <c r="M204" s="481"/>
      <c r="N204" s="565"/>
      <c r="O204" s="8"/>
      <c r="P204" s="338"/>
      <c r="Q204" s="9"/>
    </row>
    <row r="205" spans="1:17" ht="15" customHeight="1" x14ac:dyDescent="0.25">
      <c r="A205" s="13"/>
      <c r="B205" s="3"/>
      <c r="C205" s="9"/>
      <c r="D205" s="369"/>
      <c r="E205" s="481"/>
      <c r="F205" s="361"/>
      <c r="G205" s="482"/>
      <c r="H205" s="369"/>
      <c r="I205" s="481"/>
      <c r="J205" s="369"/>
      <c r="K205" s="481"/>
      <c r="L205" s="369"/>
      <c r="M205" s="481"/>
      <c r="N205" s="565"/>
      <c r="O205" s="8"/>
      <c r="P205" s="338"/>
      <c r="Q205" s="9"/>
    </row>
    <row r="206" spans="1:17" ht="15" customHeight="1" x14ac:dyDescent="0.25">
      <c r="A206" s="13"/>
      <c r="B206" s="3"/>
      <c r="C206" s="9"/>
      <c r="D206" s="369"/>
      <c r="E206" s="481"/>
      <c r="F206" s="361"/>
      <c r="G206" s="482"/>
      <c r="H206" s="369"/>
      <c r="I206" s="481"/>
      <c r="J206" s="369"/>
      <c r="K206" s="481"/>
      <c r="L206" s="369"/>
      <c r="M206" s="481"/>
      <c r="N206" s="565"/>
      <c r="O206" s="8"/>
      <c r="P206" s="338"/>
      <c r="Q206" s="9"/>
    </row>
    <row r="207" spans="1:17" ht="15" customHeight="1" x14ac:dyDescent="0.25">
      <c r="A207" s="13"/>
      <c r="B207" s="3"/>
      <c r="C207" s="9"/>
      <c r="D207" s="369"/>
      <c r="E207" s="481"/>
      <c r="F207" s="361"/>
      <c r="G207" s="482"/>
      <c r="H207" s="369"/>
      <c r="I207" s="481"/>
      <c r="J207" s="369"/>
      <c r="K207" s="481"/>
      <c r="L207" s="369"/>
      <c r="M207" s="481"/>
      <c r="N207" s="565"/>
      <c r="O207" s="8"/>
      <c r="P207" s="338"/>
      <c r="Q207" s="9"/>
    </row>
    <row r="208" spans="1:17" ht="15" customHeight="1" x14ac:dyDescent="0.25">
      <c r="A208" s="13"/>
      <c r="B208" s="3"/>
      <c r="C208" s="9"/>
      <c r="D208" s="369"/>
      <c r="E208" s="481"/>
      <c r="F208" s="361"/>
      <c r="G208" s="482"/>
      <c r="H208" s="369"/>
      <c r="I208" s="481"/>
      <c r="J208" s="369"/>
      <c r="K208" s="481"/>
      <c r="L208" s="369"/>
      <c r="M208" s="481"/>
      <c r="N208" s="565"/>
      <c r="O208" s="8"/>
      <c r="P208" s="338"/>
      <c r="Q208" s="9"/>
    </row>
    <row r="209" spans="1:17" ht="15" customHeight="1" x14ac:dyDescent="0.25">
      <c r="A209" s="13"/>
      <c r="B209" s="3"/>
      <c r="C209" s="9"/>
      <c r="D209" s="369"/>
      <c r="E209" s="481"/>
      <c r="F209" s="361"/>
      <c r="G209" s="482"/>
      <c r="H209" s="369"/>
      <c r="I209" s="481"/>
      <c r="J209" s="369"/>
      <c r="K209" s="481"/>
      <c r="L209" s="369"/>
      <c r="M209" s="481"/>
      <c r="N209" s="565"/>
      <c r="O209" s="8"/>
      <c r="P209" s="338"/>
      <c r="Q209" s="9"/>
    </row>
    <row r="210" spans="1:17" ht="15" customHeight="1" x14ac:dyDescent="0.25">
      <c r="A210" s="13"/>
      <c r="B210" s="3"/>
      <c r="C210" s="9"/>
      <c r="D210" s="369"/>
      <c r="E210" s="481"/>
      <c r="F210" s="361"/>
      <c r="G210" s="482"/>
      <c r="H210" s="369"/>
      <c r="I210" s="481"/>
      <c r="J210" s="369"/>
      <c r="K210" s="481"/>
      <c r="L210" s="369"/>
      <c r="M210" s="481"/>
      <c r="N210" s="565"/>
      <c r="O210" s="8"/>
      <c r="P210" s="338"/>
      <c r="Q210" s="9"/>
    </row>
    <row r="211" spans="1:17" ht="15" customHeight="1" x14ac:dyDescent="0.25">
      <c r="A211" s="13"/>
      <c r="B211" s="3"/>
      <c r="C211" s="8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8"/>
      <c r="P211" s="338"/>
      <c r="Q211" s="9"/>
    </row>
    <row r="212" spans="1:17" ht="15" customHeight="1" x14ac:dyDescent="0.25">
      <c r="A212" s="13"/>
      <c r="B212" s="3"/>
      <c r="C212" s="9"/>
      <c r="D212" s="369"/>
      <c r="E212" s="481"/>
      <c r="F212" s="361"/>
      <c r="G212" s="482"/>
      <c r="H212" s="369"/>
      <c r="I212" s="481"/>
      <c r="J212" s="369"/>
      <c r="K212" s="481"/>
      <c r="L212" s="369"/>
      <c r="M212" s="481"/>
      <c r="N212" s="565"/>
      <c r="O212" s="8"/>
      <c r="P212" s="338"/>
      <c r="Q212" s="9"/>
    </row>
    <row r="213" spans="1:17" ht="15" customHeight="1" x14ac:dyDescent="0.25">
      <c r="A213" s="13"/>
      <c r="B213" s="3"/>
      <c r="C213" s="9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8"/>
      <c r="P213" s="338"/>
      <c r="Q213" s="9"/>
    </row>
    <row r="214" spans="1:17" ht="15" customHeight="1" x14ac:dyDescent="0.25">
      <c r="A214" s="13"/>
      <c r="B214" s="3"/>
      <c r="C214" s="9"/>
      <c r="D214" s="369"/>
      <c r="E214" s="481"/>
      <c r="F214" s="361"/>
      <c r="G214" s="482"/>
      <c r="H214" s="369"/>
      <c r="I214" s="481"/>
      <c r="J214" s="369"/>
      <c r="K214" s="481"/>
      <c r="L214" s="369"/>
      <c r="M214" s="481"/>
      <c r="N214" s="565"/>
      <c r="O214" s="8"/>
      <c r="P214" s="338"/>
      <c r="Q214" s="9"/>
    </row>
    <row r="215" spans="1:17" ht="15" customHeight="1" x14ac:dyDescent="0.25">
      <c r="A215" s="13"/>
      <c r="B215" s="3"/>
      <c r="C215" s="9"/>
      <c r="D215" s="369"/>
      <c r="E215" s="481"/>
      <c r="F215" s="361"/>
      <c r="G215" s="482"/>
      <c r="H215" s="369"/>
      <c r="I215" s="481"/>
      <c r="J215" s="369"/>
      <c r="K215" s="481"/>
      <c r="L215" s="369"/>
      <c r="M215" s="481"/>
      <c r="N215" s="565"/>
      <c r="O215" s="8"/>
      <c r="P215" s="338"/>
      <c r="Q215" s="9"/>
    </row>
    <row r="216" spans="1:17" ht="15" customHeight="1" x14ac:dyDescent="0.25">
      <c r="A216" s="13"/>
      <c r="B216" s="3"/>
      <c r="C216" s="8"/>
      <c r="D216" s="369"/>
      <c r="E216" s="481"/>
      <c r="F216" s="361"/>
      <c r="G216" s="482"/>
      <c r="H216" s="369"/>
      <c r="I216" s="481"/>
      <c r="J216" s="369"/>
      <c r="K216" s="481"/>
      <c r="L216" s="369"/>
      <c r="M216" s="481"/>
      <c r="N216" s="565"/>
      <c r="O216" s="8"/>
      <c r="P216" s="338"/>
      <c r="Q216" s="9"/>
    </row>
    <row r="217" spans="1:17" ht="15" customHeight="1" x14ac:dyDescent="0.25">
      <c r="A217" s="13"/>
      <c r="B217" s="3"/>
      <c r="C217" s="9"/>
      <c r="D217" s="369"/>
      <c r="E217" s="481"/>
      <c r="F217" s="361"/>
      <c r="G217" s="482"/>
      <c r="H217" s="369"/>
      <c r="I217" s="481"/>
      <c r="J217" s="369"/>
      <c r="K217" s="481"/>
      <c r="L217" s="369"/>
      <c r="M217" s="481"/>
      <c r="N217" s="565"/>
      <c r="O217" s="8"/>
      <c r="P217" s="338"/>
      <c r="Q217" s="9"/>
    </row>
    <row r="218" spans="1:17" ht="15" customHeight="1" x14ac:dyDescent="0.25">
      <c r="A218" s="13"/>
      <c r="B218" s="3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8"/>
      <c r="P218" s="338"/>
      <c r="Q218" s="9"/>
    </row>
    <row r="219" spans="1:17" ht="15" customHeight="1" x14ac:dyDescent="0.25">
      <c r="A219" s="13"/>
      <c r="B219" s="3"/>
      <c r="C219" s="9"/>
      <c r="D219" s="369"/>
      <c r="E219" s="481"/>
      <c r="F219" s="361"/>
      <c r="G219" s="482"/>
      <c r="H219" s="369"/>
      <c r="I219" s="481"/>
      <c r="J219" s="369"/>
      <c r="K219" s="481"/>
      <c r="L219" s="369"/>
      <c r="M219" s="481"/>
      <c r="N219" s="565"/>
      <c r="O219" s="8"/>
      <c r="P219" s="338"/>
      <c r="Q219" s="9"/>
    </row>
    <row r="220" spans="1:17" ht="15" customHeight="1" x14ac:dyDescent="0.25">
      <c r="A220" s="13"/>
      <c r="B220" s="3"/>
      <c r="C220" s="8"/>
      <c r="D220" s="369"/>
      <c r="E220" s="481"/>
      <c r="F220" s="361"/>
      <c r="G220" s="482"/>
      <c r="H220" s="369"/>
      <c r="I220" s="481"/>
      <c r="J220" s="369"/>
      <c r="K220" s="481"/>
      <c r="L220" s="369"/>
      <c r="M220" s="481"/>
      <c r="N220" s="565"/>
      <c r="O220" s="8"/>
      <c r="P220" s="338"/>
      <c r="Q220" s="9"/>
    </row>
    <row r="221" spans="1:17" ht="15" customHeight="1" x14ac:dyDescent="0.25">
      <c r="A221" s="13"/>
      <c r="B221" s="3"/>
      <c r="C221" s="9"/>
      <c r="D221" s="369"/>
      <c r="E221" s="481"/>
      <c r="F221" s="361"/>
      <c r="G221" s="482"/>
      <c r="H221" s="369"/>
      <c r="I221" s="481"/>
      <c r="J221" s="369"/>
      <c r="K221" s="481"/>
      <c r="L221" s="369"/>
      <c r="M221" s="481"/>
      <c r="N221" s="565"/>
      <c r="O221" s="8"/>
      <c r="P221" s="338"/>
      <c r="Q221" s="9"/>
    </row>
    <row r="222" spans="1:17" ht="15" customHeight="1" x14ac:dyDescent="0.25">
      <c r="A222" s="13"/>
      <c r="B222" s="3"/>
      <c r="C222" s="9"/>
      <c r="D222" s="369"/>
      <c r="E222" s="481"/>
      <c r="F222" s="361"/>
      <c r="G222" s="482"/>
      <c r="H222" s="369"/>
      <c r="I222" s="481"/>
      <c r="J222" s="369"/>
      <c r="K222" s="481"/>
      <c r="L222" s="369"/>
      <c r="M222" s="481"/>
      <c r="N222" s="565"/>
      <c r="O222" s="8"/>
      <c r="P222" s="338"/>
      <c r="Q222" s="9"/>
    </row>
    <row r="223" spans="1:17" ht="15" customHeight="1" x14ac:dyDescent="0.25">
      <c r="A223" s="13"/>
      <c r="B223" s="3"/>
      <c r="C223" s="9"/>
      <c r="D223" s="369"/>
      <c r="E223" s="481"/>
      <c r="F223" s="361"/>
      <c r="G223" s="482"/>
      <c r="H223" s="369"/>
      <c r="I223" s="481"/>
      <c r="J223" s="369"/>
      <c r="K223" s="481"/>
      <c r="L223" s="369"/>
      <c r="M223" s="481"/>
      <c r="N223" s="565"/>
      <c r="O223" s="8"/>
      <c r="P223" s="338"/>
      <c r="Q223" s="9"/>
    </row>
    <row r="224" spans="1:17" ht="15" customHeight="1" x14ac:dyDescent="0.25">
      <c r="A224" s="13"/>
      <c r="B224" s="3"/>
      <c r="C224" s="9"/>
      <c r="D224" s="369"/>
      <c r="E224" s="481"/>
      <c r="F224" s="361"/>
      <c r="G224" s="482"/>
      <c r="H224" s="369"/>
      <c r="I224" s="481"/>
      <c r="J224" s="369"/>
      <c r="K224" s="481"/>
      <c r="L224" s="369"/>
      <c r="M224" s="481"/>
      <c r="N224" s="565"/>
      <c r="O224" s="8"/>
      <c r="P224" s="338"/>
      <c r="Q224" s="9"/>
    </row>
    <row r="225" spans="1:17" ht="15" customHeight="1" x14ac:dyDescent="0.25">
      <c r="A225" s="13"/>
      <c r="B225" s="3"/>
      <c r="C225" s="9"/>
      <c r="D225" s="369"/>
      <c r="E225" s="481"/>
      <c r="F225" s="361"/>
      <c r="G225" s="482"/>
      <c r="H225" s="369"/>
      <c r="I225" s="481"/>
      <c r="J225" s="369"/>
      <c r="K225" s="481"/>
      <c r="L225" s="369"/>
      <c r="M225" s="481"/>
      <c r="N225" s="565"/>
      <c r="O225" s="8"/>
      <c r="P225" s="338"/>
      <c r="Q225" s="9"/>
    </row>
    <row r="226" spans="1:17" ht="15" customHeight="1" x14ac:dyDescent="0.25">
      <c r="A226" s="13"/>
      <c r="B226" s="3"/>
      <c r="C226" s="9"/>
      <c r="D226" s="369"/>
      <c r="E226" s="481"/>
      <c r="F226" s="361"/>
      <c r="G226" s="482"/>
      <c r="H226" s="369"/>
      <c r="I226" s="481"/>
      <c r="J226" s="369"/>
      <c r="K226" s="481"/>
      <c r="L226" s="369"/>
      <c r="M226" s="481"/>
      <c r="N226" s="565"/>
      <c r="O226" s="8"/>
      <c r="P226" s="338"/>
      <c r="Q226" s="9"/>
    </row>
    <row r="227" spans="1:17" ht="15" customHeight="1" x14ac:dyDescent="0.25">
      <c r="A227" s="13"/>
      <c r="B227" s="3"/>
      <c r="C227" s="9"/>
      <c r="D227" s="369"/>
      <c r="E227" s="481"/>
      <c r="F227" s="361"/>
      <c r="G227" s="482"/>
      <c r="H227" s="369"/>
      <c r="I227" s="481"/>
      <c r="J227" s="369"/>
      <c r="K227" s="481"/>
      <c r="L227" s="369"/>
      <c r="M227" s="481"/>
      <c r="N227" s="565"/>
      <c r="O227" s="8"/>
      <c r="P227" s="338"/>
      <c r="Q227" s="9"/>
    </row>
    <row r="228" spans="1:17" ht="15" customHeight="1" x14ac:dyDescent="0.25">
      <c r="A228" s="13"/>
      <c r="B228" s="3"/>
      <c r="C228" s="9"/>
      <c r="D228" s="369"/>
      <c r="E228" s="481"/>
      <c r="F228" s="361"/>
      <c r="G228" s="482"/>
      <c r="H228" s="369"/>
      <c r="I228" s="481"/>
      <c r="J228" s="369"/>
      <c r="K228" s="481"/>
      <c r="L228" s="369"/>
      <c r="M228" s="481"/>
      <c r="N228" s="565"/>
      <c r="O228" s="8"/>
      <c r="P228" s="338"/>
      <c r="Q228" s="9"/>
    </row>
    <row r="229" spans="1:17" ht="15" customHeight="1" x14ac:dyDescent="0.25">
      <c r="A229" s="13"/>
      <c r="B229" s="3"/>
      <c r="C229" s="9"/>
      <c r="D229" s="369"/>
      <c r="E229" s="481"/>
      <c r="F229" s="361"/>
      <c r="G229" s="482"/>
      <c r="H229" s="369"/>
      <c r="I229" s="481"/>
      <c r="J229" s="369"/>
      <c r="K229" s="481"/>
      <c r="L229" s="369"/>
      <c r="M229" s="481"/>
      <c r="N229" s="565"/>
      <c r="O229" s="8"/>
      <c r="P229" s="338"/>
      <c r="Q229" s="9"/>
    </row>
    <row r="230" spans="1:17" ht="15" customHeight="1" x14ac:dyDescent="0.25">
      <c r="A230" s="13"/>
      <c r="B230" s="3"/>
      <c r="C230" s="8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8"/>
      <c r="P230" s="338"/>
      <c r="Q230" s="9"/>
    </row>
    <row r="231" spans="1:17" ht="15" customHeight="1" x14ac:dyDescent="0.25">
      <c r="A231" s="13"/>
      <c r="B231" s="3"/>
      <c r="C231" s="9"/>
      <c r="D231" s="369"/>
      <c r="E231" s="481"/>
      <c r="F231" s="361"/>
      <c r="G231" s="482"/>
      <c r="H231" s="369"/>
      <c r="I231" s="481"/>
      <c r="J231" s="369"/>
      <c r="K231" s="481"/>
      <c r="L231" s="369"/>
      <c r="M231" s="481"/>
      <c r="N231" s="565"/>
      <c r="O231" s="8"/>
      <c r="P231" s="338"/>
      <c r="Q231" s="9"/>
    </row>
    <row r="232" spans="1:17" ht="15" customHeight="1" x14ac:dyDescent="0.25">
      <c r="A232" s="13"/>
      <c r="B232" s="3"/>
      <c r="C232" s="9"/>
      <c r="D232" s="369"/>
      <c r="E232" s="481"/>
      <c r="F232" s="361"/>
      <c r="G232" s="482"/>
      <c r="H232" s="369"/>
      <c r="I232" s="481"/>
      <c r="J232" s="369"/>
      <c r="K232" s="481"/>
      <c r="L232" s="369"/>
      <c r="M232" s="481"/>
      <c r="N232" s="565"/>
      <c r="O232" s="8"/>
      <c r="P232" s="338"/>
      <c r="Q232" s="9"/>
    </row>
    <row r="233" spans="1:17" ht="15" customHeight="1" x14ac:dyDescent="0.25">
      <c r="A233" s="13"/>
      <c r="B233" s="13"/>
      <c r="C233" s="17"/>
      <c r="D233" s="369"/>
      <c r="E233" s="481"/>
      <c r="F233" s="361"/>
      <c r="G233" s="482"/>
      <c r="H233" s="369"/>
      <c r="I233" s="481"/>
      <c r="J233" s="369"/>
      <c r="K233" s="481"/>
      <c r="L233" s="369"/>
      <c r="M233" s="481"/>
      <c r="N233" s="565"/>
      <c r="O233" s="8">
        <f>SUM(C233:N233)</f>
        <v>0</v>
      </c>
      <c r="P233" s="338"/>
      <c r="Q233" s="17"/>
    </row>
    <row r="234" spans="1:17" ht="15" customHeight="1" x14ac:dyDescent="0.25">
      <c r="A234" s="13"/>
      <c r="B234" s="13"/>
      <c r="C234" s="17"/>
      <c r="D234" s="369"/>
      <c r="E234" s="481"/>
      <c r="F234" s="361"/>
      <c r="G234" s="482"/>
      <c r="H234" s="369"/>
      <c r="I234" s="481"/>
      <c r="J234" s="369"/>
      <c r="K234" s="481"/>
      <c r="L234" s="369"/>
      <c r="M234" s="481"/>
      <c r="N234" s="565"/>
      <c r="O234" s="48"/>
      <c r="P234" s="338"/>
      <c r="Q234" s="17"/>
    </row>
    <row r="235" spans="1:17" ht="15" customHeight="1" x14ac:dyDescent="0.25">
      <c r="A235" s="13"/>
      <c r="B235" s="13"/>
      <c r="C235" s="17"/>
      <c r="D235" s="369"/>
      <c r="E235" s="481"/>
      <c r="F235" s="361"/>
      <c r="G235" s="482"/>
      <c r="H235" s="369"/>
      <c r="I235" s="481"/>
      <c r="J235" s="369"/>
      <c r="K235" s="481"/>
      <c r="L235" s="369"/>
      <c r="M235" s="481"/>
      <c r="N235" s="565"/>
      <c r="O235" s="48"/>
      <c r="P235" s="338"/>
      <c r="Q235" s="17"/>
    </row>
    <row r="236" spans="1:17" ht="15" customHeight="1" x14ac:dyDescent="0.25">
      <c r="A236" s="13"/>
      <c r="B236" s="13"/>
      <c r="C236" s="17"/>
      <c r="D236" s="369"/>
      <c r="E236" s="481"/>
      <c r="F236" s="361"/>
      <c r="G236" s="482"/>
      <c r="H236" s="369"/>
      <c r="I236" s="481"/>
      <c r="J236" s="369"/>
      <c r="K236" s="481"/>
      <c r="L236" s="369"/>
      <c r="M236" s="481"/>
      <c r="N236" s="565"/>
      <c r="O236" s="48"/>
      <c r="P236" s="338"/>
      <c r="Q236" s="17"/>
    </row>
    <row r="237" spans="1:17" ht="15" customHeight="1" x14ac:dyDescent="0.25">
      <c r="A237" s="13"/>
      <c r="B237" s="13"/>
      <c r="C237" s="17"/>
      <c r="D237" s="369"/>
      <c r="E237" s="481"/>
      <c r="F237" s="361"/>
      <c r="G237" s="482"/>
      <c r="H237" s="369"/>
      <c r="I237" s="481"/>
      <c r="J237" s="369"/>
      <c r="K237" s="481"/>
      <c r="L237" s="369"/>
      <c r="M237" s="481"/>
      <c r="N237" s="565"/>
      <c r="O237" s="48"/>
      <c r="P237" s="338"/>
      <c r="Q237" s="17"/>
    </row>
    <row r="238" spans="1:17" ht="15" customHeight="1" x14ac:dyDescent="0.25">
      <c r="A238" s="13"/>
      <c r="B238" s="13"/>
      <c r="C238" s="17"/>
      <c r="D238" s="369"/>
      <c r="E238" s="481"/>
      <c r="F238" s="361"/>
      <c r="G238" s="482"/>
      <c r="H238" s="369"/>
      <c r="I238" s="481"/>
      <c r="J238" s="369"/>
      <c r="K238" s="481"/>
      <c r="L238" s="369"/>
      <c r="M238" s="481"/>
      <c r="N238" s="565"/>
      <c r="O238" s="48"/>
      <c r="P238" s="338"/>
      <c r="Q238" s="17"/>
    </row>
    <row r="239" spans="1:17" ht="15" customHeight="1" x14ac:dyDescent="0.25">
      <c r="A239" s="13"/>
      <c r="B239" s="13"/>
      <c r="C239" s="17"/>
      <c r="D239" s="369"/>
      <c r="E239" s="481"/>
      <c r="F239" s="361"/>
      <c r="G239" s="482"/>
      <c r="H239" s="369"/>
      <c r="I239" s="481"/>
      <c r="J239" s="369"/>
      <c r="K239" s="481"/>
      <c r="L239" s="369"/>
      <c r="M239" s="481"/>
      <c r="N239" s="565"/>
      <c r="O239" s="48"/>
      <c r="P239" s="338"/>
      <c r="Q239" s="17"/>
    </row>
    <row r="240" spans="1:17" ht="15" customHeight="1" x14ac:dyDescent="0.25">
      <c r="A240" s="13"/>
      <c r="B240" s="3"/>
      <c r="C240" s="47"/>
      <c r="D240" s="359"/>
      <c r="E240" s="478"/>
      <c r="F240" s="359"/>
      <c r="G240" s="478"/>
      <c r="H240" s="359"/>
      <c r="I240" s="478"/>
      <c r="J240" s="359"/>
      <c r="K240" s="478"/>
      <c r="L240" s="359"/>
      <c r="M240" s="478"/>
      <c r="N240" s="561"/>
      <c r="O240" s="47"/>
      <c r="P240" s="340"/>
      <c r="Q240" s="10"/>
    </row>
    <row r="241" spans="1:1" ht="15" customHeight="1" x14ac:dyDescent="0.25">
      <c r="A241" s="13"/>
    </row>
    <row r="242" spans="1:1" ht="15" customHeight="1" x14ac:dyDescent="0.25">
      <c r="A242" s="13"/>
    </row>
    <row r="243" spans="1:1" ht="15" customHeight="1" x14ac:dyDescent="0.25">
      <c r="A243" s="13"/>
    </row>
    <row r="244" spans="1:1" ht="15" customHeight="1" x14ac:dyDescent="0.25">
      <c r="A244" s="13"/>
    </row>
    <row r="245" spans="1:1" ht="15" customHeight="1" x14ac:dyDescent="0.25">
      <c r="A245" s="13">
        <f>A244+1</f>
        <v>1</v>
      </c>
    </row>
    <row r="246" spans="1:1" ht="15" customHeight="1" x14ac:dyDescent="0.25">
      <c r="A246" s="13"/>
    </row>
    <row r="247" spans="1:1" ht="15" customHeight="1" x14ac:dyDescent="0.25">
      <c r="A247" s="13"/>
    </row>
    <row r="248" spans="1:1" ht="15" customHeight="1" x14ac:dyDescent="0.25">
      <c r="A248" s="13"/>
    </row>
    <row r="249" spans="1:1" ht="15" customHeight="1" x14ac:dyDescent="0.25">
      <c r="A249" s="13"/>
    </row>
    <row r="250" spans="1:1" ht="15" customHeight="1" x14ac:dyDescent="0.25">
      <c r="A250" s="13"/>
    </row>
    <row r="251" spans="1:1" ht="15" customHeight="1" x14ac:dyDescent="0.25">
      <c r="A251" s="13"/>
    </row>
    <row r="252" spans="1:1" ht="15" customHeight="1" x14ac:dyDescent="0.25"/>
    <row r="253" spans="1:1" ht="15" customHeight="1" x14ac:dyDescent="0.25"/>
  </sheetData>
  <autoFilter ref="A1:AE59"/>
  <sortState ref="B2:AD41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Q394"/>
  <sheetViews>
    <sheetView topLeftCell="A42" zoomScaleNormal="100" workbookViewId="0">
      <selection activeCell="G60" sqref="G60"/>
    </sheetView>
  </sheetViews>
  <sheetFormatPr baseColWidth="10" defaultRowHeight="15" x14ac:dyDescent="0.25"/>
  <cols>
    <col min="1" max="1" width="4.42578125" style="13" customWidth="1"/>
    <col min="2" max="2" width="41.42578125" style="16" bestFit="1" customWidth="1"/>
    <col min="3" max="3" width="8.7109375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8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3">
        <v>1</v>
      </c>
      <c r="B2" s="314" t="s">
        <v>225</v>
      </c>
      <c r="C2" s="415">
        <v>3</v>
      </c>
      <c r="D2" s="15">
        <v>4.75</v>
      </c>
      <c r="E2" s="7">
        <v>12</v>
      </c>
      <c r="F2" s="26">
        <f>(E2-D2)/(E2)</f>
        <v>0.60416666666666663</v>
      </c>
      <c r="G2" s="30">
        <f>D2*C2</f>
        <v>14.25</v>
      </c>
      <c r="H2" s="25">
        <f>E2*C2</f>
        <v>36</v>
      </c>
    </row>
    <row r="3" spans="1:8" x14ac:dyDescent="0.25">
      <c r="A3" s="3">
        <v>2</v>
      </c>
      <c r="B3" s="4" t="s">
        <v>452</v>
      </c>
      <c r="C3" s="415">
        <v>3</v>
      </c>
      <c r="D3" s="15">
        <v>4.75</v>
      </c>
      <c r="E3" s="7">
        <v>9</v>
      </c>
      <c r="F3" s="26">
        <f t="shared" ref="F3:F56" si="0">(E3-D3)/(E3)</f>
        <v>0.47222222222222221</v>
      </c>
      <c r="G3" s="30">
        <f t="shared" ref="G3:G56" si="1">D3*C3</f>
        <v>14.25</v>
      </c>
      <c r="H3" s="25">
        <f t="shared" ref="H3:H56" si="2">E3*C3</f>
        <v>27</v>
      </c>
    </row>
    <row r="4" spans="1:8" x14ac:dyDescent="0.25">
      <c r="A4" s="3">
        <f t="shared" ref="A4:A85" si="3">A3+1</f>
        <v>3</v>
      </c>
      <c r="B4" s="4" t="s">
        <v>220</v>
      </c>
      <c r="C4" s="415">
        <v>2</v>
      </c>
      <c r="D4" s="15">
        <v>4.5</v>
      </c>
      <c r="E4" s="7">
        <v>8</v>
      </c>
      <c r="F4" s="26">
        <f t="shared" si="0"/>
        <v>0.4375</v>
      </c>
      <c r="G4" s="30">
        <f t="shared" si="1"/>
        <v>9</v>
      </c>
      <c r="H4" s="25">
        <f t="shared" si="2"/>
        <v>16</v>
      </c>
    </row>
    <row r="5" spans="1:8" x14ac:dyDescent="0.25">
      <c r="A5" s="3">
        <f t="shared" si="3"/>
        <v>4</v>
      </c>
      <c r="B5" s="4" t="s">
        <v>239</v>
      </c>
      <c r="C5" s="415">
        <v>2</v>
      </c>
      <c r="D5" s="15">
        <v>5.75</v>
      </c>
      <c r="E5" s="7">
        <v>10</v>
      </c>
      <c r="F5" s="26">
        <f t="shared" si="0"/>
        <v>0.42499999999999999</v>
      </c>
      <c r="G5" s="30">
        <f t="shared" si="1"/>
        <v>11.5</v>
      </c>
      <c r="H5" s="25">
        <f t="shared" si="2"/>
        <v>20</v>
      </c>
    </row>
    <row r="6" spans="1:8" x14ac:dyDescent="0.25">
      <c r="A6" s="314">
        <f t="shared" si="3"/>
        <v>5</v>
      </c>
      <c r="B6" s="4" t="s">
        <v>484</v>
      </c>
      <c r="C6" s="415">
        <v>6</v>
      </c>
      <c r="D6" s="15">
        <v>7.5</v>
      </c>
      <c r="E6" s="7">
        <v>15</v>
      </c>
      <c r="F6" s="26">
        <f t="shared" si="0"/>
        <v>0.5</v>
      </c>
      <c r="G6" s="30">
        <f t="shared" si="1"/>
        <v>45</v>
      </c>
      <c r="H6" s="25">
        <f t="shared" si="2"/>
        <v>90</v>
      </c>
    </row>
    <row r="7" spans="1:8" x14ac:dyDescent="0.25">
      <c r="A7" s="314">
        <f t="shared" si="3"/>
        <v>6</v>
      </c>
      <c r="B7" s="4" t="s">
        <v>485</v>
      </c>
      <c r="C7" s="415">
        <v>5</v>
      </c>
      <c r="D7" s="10">
        <v>5.5</v>
      </c>
      <c r="E7" s="7">
        <v>10</v>
      </c>
      <c r="F7" s="26">
        <f t="shared" si="0"/>
        <v>0.45</v>
      </c>
      <c r="G7" s="30">
        <f t="shared" si="1"/>
        <v>27.5</v>
      </c>
      <c r="H7" s="25">
        <f t="shared" si="2"/>
        <v>50</v>
      </c>
    </row>
    <row r="8" spans="1:8" x14ac:dyDescent="0.25">
      <c r="A8" s="314">
        <f t="shared" si="3"/>
        <v>7</v>
      </c>
      <c r="B8" s="4" t="s">
        <v>228</v>
      </c>
      <c r="C8" s="415">
        <v>2</v>
      </c>
      <c r="D8" s="10">
        <v>4.25</v>
      </c>
      <c r="E8" s="7">
        <v>12</v>
      </c>
      <c r="F8" s="26">
        <f t="shared" si="0"/>
        <v>0.64583333333333337</v>
      </c>
      <c r="G8" s="30">
        <f t="shared" si="1"/>
        <v>8.5</v>
      </c>
      <c r="H8" s="25">
        <f t="shared" si="2"/>
        <v>24</v>
      </c>
    </row>
    <row r="9" spans="1:8" x14ac:dyDescent="0.25">
      <c r="A9" s="314">
        <f t="shared" si="3"/>
        <v>8</v>
      </c>
      <c r="B9" s="4" t="s">
        <v>1005</v>
      </c>
      <c r="C9" s="415">
        <v>0</v>
      </c>
      <c r="D9" s="15">
        <v>4.25</v>
      </c>
      <c r="E9" s="7">
        <v>8</v>
      </c>
      <c r="F9" s="26">
        <f t="shared" si="0"/>
        <v>0.46875</v>
      </c>
      <c r="G9" s="30">
        <f t="shared" si="1"/>
        <v>0</v>
      </c>
      <c r="H9" s="25">
        <f t="shared" si="2"/>
        <v>0</v>
      </c>
    </row>
    <row r="10" spans="1:8" x14ac:dyDescent="0.25">
      <c r="A10" s="314">
        <f t="shared" si="3"/>
        <v>9</v>
      </c>
      <c r="B10" s="651" t="s">
        <v>433</v>
      </c>
      <c r="C10" s="658">
        <v>71</v>
      </c>
      <c r="D10" s="10">
        <v>0.79</v>
      </c>
      <c r="E10" s="7">
        <v>1.5</v>
      </c>
      <c r="F10" s="26">
        <f t="shared" si="0"/>
        <v>0.47333333333333333</v>
      </c>
      <c r="G10" s="30">
        <f t="shared" si="1"/>
        <v>56.09</v>
      </c>
      <c r="H10" s="25">
        <f t="shared" si="2"/>
        <v>106.5</v>
      </c>
    </row>
    <row r="11" spans="1:8" x14ac:dyDescent="0.25">
      <c r="A11" s="314">
        <f t="shared" si="3"/>
        <v>10</v>
      </c>
      <c r="B11" s="651" t="s">
        <v>1168</v>
      </c>
      <c r="C11" s="658">
        <v>19</v>
      </c>
      <c r="D11" s="15">
        <v>0.79</v>
      </c>
      <c r="E11" s="7">
        <v>1.5</v>
      </c>
      <c r="F11" s="26">
        <f t="shared" si="0"/>
        <v>0.47333333333333333</v>
      </c>
      <c r="G11" s="30">
        <f t="shared" si="1"/>
        <v>15.010000000000002</v>
      </c>
      <c r="H11" s="25">
        <f t="shared" si="2"/>
        <v>28.5</v>
      </c>
    </row>
    <row r="12" spans="1:8" x14ac:dyDescent="0.25">
      <c r="A12" s="314">
        <f t="shared" si="3"/>
        <v>11</v>
      </c>
      <c r="B12" s="4" t="s">
        <v>1171</v>
      </c>
      <c r="C12" s="415">
        <v>20</v>
      </c>
      <c r="D12" s="15">
        <v>0.79</v>
      </c>
      <c r="E12" s="7">
        <v>1.5</v>
      </c>
      <c r="F12" s="26">
        <f t="shared" si="0"/>
        <v>0.47333333333333333</v>
      </c>
      <c r="G12" s="30">
        <f t="shared" si="1"/>
        <v>15.8</v>
      </c>
      <c r="H12" s="25">
        <f t="shared" si="2"/>
        <v>30</v>
      </c>
    </row>
    <row r="13" spans="1:8" x14ac:dyDescent="0.25">
      <c r="A13" s="314">
        <f t="shared" si="3"/>
        <v>12</v>
      </c>
      <c r="B13" s="4" t="s">
        <v>1165</v>
      </c>
      <c r="C13" s="415">
        <v>0</v>
      </c>
      <c r="D13" s="15">
        <v>0.79</v>
      </c>
      <c r="E13" s="7">
        <v>1.5</v>
      </c>
      <c r="F13" s="26">
        <f t="shared" si="0"/>
        <v>0.47333333333333333</v>
      </c>
      <c r="G13" s="30">
        <f t="shared" si="1"/>
        <v>0</v>
      </c>
      <c r="H13" s="25">
        <f t="shared" si="2"/>
        <v>0</v>
      </c>
    </row>
    <row r="14" spans="1:8" x14ac:dyDescent="0.25">
      <c r="A14" s="314">
        <f t="shared" si="3"/>
        <v>13</v>
      </c>
      <c r="B14" s="4" t="s">
        <v>1164</v>
      </c>
      <c r="C14" s="415">
        <v>17</v>
      </c>
      <c r="D14" s="15">
        <v>0.79</v>
      </c>
      <c r="E14" s="7">
        <v>1.5</v>
      </c>
      <c r="F14" s="26">
        <f t="shared" si="0"/>
        <v>0.47333333333333333</v>
      </c>
      <c r="G14" s="30">
        <f t="shared" si="1"/>
        <v>13.43</v>
      </c>
      <c r="H14" s="25">
        <f t="shared" si="2"/>
        <v>25.5</v>
      </c>
    </row>
    <row r="15" spans="1:8" x14ac:dyDescent="0.25">
      <c r="A15" s="314">
        <f t="shared" si="3"/>
        <v>14</v>
      </c>
      <c r="B15" s="651" t="s">
        <v>1166</v>
      </c>
      <c r="C15" s="658">
        <v>13</v>
      </c>
      <c r="D15" s="15">
        <v>0.79</v>
      </c>
      <c r="E15" s="7">
        <v>1.5</v>
      </c>
      <c r="F15" s="26">
        <f t="shared" si="0"/>
        <v>0.47333333333333333</v>
      </c>
      <c r="G15" s="30">
        <f t="shared" si="1"/>
        <v>10.27</v>
      </c>
      <c r="H15" s="25">
        <f t="shared" si="2"/>
        <v>19.5</v>
      </c>
    </row>
    <row r="16" spans="1:8" x14ac:dyDescent="0.25">
      <c r="A16" s="314">
        <f t="shared" si="3"/>
        <v>15</v>
      </c>
      <c r="B16" s="4" t="s">
        <v>1170</v>
      </c>
      <c r="C16" s="415">
        <v>0</v>
      </c>
      <c r="D16" s="15">
        <v>0.79</v>
      </c>
      <c r="E16" s="7">
        <v>1.5</v>
      </c>
      <c r="F16" s="26">
        <f t="shared" si="0"/>
        <v>0.47333333333333333</v>
      </c>
      <c r="G16" s="30">
        <f t="shared" si="1"/>
        <v>0</v>
      </c>
      <c r="H16" s="25">
        <f t="shared" si="2"/>
        <v>0</v>
      </c>
    </row>
    <row r="17" spans="1:8" x14ac:dyDescent="0.25">
      <c r="A17" s="314">
        <f t="shared" si="3"/>
        <v>16</v>
      </c>
      <c r="B17" s="4" t="s">
        <v>1169</v>
      </c>
      <c r="C17" s="415">
        <v>1</v>
      </c>
      <c r="D17" s="15">
        <v>0.79</v>
      </c>
      <c r="E17" s="7">
        <v>1.5</v>
      </c>
      <c r="F17" s="26">
        <f t="shared" si="0"/>
        <v>0.47333333333333333</v>
      </c>
      <c r="G17" s="30">
        <f t="shared" si="1"/>
        <v>0.79</v>
      </c>
      <c r="H17" s="25">
        <f t="shared" si="2"/>
        <v>1.5</v>
      </c>
    </row>
    <row r="18" spans="1:8" x14ac:dyDescent="0.25">
      <c r="A18" s="314">
        <f t="shared" si="3"/>
        <v>17</v>
      </c>
      <c r="B18" s="4" t="s">
        <v>1167</v>
      </c>
      <c r="C18" s="415">
        <v>16</v>
      </c>
      <c r="D18" s="15">
        <v>0.79</v>
      </c>
      <c r="E18" s="7">
        <v>1.5</v>
      </c>
      <c r="F18" s="26">
        <f t="shared" si="0"/>
        <v>0.47333333333333333</v>
      </c>
      <c r="G18" s="30">
        <f t="shared" si="1"/>
        <v>12.64</v>
      </c>
      <c r="H18" s="25">
        <f t="shared" si="2"/>
        <v>24</v>
      </c>
    </row>
    <row r="19" spans="1:8" x14ac:dyDescent="0.25">
      <c r="A19" s="314">
        <f t="shared" si="3"/>
        <v>18</v>
      </c>
      <c r="B19" s="4" t="s">
        <v>287</v>
      </c>
      <c r="C19" s="415">
        <v>6</v>
      </c>
      <c r="D19" s="15">
        <v>2</v>
      </c>
      <c r="E19" s="7">
        <v>3.5</v>
      </c>
      <c r="F19" s="26">
        <f t="shared" si="0"/>
        <v>0.42857142857142855</v>
      </c>
      <c r="G19" s="30">
        <f t="shared" si="1"/>
        <v>12</v>
      </c>
      <c r="H19" s="25">
        <f t="shared" si="2"/>
        <v>21</v>
      </c>
    </row>
    <row r="20" spans="1:8" x14ac:dyDescent="0.25">
      <c r="A20" s="314">
        <f t="shared" si="3"/>
        <v>19</v>
      </c>
      <c r="B20" s="314" t="s">
        <v>273</v>
      </c>
      <c r="C20" s="415">
        <v>5</v>
      </c>
      <c r="D20" s="10">
        <v>4.75</v>
      </c>
      <c r="E20" s="7">
        <v>8</v>
      </c>
      <c r="F20" s="26">
        <f t="shared" si="0"/>
        <v>0.40625</v>
      </c>
      <c r="G20" s="30">
        <f t="shared" si="1"/>
        <v>23.75</v>
      </c>
      <c r="H20" s="25">
        <f t="shared" si="2"/>
        <v>40</v>
      </c>
    </row>
    <row r="21" spans="1:8" x14ac:dyDescent="0.25">
      <c r="A21" s="314">
        <f t="shared" si="3"/>
        <v>20</v>
      </c>
      <c r="B21" s="651" t="s">
        <v>114</v>
      </c>
      <c r="C21" s="658">
        <v>1</v>
      </c>
      <c r="D21" s="15">
        <v>2.25</v>
      </c>
      <c r="E21" s="7">
        <v>4</v>
      </c>
      <c r="F21" s="26">
        <f t="shared" si="0"/>
        <v>0.4375</v>
      </c>
      <c r="G21" s="30">
        <f t="shared" si="1"/>
        <v>2.25</v>
      </c>
      <c r="H21" s="25">
        <f t="shared" si="2"/>
        <v>4</v>
      </c>
    </row>
    <row r="22" spans="1:8" x14ac:dyDescent="0.25">
      <c r="A22" s="314">
        <f t="shared" si="3"/>
        <v>21</v>
      </c>
      <c r="B22" s="4" t="s">
        <v>205</v>
      </c>
      <c r="C22" s="415">
        <v>0</v>
      </c>
      <c r="D22" s="10">
        <v>8.4</v>
      </c>
      <c r="E22" s="7">
        <v>16</v>
      </c>
      <c r="F22" s="26">
        <f t="shared" si="0"/>
        <v>0.47499999999999998</v>
      </c>
      <c r="G22" s="30">
        <f t="shared" si="1"/>
        <v>0</v>
      </c>
      <c r="H22" s="25">
        <f t="shared" si="2"/>
        <v>0</v>
      </c>
    </row>
    <row r="23" spans="1:8" x14ac:dyDescent="0.25">
      <c r="A23" s="314">
        <f t="shared" si="3"/>
        <v>22</v>
      </c>
      <c r="B23" s="4" t="s">
        <v>115</v>
      </c>
      <c r="C23" s="415">
        <v>6</v>
      </c>
      <c r="D23" s="15">
        <v>2.25</v>
      </c>
      <c r="E23" s="7">
        <v>4</v>
      </c>
      <c r="F23" s="26">
        <f t="shared" si="0"/>
        <v>0.4375</v>
      </c>
      <c r="G23" s="30">
        <f t="shared" si="1"/>
        <v>13.5</v>
      </c>
      <c r="H23" s="25">
        <f t="shared" si="2"/>
        <v>24</v>
      </c>
    </row>
    <row r="24" spans="1:8" x14ac:dyDescent="0.25">
      <c r="A24" s="314">
        <f t="shared" si="3"/>
        <v>23</v>
      </c>
      <c r="B24" s="314" t="s">
        <v>1004</v>
      </c>
      <c r="C24" s="415">
        <v>16</v>
      </c>
      <c r="D24" s="15">
        <v>0.72</v>
      </c>
      <c r="E24" s="7">
        <v>1.5</v>
      </c>
      <c r="F24" s="26">
        <f t="shared" si="0"/>
        <v>0.52</v>
      </c>
      <c r="G24" s="30">
        <f t="shared" si="1"/>
        <v>11.52</v>
      </c>
      <c r="H24" s="25">
        <f t="shared" si="2"/>
        <v>24</v>
      </c>
    </row>
    <row r="25" spans="1:8" x14ac:dyDescent="0.25">
      <c r="A25" s="314">
        <f t="shared" si="3"/>
        <v>24</v>
      </c>
      <c r="B25" s="4" t="s">
        <v>994</v>
      </c>
      <c r="C25" s="415">
        <v>25</v>
      </c>
      <c r="D25" s="15">
        <v>0.72</v>
      </c>
      <c r="E25" s="7">
        <v>1.5</v>
      </c>
      <c r="F25" s="26">
        <f t="shared" si="0"/>
        <v>0.52</v>
      </c>
      <c r="G25" s="30">
        <f t="shared" si="1"/>
        <v>18</v>
      </c>
      <c r="H25" s="25">
        <f t="shared" si="2"/>
        <v>37.5</v>
      </c>
    </row>
    <row r="26" spans="1:8" x14ac:dyDescent="0.25">
      <c r="A26" s="314">
        <f t="shared" si="3"/>
        <v>25</v>
      </c>
      <c r="B26" s="4" t="s">
        <v>1000</v>
      </c>
      <c r="C26" s="415">
        <v>22</v>
      </c>
      <c r="D26" s="15">
        <v>0.72</v>
      </c>
      <c r="E26" s="7">
        <v>1.5</v>
      </c>
      <c r="F26" s="26">
        <f t="shared" si="0"/>
        <v>0.52</v>
      </c>
      <c r="G26" s="30">
        <f t="shared" si="1"/>
        <v>15.84</v>
      </c>
      <c r="H26" s="25">
        <f t="shared" si="2"/>
        <v>33</v>
      </c>
    </row>
    <row r="27" spans="1:8" x14ac:dyDescent="0.25">
      <c r="A27" s="314">
        <f t="shared" si="3"/>
        <v>26</v>
      </c>
      <c r="B27" s="4" t="s">
        <v>996</v>
      </c>
      <c r="C27" s="415">
        <v>1</v>
      </c>
      <c r="D27" s="15">
        <v>0.72</v>
      </c>
      <c r="E27" s="7">
        <v>1.5</v>
      </c>
      <c r="F27" s="26">
        <f t="shared" si="0"/>
        <v>0.52</v>
      </c>
      <c r="G27" s="30">
        <f t="shared" si="1"/>
        <v>0.72</v>
      </c>
      <c r="H27" s="25">
        <f t="shared" si="2"/>
        <v>1.5</v>
      </c>
    </row>
    <row r="28" spans="1:8" x14ac:dyDescent="0.25">
      <c r="A28" s="314">
        <f t="shared" si="3"/>
        <v>27</v>
      </c>
      <c r="B28" s="4" t="s">
        <v>991</v>
      </c>
      <c r="C28" s="415">
        <v>13</v>
      </c>
      <c r="D28" s="15">
        <v>0.72</v>
      </c>
      <c r="E28" s="7">
        <v>1.5</v>
      </c>
      <c r="F28" s="26">
        <f t="shared" si="0"/>
        <v>0.52</v>
      </c>
      <c r="G28" s="30">
        <f t="shared" si="1"/>
        <v>9.36</v>
      </c>
      <c r="H28" s="25">
        <f t="shared" si="2"/>
        <v>19.5</v>
      </c>
    </row>
    <row r="29" spans="1:8" x14ac:dyDescent="0.25">
      <c r="A29" s="314">
        <f t="shared" si="3"/>
        <v>28</v>
      </c>
      <c r="B29" s="4" t="s">
        <v>995</v>
      </c>
      <c r="C29" s="415">
        <v>19</v>
      </c>
      <c r="D29" s="15">
        <v>0.72</v>
      </c>
      <c r="E29" s="7">
        <v>1.5</v>
      </c>
      <c r="F29" s="26">
        <f t="shared" si="0"/>
        <v>0.52</v>
      </c>
      <c r="G29" s="30">
        <f t="shared" si="1"/>
        <v>13.68</v>
      </c>
      <c r="H29" s="25">
        <f t="shared" si="2"/>
        <v>28.5</v>
      </c>
    </row>
    <row r="30" spans="1:8" x14ac:dyDescent="0.25">
      <c r="A30" s="314">
        <f t="shared" si="3"/>
        <v>29</v>
      </c>
      <c r="B30" s="4" t="s">
        <v>1204</v>
      </c>
      <c r="C30" s="415">
        <v>2</v>
      </c>
      <c r="D30" s="15">
        <v>0.72</v>
      </c>
      <c r="E30" s="7">
        <v>1.5</v>
      </c>
      <c r="F30" s="26">
        <f t="shared" si="0"/>
        <v>0.52</v>
      </c>
      <c r="G30" s="30">
        <f t="shared" si="1"/>
        <v>1.44</v>
      </c>
      <c r="H30" s="25">
        <f t="shared" si="2"/>
        <v>3</v>
      </c>
    </row>
    <row r="31" spans="1:8" x14ac:dyDescent="0.25">
      <c r="A31" s="314">
        <f t="shared" si="3"/>
        <v>30</v>
      </c>
      <c r="B31" s="4" t="s">
        <v>989</v>
      </c>
      <c r="C31" s="415">
        <v>15</v>
      </c>
      <c r="D31" s="15">
        <v>0.72</v>
      </c>
      <c r="E31" s="7">
        <v>1.5</v>
      </c>
      <c r="F31" s="26">
        <f t="shared" si="0"/>
        <v>0.52</v>
      </c>
      <c r="G31" s="30">
        <f t="shared" si="1"/>
        <v>10.799999999999999</v>
      </c>
      <c r="H31" s="25">
        <f t="shared" si="2"/>
        <v>22.5</v>
      </c>
    </row>
    <row r="32" spans="1:8" x14ac:dyDescent="0.25">
      <c r="A32" s="314">
        <f t="shared" si="3"/>
        <v>31</v>
      </c>
      <c r="B32" s="4" t="s">
        <v>988</v>
      </c>
      <c r="C32" s="415">
        <v>19</v>
      </c>
      <c r="D32" s="15">
        <v>0.72</v>
      </c>
      <c r="E32" s="7">
        <v>1.5</v>
      </c>
      <c r="F32" s="26">
        <f t="shared" si="0"/>
        <v>0.52</v>
      </c>
      <c r="G32" s="30">
        <f t="shared" si="1"/>
        <v>13.68</v>
      </c>
      <c r="H32" s="25">
        <f t="shared" si="2"/>
        <v>28.5</v>
      </c>
    </row>
    <row r="33" spans="1:8" x14ac:dyDescent="0.25">
      <c r="A33" s="314">
        <f t="shared" si="3"/>
        <v>32</v>
      </c>
      <c r="B33" s="4" t="s">
        <v>999</v>
      </c>
      <c r="C33" s="415">
        <v>5</v>
      </c>
      <c r="D33" s="15">
        <v>0.72</v>
      </c>
      <c r="E33" s="7">
        <v>1.5</v>
      </c>
      <c r="F33" s="26">
        <f t="shared" si="0"/>
        <v>0.52</v>
      </c>
      <c r="G33" s="30">
        <f t="shared" si="1"/>
        <v>3.5999999999999996</v>
      </c>
      <c r="H33" s="25">
        <f t="shared" si="2"/>
        <v>7.5</v>
      </c>
    </row>
    <row r="34" spans="1:8" x14ac:dyDescent="0.25">
      <c r="A34" s="314">
        <f t="shared" si="3"/>
        <v>33</v>
      </c>
      <c r="B34" s="4" t="s">
        <v>993</v>
      </c>
      <c r="C34" s="415">
        <v>13</v>
      </c>
      <c r="D34" s="15">
        <v>0.72</v>
      </c>
      <c r="E34" s="7">
        <v>1.5</v>
      </c>
      <c r="F34" s="26">
        <f t="shared" si="0"/>
        <v>0.52</v>
      </c>
      <c r="G34" s="30">
        <f t="shared" si="1"/>
        <v>9.36</v>
      </c>
      <c r="H34" s="25">
        <f t="shared" si="2"/>
        <v>19.5</v>
      </c>
    </row>
    <row r="35" spans="1:8" x14ac:dyDescent="0.25">
      <c r="A35" s="314">
        <f t="shared" si="3"/>
        <v>34</v>
      </c>
      <c r="B35" s="4" t="s">
        <v>992</v>
      </c>
      <c r="C35" s="415">
        <v>4</v>
      </c>
      <c r="D35" s="15">
        <v>0.72</v>
      </c>
      <c r="E35" s="7">
        <v>1.5</v>
      </c>
      <c r="F35" s="26">
        <f t="shared" si="0"/>
        <v>0.52</v>
      </c>
      <c r="G35" s="30">
        <f t="shared" si="1"/>
        <v>2.88</v>
      </c>
      <c r="H35" s="25">
        <f t="shared" si="2"/>
        <v>6</v>
      </c>
    </row>
    <row r="36" spans="1:8" x14ac:dyDescent="0.25">
      <c r="A36" s="314">
        <f t="shared" si="3"/>
        <v>35</v>
      </c>
      <c r="B36" s="4" t="s">
        <v>990</v>
      </c>
      <c r="C36" s="415">
        <v>23</v>
      </c>
      <c r="D36" s="15">
        <v>0.72</v>
      </c>
      <c r="E36" s="7">
        <v>1.5</v>
      </c>
      <c r="F36" s="26">
        <f t="shared" si="0"/>
        <v>0.52</v>
      </c>
      <c r="G36" s="30">
        <f t="shared" si="1"/>
        <v>16.559999999999999</v>
      </c>
      <c r="H36" s="25">
        <f t="shared" si="2"/>
        <v>34.5</v>
      </c>
    </row>
    <row r="37" spans="1:8" x14ac:dyDescent="0.25">
      <c r="A37" s="314">
        <f t="shared" si="3"/>
        <v>36</v>
      </c>
      <c r="B37" s="4" t="s">
        <v>116</v>
      </c>
      <c r="C37" s="415">
        <v>2</v>
      </c>
      <c r="D37" s="15">
        <v>6.5</v>
      </c>
      <c r="E37" s="7">
        <v>14</v>
      </c>
      <c r="F37" s="26">
        <f t="shared" si="0"/>
        <v>0.5357142857142857</v>
      </c>
      <c r="G37" s="30">
        <f t="shared" si="1"/>
        <v>13</v>
      </c>
      <c r="H37" s="25">
        <f t="shared" si="2"/>
        <v>28</v>
      </c>
    </row>
    <row r="38" spans="1:8" x14ac:dyDescent="0.25">
      <c r="A38" s="314">
        <f t="shared" si="3"/>
        <v>37</v>
      </c>
      <c r="B38" s="4" t="s">
        <v>840</v>
      </c>
      <c r="C38" s="415">
        <v>1</v>
      </c>
      <c r="D38" s="15">
        <v>9</v>
      </c>
      <c r="E38" s="7">
        <v>20</v>
      </c>
      <c r="F38" s="26">
        <f t="shared" si="0"/>
        <v>0.55000000000000004</v>
      </c>
      <c r="G38" s="30">
        <f t="shared" si="1"/>
        <v>9</v>
      </c>
      <c r="H38" s="25">
        <f t="shared" si="2"/>
        <v>20</v>
      </c>
    </row>
    <row r="39" spans="1:8" x14ac:dyDescent="0.25">
      <c r="A39" s="314">
        <f t="shared" si="3"/>
        <v>38</v>
      </c>
      <c r="B39" s="4" t="s">
        <v>934</v>
      </c>
      <c r="C39" s="415">
        <v>2</v>
      </c>
      <c r="D39" s="15">
        <v>14</v>
      </c>
      <c r="E39" s="7">
        <v>25</v>
      </c>
      <c r="F39" s="26">
        <f t="shared" si="0"/>
        <v>0.44</v>
      </c>
      <c r="G39" s="30">
        <f t="shared" si="1"/>
        <v>28</v>
      </c>
      <c r="H39" s="25">
        <f t="shared" si="2"/>
        <v>50</v>
      </c>
    </row>
    <row r="40" spans="1:8" x14ac:dyDescent="0.25">
      <c r="A40" s="314">
        <f t="shared" si="3"/>
        <v>39</v>
      </c>
      <c r="B40" s="4" t="s">
        <v>842</v>
      </c>
      <c r="C40" s="415">
        <v>3</v>
      </c>
      <c r="D40" s="15">
        <v>1.25</v>
      </c>
      <c r="E40" s="7">
        <v>3</v>
      </c>
      <c r="F40" s="26">
        <f t="shared" si="0"/>
        <v>0.58333333333333337</v>
      </c>
      <c r="G40" s="30">
        <f t="shared" si="1"/>
        <v>3.75</v>
      </c>
      <c r="H40" s="25">
        <f t="shared" si="2"/>
        <v>9</v>
      </c>
    </row>
    <row r="41" spans="1:8" x14ac:dyDescent="0.25">
      <c r="A41" s="314">
        <f t="shared" si="3"/>
        <v>40</v>
      </c>
      <c r="B41" s="4" t="s">
        <v>783</v>
      </c>
      <c r="C41" s="415">
        <v>2</v>
      </c>
      <c r="D41" s="15">
        <v>27</v>
      </c>
      <c r="E41" s="7">
        <v>40</v>
      </c>
      <c r="F41" s="26">
        <f t="shared" si="0"/>
        <v>0.32500000000000001</v>
      </c>
      <c r="G41" s="30">
        <f t="shared" si="1"/>
        <v>54</v>
      </c>
      <c r="H41" s="25">
        <f t="shared" si="2"/>
        <v>80</v>
      </c>
    </row>
    <row r="42" spans="1:8" x14ac:dyDescent="0.25">
      <c r="A42" s="314">
        <f t="shared" si="3"/>
        <v>41</v>
      </c>
      <c r="B42" s="4" t="s">
        <v>1445</v>
      </c>
      <c r="C42" s="415">
        <v>0</v>
      </c>
      <c r="D42" s="15">
        <v>4</v>
      </c>
      <c r="E42" s="7">
        <v>8</v>
      </c>
      <c r="F42" s="26">
        <f t="shared" si="0"/>
        <v>0.5</v>
      </c>
      <c r="G42" s="30">
        <f t="shared" si="1"/>
        <v>0</v>
      </c>
      <c r="H42" s="25">
        <f t="shared" si="2"/>
        <v>0</v>
      </c>
    </row>
    <row r="43" spans="1:8" x14ac:dyDescent="0.25">
      <c r="A43" s="314">
        <f t="shared" si="3"/>
        <v>42</v>
      </c>
      <c r="B43" s="4" t="s">
        <v>1444</v>
      </c>
      <c r="C43" s="415">
        <v>3</v>
      </c>
      <c r="D43" s="15">
        <v>7</v>
      </c>
      <c r="E43" s="7">
        <v>15</v>
      </c>
      <c r="F43" s="26">
        <f t="shared" si="0"/>
        <v>0.53333333333333333</v>
      </c>
      <c r="G43" s="30">
        <f t="shared" si="1"/>
        <v>21</v>
      </c>
      <c r="H43" s="25">
        <f t="shared" si="2"/>
        <v>45</v>
      </c>
    </row>
    <row r="44" spans="1:8" x14ac:dyDescent="0.25">
      <c r="A44" s="314">
        <f t="shared" si="3"/>
        <v>43</v>
      </c>
      <c r="B44" s="4" t="s">
        <v>1446</v>
      </c>
      <c r="C44" s="415">
        <v>3</v>
      </c>
      <c r="D44" s="15">
        <v>7.5</v>
      </c>
      <c r="E44" s="7">
        <v>14</v>
      </c>
      <c r="F44" s="26">
        <f t="shared" si="0"/>
        <v>0.4642857142857143</v>
      </c>
      <c r="G44" s="30">
        <f t="shared" si="1"/>
        <v>22.5</v>
      </c>
      <c r="H44" s="25">
        <f t="shared" si="2"/>
        <v>42</v>
      </c>
    </row>
    <row r="45" spans="1:8" x14ac:dyDescent="0.25">
      <c r="A45" s="314">
        <f t="shared" si="3"/>
        <v>44</v>
      </c>
      <c r="B45" s="4" t="s">
        <v>841</v>
      </c>
      <c r="C45" s="415">
        <v>2</v>
      </c>
      <c r="D45" s="15">
        <v>8</v>
      </c>
      <c r="E45" s="7">
        <v>17</v>
      </c>
      <c r="F45" s="26">
        <f t="shared" si="0"/>
        <v>0.52941176470588236</v>
      </c>
      <c r="G45" s="30">
        <f t="shared" si="1"/>
        <v>16</v>
      </c>
      <c r="H45" s="25">
        <f t="shared" si="2"/>
        <v>34</v>
      </c>
    </row>
    <row r="46" spans="1:8" x14ac:dyDescent="0.25">
      <c r="A46" s="314">
        <f t="shared" si="3"/>
        <v>45</v>
      </c>
      <c r="B46" s="4" t="s">
        <v>935</v>
      </c>
      <c r="C46" s="415">
        <v>9</v>
      </c>
      <c r="D46" s="15">
        <v>1</v>
      </c>
      <c r="E46" s="7">
        <v>4</v>
      </c>
      <c r="F46" s="26">
        <f t="shared" si="0"/>
        <v>0.75</v>
      </c>
      <c r="G46" s="30">
        <f t="shared" si="1"/>
        <v>9</v>
      </c>
      <c r="H46" s="25">
        <f t="shared" si="2"/>
        <v>36</v>
      </c>
    </row>
    <row r="47" spans="1:8" x14ac:dyDescent="0.25">
      <c r="A47" s="314">
        <f t="shared" si="3"/>
        <v>46</v>
      </c>
      <c r="B47" s="314" t="s">
        <v>964</v>
      </c>
      <c r="C47" s="413">
        <v>4</v>
      </c>
      <c r="D47" s="404">
        <v>4.25</v>
      </c>
      <c r="E47" s="7">
        <v>10</v>
      </c>
      <c r="F47" s="26">
        <f t="shared" si="0"/>
        <v>0.57499999999999996</v>
      </c>
      <c r="G47" s="30">
        <f t="shared" si="1"/>
        <v>17</v>
      </c>
      <c r="H47" s="25">
        <f t="shared" si="2"/>
        <v>40</v>
      </c>
    </row>
    <row r="48" spans="1:8" x14ac:dyDescent="0.25">
      <c r="A48" s="314">
        <f t="shared" si="3"/>
        <v>47</v>
      </c>
      <c r="B48" s="4" t="s">
        <v>216</v>
      </c>
      <c r="C48" s="415">
        <v>2</v>
      </c>
      <c r="D48" s="10">
        <v>3.75</v>
      </c>
      <c r="E48" s="7">
        <v>9</v>
      </c>
      <c r="F48" s="26">
        <f t="shared" si="0"/>
        <v>0.58333333333333337</v>
      </c>
      <c r="G48" s="30">
        <f t="shared" si="1"/>
        <v>7.5</v>
      </c>
      <c r="H48" s="25">
        <f t="shared" si="2"/>
        <v>18</v>
      </c>
    </row>
    <row r="49" spans="1:8" x14ac:dyDescent="0.25">
      <c r="A49" s="314">
        <f t="shared" si="3"/>
        <v>48</v>
      </c>
      <c r="B49" s="4" t="s">
        <v>1357</v>
      </c>
      <c r="C49" s="415">
        <v>2</v>
      </c>
      <c r="D49" s="15">
        <v>4.25</v>
      </c>
      <c r="E49" s="7">
        <v>10</v>
      </c>
      <c r="F49" s="26">
        <f t="shared" si="0"/>
        <v>0.57499999999999996</v>
      </c>
      <c r="G49" s="30">
        <f t="shared" si="1"/>
        <v>8.5</v>
      </c>
      <c r="H49" s="25">
        <f t="shared" si="2"/>
        <v>20</v>
      </c>
    </row>
    <row r="50" spans="1:8" x14ac:dyDescent="0.25">
      <c r="A50" s="314">
        <f t="shared" si="3"/>
        <v>49</v>
      </c>
      <c r="B50" s="4" t="s">
        <v>238</v>
      </c>
      <c r="C50" s="415">
        <v>2</v>
      </c>
      <c r="D50" s="15">
        <v>9.75</v>
      </c>
      <c r="E50" s="7">
        <v>24</v>
      </c>
      <c r="F50" s="26">
        <f t="shared" si="0"/>
        <v>0.59375</v>
      </c>
      <c r="G50" s="30">
        <f t="shared" si="1"/>
        <v>19.5</v>
      </c>
      <c r="H50" s="25">
        <f t="shared" si="2"/>
        <v>48</v>
      </c>
    </row>
    <row r="51" spans="1:8" x14ac:dyDescent="0.25">
      <c r="A51" s="314">
        <f t="shared" si="3"/>
        <v>50</v>
      </c>
      <c r="B51" s="4" t="s">
        <v>1006</v>
      </c>
      <c r="C51" s="415">
        <v>5</v>
      </c>
      <c r="D51" s="15">
        <v>5.35</v>
      </c>
      <c r="E51" s="7">
        <v>10</v>
      </c>
      <c r="F51" s="26">
        <f t="shared" si="0"/>
        <v>0.46500000000000002</v>
      </c>
      <c r="G51" s="30">
        <f t="shared" si="1"/>
        <v>26.75</v>
      </c>
      <c r="H51" s="25">
        <f t="shared" si="2"/>
        <v>50</v>
      </c>
    </row>
    <row r="52" spans="1:8" x14ac:dyDescent="0.25">
      <c r="A52" s="314">
        <f t="shared" si="3"/>
        <v>51</v>
      </c>
      <c r="B52" s="4" t="s">
        <v>1195</v>
      </c>
      <c r="C52" s="415">
        <v>2</v>
      </c>
      <c r="D52" s="15">
        <v>10</v>
      </c>
      <c r="E52" s="7">
        <v>18</v>
      </c>
      <c r="F52" s="26">
        <f t="shared" si="0"/>
        <v>0.44444444444444442</v>
      </c>
      <c r="G52" s="30">
        <f t="shared" si="1"/>
        <v>20</v>
      </c>
      <c r="H52" s="25">
        <f t="shared" si="2"/>
        <v>36</v>
      </c>
    </row>
    <row r="53" spans="1:8" x14ac:dyDescent="0.25">
      <c r="A53" s="314">
        <f t="shared" si="3"/>
        <v>52</v>
      </c>
      <c r="B53" s="4" t="s">
        <v>1194</v>
      </c>
      <c r="C53" s="415">
        <v>2</v>
      </c>
      <c r="D53" s="15">
        <v>7.75</v>
      </c>
      <c r="E53" s="7">
        <v>14</v>
      </c>
      <c r="F53" s="26">
        <f t="shared" si="0"/>
        <v>0.44642857142857145</v>
      </c>
      <c r="G53" s="30">
        <f t="shared" si="1"/>
        <v>15.5</v>
      </c>
      <c r="H53" s="25">
        <f t="shared" si="2"/>
        <v>28</v>
      </c>
    </row>
    <row r="54" spans="1:8" x14ac:dyDescent="0.25">
      <c r="A54" s="314">
        <f t="shared" si="3"/>
        <v>53</v>
      </c>
      <c r="B54" s="314" t="s">
        <v>589</v>
      </c>
      <c r="C54" s="280">
        <v>0</v>
      </c>
      <c r="D54" s="15">
        <v>3.75</v>
      </c>
      <c r="E54" s="7">
        <v>7</v>
      </c>
      <c r="F54" s="26">
        <f t="shared" si="0"/>
        <v>0.4642857142857143</v>
      </c>
      <c r="G54" s="30">
        <f t="shared" si="1"/>
        <v>0</v>
      </c>
      <c r="H54" s="25">
        <f t="shared" si="2"/>
        <v>0</v>
      </c>
    </row>
    <row r="55" spans="1:8" x14ac:dyDescent="0.25">
      <c r="A55" s="314">
        <f t="shared" si="3"/>
        <v>54</v>
      </c>
      <c r="B55" s="4" t="s">
        <v>1447</v>
      </c>
      <c r="C55" s="415">
        <v>2</v>
      </c>
      <c r="D55" s="15">
        <v>7</v>
      </c>
      <c r="E55" s="7">
        <v>13</v>
      </c>
      <c r="F55" s="26">
        <f t="shared" si="0"/>
        <v>0.46153846153846156</v>
      </c>
      <c r="G55" s="30">
        <f t="shared" si="1"/>
        <v>14</v>
      </c>
      <c r="H55" s="25">
        <f t="shared" si="2"/>
        <v>26</v>
      </c>
    </row>
    <row r="56" spans="1:8" x14ac:dyDescent="0.25">
      <c r="A56" s="314">
        <f t="shared" si="3"/>
        <v>55</v>
      </c>
      <c r="B56" s="603" t="s">
        <v>217</v>
      </c>
      <c r="C56" s="604">
        <v>2</v>
      </c>
      <c r="D56" s="15">
        <v>5.75</v>
      </c>
      <c r="E56" s="7">
        <v>10</v>
      </c>
      <c r="F56" s="26">
        <f t="shared" si="0"/>
        <v>0.42499999999999999</v>
      </c>
      <c r="G56" s="30">
        <f t="shared" si="1"/>
        <v>11.5</v>
      </c>
      <c r="H56" s="25">
        <f t="shared" si="2"/>
        <v>20</v>
      </c>
    </row>
    <row r="57" spans="1:8" x14ac:dyDescent="0.25">
      <c r="A57" s="314">
        <f t="shared" si="3"/>
        <v>56</v>
      </c>
      <c r="B57" s="4"/>
      <c r="C57" s="415">
        <v>0</v>
      </c>
      <c r="D57" s="15"/>
      <c r="E57" s="7"/>
      <c r="F57" s="26" t="e">
        <f>(E57-D57)/(E57)</f>
        <v>#DIV/0!</v>
      </c>
      <c r="G57" s="30">
        <f>D57*C57</f>
        <v>0</v>
      </c>
      <c r="H57" s="25">
        <f>E57*C57</f>
        <v>0</v>
      </c>
    </row>
    <row r="58" spans="1:8" x14ac:dyDescent="0.25">
      <c r="A58" s="314">
        <f t="shared" si="3"/>
        <v>57</v>
      </c>
      <c r="B58" s="4"/>
      <c r="C58" s="340"/>
      <c r="D58" s="15"/>
      <c r="E58" s="7"/>
      <c r="F58" s="26" t="e">
        <f>(E58-D58)/(E58)</f>
        <v>#DIV/0!</v>
      </c>
      <c r="G58" s="30">
        <f>D58*C58</f>
        <v>0</v>
      </c>
      <c r="H58" s="25">
        <f>E58*C58</f>
        <v>0</v>
      </c>
    </row>
    <row r="59" spans="1:8" x14ac:dyDescent="0.25">
      <c r="A59" s="314">
        <f t="shared" si="3"/>
        <v>58</v>
      </c>
      <c r="B59" s="4"/>
      <c r="C59" s="47"/>
      <c r="D59" s="15"/>
      <c r="E59" s="7"/>
      <c r="F59" s="26" t="e">
        <f>(E59-D59)/(E59)</f>
        <v>#DIV/0!</v>
      </c>
      <c r="G59" s="30">
        <f>D59*C59</f>
        <v>0</v>
      </c>
      <c r="H59" s="25">
        <f>E59*C59</f>
        <v>0</v>
      </c>
    </row>
    <row r="60" spans="1:8" x14ac:dyDescent="0.25">
      <c r="A60" s="314">
        <f t="shared" si="3"/>
        <v>59</v>
      </c>
      <c r="B60" s="4"/>
      <c r="C60" s="47"/>
      <c r="D60" s="15"/>
      <c r="E60" s="7"/>
      <c r="G60" s="30">
        <f>SUM(G2:G59)</f>
        <v>749.47</v>
      </c>
      <c r="H60" s="25">
        <f>SUM(H2:H59)</f>
        <v>1483</v>
      </c>
    </row>
    <row r="61" spans="1:8" x14ac:dyDescent="0.25">
      <c r="A61" s="314">
        <f t="shared" si="3"/>
        <v>60</v>
      </c>
      <c r="B61" s="4"/>
      <c r="C61" s="47"/>
      <c r="D61" s="15"/>
      <c r="E61" s="7"/>
      <c r="G61" s="30"/>
      <c r="H61" s="25"/>
    </row>
    <row r="62" spans="1:8" x14ac:dyDescent="0.25">
      <c r="A62" s="314">
        <f t="shared" si="3"/>
        <v>61</v>
      </c>
      <c r="B62" s="4"/>
      <c r="C62" s="47"/>
      <c r="D62" s="15"/>
      <c r="E62" s="7"/>
      <c r="G62" s="30"/>
      <c r="H62" s="179">
        <f>H60-G60</f>
        <v>733.53</v>
      </c>
    </row>
    <row r="63" spans="1:8" x14ac:dyDescent="0.25">
      <c r="A63" s="314">
        <f t="shared" si="3"/>
        <v>62</v>
      </c>
      <c r="B63" s="4"/>
      <c r="C63" s="47"/>
      <c r="D63" s="15"/>
      <c r="E63" s="7"/>
      <c r="G63" s="30"/>
      <c r="H63" s="29">
        <f>H62/H60</f>
        <v>0.49462575859743763</v>
      </c>
    </row>
    <row r="64" spans="1:8" x14ac:dyDescent="0.25">
      <c r="A64" s="314">
        <f t="shared" si="3"/>
        <v>63</v>
      </c>
      <c r="B64" s="4"/>
      <c r="C64" s="47"/>
      <c r="D64" s="15"/>
      <c r="E64" s="7"/>
      <c r="G64" s="30"/>
      <c r="H64" s="25"/>
    </row>
    <row r="65" spans="1:8" x14ac:dyDescent="0.25">
      <c r="A65" s="314">
        <f t="shared" si="3"/>
        <v>64</v>
      </c>
      <c r="B65" s="4"/>
      <c r="C65" s="47"/>
      <c r="D65" s="15"/>
      <c r="E65" s="7"/>
      <c r="G65" s="30"/>
      <c r="H65" s="25"/>
    </row>
    <row r="66" spans="1:8" x14ac:dyDescent="0.25">
      <c r="A66" s="314">
        <f t="shared" si="3"/>
        <v>65</v>
      </c>
      <c r="B66" s="4"/>
      <c r="C66" s="47"/>
      <c r="D66" s="15"/>
      <c r="E66" s="7"/>
      <c r="G66" s="30"/>
      <c r="H66" s="25"/>
    </row>
    <row r="67" spans="1:8" x14ac:dyDescent="0.25">
      <c r="A67" s="314">
        <f t="shared" si="3"/>
        <v>66</v>
      </c>
      <c r="B67" s="4"/>
      <c r="C67" s="47"/>
      <c r="D67" s="15"/>
      <c r="E67" s="7"/>
      <c r="G67" s="30"/>
      <c r="H67" s="25"/>
    </row>
    <row r="68" spans="1:8" x14ac:dyDescent="0.25">
      <c r="A68" s="314">
        <f t="shared" si="3"/>
        <v>67</v>
      </c>
      <c r="B68" s="4"/>
      <c r="C68" s="8"/>
      <c r="D68" s="15"/>
      <c r="E68" s="7"/>
      <c r="G68" s="30"/>
      <c r="H68" s="25"/>
    </row>
    <row r="69" spans="1:8" x14ac:dyDescent="0.25">
      <c r="A69" s="314">
        <f t="shared" si="3"/>
        <v>68</v>
      </c>
      <c r="B69" s="4"/>
      <c r="C69" s="9"/>
      <c r="D69" s="15"/>
      <c r="E69" s="7"/>
      <c r="G69" s="30"/>
      <c r="H69" s="25"/>
    </row>
    <row r="70" spans="1:8" x14ac:dyDescent="0.25">
      <c r="A70" s="314">
        <f t="shared" si="3"/>
        <v>69</v>
      </c>
      <c r="B70" s="4"/>
      <c r="C70" s="9"/>
      <c r="D70" s="15"/>
      <c r="E70" s="7"/>
      <c r="G70" s="30"/>
      <c r="H70" s="25"/>
    </row>
    <row r="71" spans="1:8" x14ac:dyDescent="0.25">
      <c r="A71" s="314">
        <f t="shared" si="3"/>
        <v>70</v>
      </c>
      <c r="B71" s="4"/>
      <c r="C71" s="9"/>
      <c r="D71" s="15"/>
      <c r="E71" s="7"/>
      <c r="G71" s="30"/>
      <c r="H71" s="25"/>
    </row>
    <row r="72" spans="1:8" x14ac:dyDescent="0.25">
      <c r="A72" s="314">
        <f t="shared" si="3"/>
        <v>71</v>
      </c>
      <c r="B72" s="4"/>
      <c r="C72" s="8"/>
      <c r="D72" s="15"/>
      <c r="E72" s="7"/>
      <c r="G72" s="30"/>
      <c r="H72" s="29"/>
    </row>
    <row r="73" spans="1:8" x14ac:dyDescent="0.25">
      <c r="A73" s="314">
        <f t="shared" si="3"/>
        <v>72</v>
      </c>
      <c r="B73" s="4"/>
      <c r="C73" s="8"/>
      <c r="D73" s="15"/>
      <c r="E73" s="7"/>
      <c r="G73" s="30"/>
      <c r="H73" s="25"/>
    </row>
    <row r="74" spans="1:8" x14ac:dyDescent="0.25">
      <c r="A74" s="314">
        <f t="shared" si="3"/>
        <v>73</v>
      </c>
      <c r="B74" s="4"/>
      <c r="C74" s="8"/>
      <c r="D74" s="15"/>
      <c r="E74" s="7"/>
      <c r="G74" s="30"/>
      <c r="H74" s="25"/>
    </row>
    <row r="75" spans="1:8" x14ac:dyDescent="0.25">
      <c r="A75" s="314">
        <f t="shared" si="3"/>
        <v>74</v>
      </c>
      <c r="B75" s="4"/>
      <c r="C75" s="9"/>
      <c r="D75" s="15"/>
      <c r="E75" s="7"/>
      <c r="G75" s="30"/>
      <c r="H75" s="25"/>
    </row>
    <row r="76" spans="1:8" x14ac:dyDescent="0.25">
      <c r="A76" s="314">
        <f t="shared" si="3"/>
        <v>75</v>
      </c>
      <c r="B76" s="4"/>
      <c r="C76" s="9"/>
      <c r="D76" s="15"/>
      <c r="E76" s="7"/>
      <c r="G76" s="30"/>
      <c r="H76" s="25"/>
    </row>
    <row r="77" spans="1:8" x14ac:dyDescent="0.25">
      <c r="A77" s="314">
        <f t="shared" si="3"/>
        <v>76</v>
      </c>
      <c r="B77" s="4"/>
      <c r="C77" s="9"/>
      <c r="D77" s="15"/>
      <c r="E77" s="7"/>
      <c r="G77" s="30"/>
      <c r="H77" s="25"/>
    </row>
    <row r="78" spans="1:8" x14ac:dyDescent="0.25">
      <c r="A78" s="314">
        <f t="shared" si="3"/>
        <v>77</v>
      </c>
      <c r="B78" s="4"/>
      <c r="C78" s="8"/>
      <c r="D78" s="15"/>
      <c r="E78" s="7"/>
      <c r="G78" s="30"/>
      <c r="H78" s="25"/>
    </row>
    <row r="79" spans="1:8" x14ac:dyDescent="0.25">
      <c r="A79" s="314">
        <f t="shared" si="3"/>
        <v>78</v>
      </c>
      <c r="B79" s="4"/>
      <c r="C79" s="9"/>
      <c r="D79" s="15"/>
      <c r="E79" s="7"/>
      <c r="G79" s="30"/>
      <c r="H79" s="25"/>
    </row>
    <row r="80" spans="1:8" x14ac:dyDescent="0.25">
      <c r="A80" s="314">
        <f t="shared" si="3"/>
        <v>79</v>
      </c>
      <c r="B80" s="4"/>
      <c r="C80" s="9"/>
      <c r="D80" s="15"/>
      <c r="E80" s="7"/>
      <c r="G80" s="30"/>
      <c r="H80" s="25"/>
    </row>
    <row r="81" spans="1:17" x14ac:dyDescent="0.25">
      <c r="A81" s="314">
        <f t="shared" si="3"/>
        <v>80</v>
      </c>
      <c r="B81" s="4"/>
      <c r="C81" s="8"/>
      <c r="D81" s="15"/>
      <c r="E81" s="7"/>
      <c r="G81" s="30"/>
      <c r="H81" s="25"/>
    </row>
    <row r="82" spans="1:17" x14ac:dyDescent="0.25">
      <c r="A82" s="314">
        <f t="shared" si="3"/>
        <v>81</v>
      </c>
      <c r="B82" s="4"/>
      <c r="C82" s="9"/>
      <c r="D82" s="15"/>
      <c r="E82" s="7"/>
      <c r="G82" s="30"/>
      <c r="H82" s="25"/>
    </row>
    <row r="83" spans="1:17" x14ac:dyDescent="0.25">
      <c r="A83" s="314">
        <f t="shared" si="3"/>
        <v>82</v>
      </c>
      <c r="B83" s="4"/>
      <c r="C83" s="8"/>
      <c r="D83" s="15"/>
      <c r="E83" s="7"/>
      <c r="G83" s="30"/>
      <c r="H83" s="25"/>
    </row>
    <row r="84" spans="1:17" x14ac:dyDescent="0.25">
      <c r="A84" s="314">
        <f t="shared" si="3"/>
        <v>83</v>
      </c>
      <c r="B84" s="4"/>
      <c r="C84" s="8"/>
      <c r="D84" s="15"/>
      <c r="E84" s="7"/>
      <c r="G84" s="30"/>
      <c r="H84" s="25"/>
    </row>
    <row r="85" spans="1:17" x14ac:dyDescent="0.25">
      <c r="A85" s="314">
        <f t="shared" si="3"/>
        <v>84</v>
      </c>
      <c r="B85" s="4"/>
      <c r="C85" s="8"/>
      <c r="D85" s="15"/>
      <c r="E85" s="7"/>
      <c r="G85" s="30"/>
      <c r="H85" s="25"/>
    </row>
    <row r="86" spans="1:17" x14ac:dyDescent="0.25">
      <c r="B86" s="4"/>
      <c r="C86" s="9"/>
      <c r="D86" s="15"/>
      <c r="E86" s="7"/>
      <c r="G86" s="30"/>
      <c r="H86" s="25"/>
    </row>
    <row r="87" spans="1:17" x14ac:dyDescent="0.25">
      <c r="B87" s="4"/>
      <c r="C87" s="9"/>
      <c r="D87" s="15"/>
      <c r="E87" s="7"/>
      <c r="G87" s="30"/>
      <c r="H87" s="25"/>
    </row>
    <row r="88" spans="1:17" x14ac:dyDescent="0.25">
      <c r="B88" s="4"/>
      <c r="C88" s="9"/>
      <c r="D88" s="15"/>
      <c r="E88" s="7"/>
      <c r="H88" s="25"/>
    </row>
    <row r="89" spans="1:17" x14ac:dyDescent="0.25">
      <c r="B89" s="4"/>
      <c r="C89" s="9"/>
      <c r="D89" s="15"/>
      <c r="E89" s="7"/>
      <c r="G89" s="30"/>
      <c r="H89" s="25"/>
    </row>
    <row r="90" spans="1:17" x14ac:dyDescent="0.25">
      <c r="B90" s="4"/>
      <c r="C90" s="9"/>
      <c r="D90" s="15"/>
      <c r="E90" s="7"/>
      <c r="G90" s="30"/>
      <c r="H90" s="25"/>
    </row>
    <row r="91" spans="1:17" x14ac:dyDescent="0.25">
      <c r="B91" s="4"/>
      <c r="C91" s="9"/>
      <c r="D91" s="15"/>
      <c r="E91" s="7"/>
      <c r="G91" s="30"/>
      <c r="H91" s="25"/>
    </row>
    <row r="92" spans="1:17" x14ac:dyDescent="0.25">
      <c r="B92" s="4"/>
      <c r="C92" s="8"/>
      <c r="D92" s="15"/>
      <c r="E92" s="7"/>
      <c r="G92" s="30"/>
      <c r="H92" s="25"/>
    </row>
    <row r="93" spans="1:17" x14ac:dyDescent="0.25">
      <c r="B93" s="4"/>
      <c r="C93" s="9"/>
      <c r="D93" s="15"/>
      <c r="E93" s="7"/>
      <c r="G93" s="30"/>
      <c r="H93" s="25"/>
      <c r="J93" s="38"/>
      <c r="K93" s="38"/>
      <c r="L93" s="37"/>
      <c r="M93" s="36"/>
      <c r="N93" s="36"/>
      <c r="O93" s="35"/>
      <c r="P93" s="34"/>
      <c r="Q93" s="33"/>
    </row>
    <row r="94" spans="1:17" x14ac:dyDescent="0.25">
      <c r="B94" s="4"/>
      <c r="C94" s="9"/>
      <c r="D94" s="10"/>
      <c r="E94" s="7"/>
      <c r="G94" s="30"/>
      <c r="H94" s="25"/>
    </row>
    <row r="95" spans="1:17" x14ac:dyDescent="0.25">
      <c r="B95" s="4"/>
      <c r="C95" s="9"/>
      <c r="D95" s="15"/>
      <c r="E95" s="7"/>
      <c r="G95" s="30"/>
      <c r="H95" s="25"/>
    </row>
    <row r="96" spans="1:17" x14ac:dyDescent="0.25">
      <c r="B96" s="4"/>
      <c r="C96" s="9"/>
      <c r="D96" s="15"/>
      <c r="E96" s="7"/>
      <c r="G96" s="30"/>
      <c r="H96" s="25"/>
    </row>
    <row r="97" spans="2:8" x14ac:dyDescent="0.25">
      <c r="B97" s="4"/>
      <c r="C97" s="9"/>
      <c r="D97" s="15"/>
      <c r="E97" s="7"/>
      <c r="G97" s="30"/>
      <c r="H97" s="25"/>
    </row>
    <row r="98" spans="2:8" x14ac:dyDescent="0.25">
      <c r="B98" s="4"/>
      <c r="C98" s="9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4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4"/>
      <c r="C103" s="9"/>
      <c r="D103" s="15"/>
      <c r="E103" s="7"/>
      <c r="G103" s="30"/>
      <c r="H103" s="25"/>
    </row>
    <row r="104" spans="2:8" x14ac:dyDescent="0.25">
      <c r="B104" s="3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9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9" x14ac:dyDescent="0.25">
      <c r="B113" s="4"/>
      <c r="C113" s="9"/>
      <c r="D113" s="15"/>
      <c r="E113" s="7"/>
      <c r="G113" s="30"/>
      <c r="H113" s="25"/>
    </row>
    <row r="114" spans="2:9" x14ac:dyDescent="0.25">
      <c r="B114" s="4"/>
      <c r="C114" s="9"/>
      <c r="D114" s="15"/>
      <c r="E114" s="7"/>
      <c r="G114" s="30"/>
      <c r="H114" s="25"/>
    </row>
    <row r="115" spans="2:9" x14ac:dyDescent="0.25">
      <c r="B115" s="4"/>
      <c r="C115" s="9"/>
      <c r="D115" s="15"/>
      <c r="E115" s="7"/>
      <c r="G115" s="30"/>
      <c r="H115" s="25"/>
    </row>
    <row r="116" spans="2:9" x14ac:dyDescent="0.25">
      <c r="B116" s="4"/>
      <c r="C116" s="9"/>
      <c r="D116" s="15"/>
      <c r="E116" s="7"/>
      <c r="G116" s="30"/>
      <c r="H116" s="25"/>
    </row>
    <row r="117" spans="2:9" x14ac:dyDescent="0.25">
      <c r="B117" s="4"/>
      <c r="C117" s="9"/>
      <c r="D117" s="15"/>
      <c r="E117" s="7"/>
      <c r="G117" s="30"/>
      <c r="H117" s="25"/>
    </row>
    <row r="118" spans="2:9" x14ac:dyDescent="0.25">
      <c r="B118" s="4"/>
      <c r="C118" s="9"/>
      <c r="D118" s="15"/>
      <c r="E118" s="7"/>
      <c r="G118" s="30"/>
      <c r="H118" s="25"/>
    </row>
    <row r="119" spans="2:9" x14ac:dyDescent="0.25">
      <c r="B119" s="4"/>
      <c r="C119" s="8"/>
      <c r="D119" s="15"/>
      <c r="E119" s="7"/>
      <c r="G119" s="30"/>
      <c r="H119" s="29"/>
    </row>
    <row r="120" spans="2:9" ht="14.25" customHeight="1" x14ac:dyDescent="0.25">
      <c r="B120" s="4"/>
      <c r="C120" s="8"/>
      <c r="D120" s="15"/>
      <c r="E120" s="7"/>
      <c r="G120" s="30"/>
      <c r="H120" s="25"/>
    </row>
    <row r="121" spans="2:9" x14ac:dyDescent="0.25">
      <c r="B121" s="4"/>
      <c r="C121" s="8"/>
      <c r="D121" s="15"/>
      <c r="E121" s="7"/>
      <c r="G121" s="30"/>
      <c r="H121" s="25"/>
    </row>
    <row r="122" spans="2:9" x14ac:dyDescent="0.25">
      <c r="B122" s="4"/>
      <c r="C122" s="9"/>
      <c r="D122" s="15"/>
      <c r="E122" s="7"/>
      <c r="G122" s="30"/>
      <c r="H122" s="25"/>
    </row>
    <row r="123" spans="2:9" x14ac:dyDescent="0.25">
      <c r="B123" s="3"/>
      <c r="C123" s="9"/>
      <c r="D123" s="15"/>
      <c r="E123" s="7"/>
      <c r="G123" s="30"/>
      <c r="H123" s="25"/>
    </row>
    <row r="124" spans="2:9" x14ac:dyDescent="0.25">
      <c r="B124" s="4"/>
      <c r="C124" s="9"/>
      <c r="D124" s="15"/>
      <c r="E124" s="7"/>
      <c r="G124" s="30"/>
      <c r="H124" s="25"/>
    </row>
    <row r="125" spans="2:9" x14ac:dyDescent="0.25">
      <c r="B125" s="4"/>
      <c r="C125" s="9"/>
      <c r="D125" s="15"/>
      <c r="E125" s="7"/>
      <c r="G125" s="30"/>
      <c r="H125" s="25"/>
    </row>
    <row r="126" spans="2:9" x14ac:dyDescent="0.25">
      <c r="B126" s="4"/>
      <c r="C126" s="8"/>
      <c r="D126" s="15"/>
      <c r="E126" s="7"/>
      <c r="G126" s="30"/>
      <c r="H126" s="25"/>
    </row>
    <row r="127" spans="2:9" x14ac:dyDescent="0.25">
      <c r="B127" s="4"/>
      <c r="C127" s="9"/>
      <c r="D127" s="10"/>
      <c r="E127" s="7"/>
      <c r="G127" s="30"/>
      <c r="H127" s="25"/>
      <c r="I127" s="32"/>
    </row>
    <row r="128" spans="2:9" x14ac:dyDescent="0.25">
      <c r="B128" s="4"/>
      <c r="C128" s="9"/>
      <c r="D128" s="15"/>
      <c r="E128" s="7"/>
      <c r="G128" s="30"/>
      <c r="H128" s="25"/>
      <c r="I128" s="31"/>
    </row>
    <row r="129" spans="2:9" x14ac:dyDescent="0.25">
      <c r="B129" s="4"/>
      <c r="C129" s="9"/>
      <c r="D129" s="15"/>
      <c r="E129" s="7"/>
      <c r="G129" s="30"/>
      <c r="H129" s="25"/>
      <c r="I129" s="32"/>
    </row>
    <row r="130" spans="2:9" x14ac:dyDescent="0.25">
      <c r="B130" s="4"/>
      <c r="C130" s="9"/>
      <c r="D130" s="15"/>
      <c r="E130" s="7"/>
      <c r="G130" s="30"/>
      <c r="H130" s="25"/>
      <c r="I130" s="32"/>
    </row>
    <row r="131" spans="2:9" ht="14.25" customHeight="1" x14ac:dyDescent="0.25">
      <c r="B131" s="4"/>
      <c r="C131" s="9"/>
      <c r="D131" s="15"/>
      <c r="E131" s="7"/>
      <c r="G131" s="30"/>
      <c r="H131" s="25"/>
    </row>
    <row r="132" spans="2:9" x14ac:dyDescent="0.25">
      <c r="B132" s="4"/>
      <c r="C132" s="8"/>
      <c r="D132" s="15"/>
      <c r="E132" s="7"/>
      <c r="G132" s="30"/>
      <c r="H132" s="25"/>
    </row>
    <row r="133" spans="2:9" x14ac:dyDescent="0.25">
      <c r="B133" s="4"/>
      <c r="C133" s="9"/>
      <c r="D133" s="15"/>
      <c r="E133" s="7"/>
      <c r="G133" s="30"/>
      <c r="H133" s="25"/>
      <c r="I133" s="31"/>
    </row>
    <row r="134" spans="2:9" x14ac:dyDescent="0.25">
      <c r="B134" s="4"/>
      <c r="C134" s="9"/>
      <c r="D134" s="15"/>
      <c r="E134" s="7"/>
      <c r="G134" s="30"/>
      <c r="H134" s="25"/>
    </row>
    <row r="135" spans="2:9" x14ac:dyDescent="0.25">
      <c r="B135" s="3"/>
      <c r="C135" s="9"/>
      <c r="D135" s="15"/>
      <c r="E135" s="7"/>
      <c r="G135" s="30"/>
      <c r="H135" s="25"/>
    </row>
    <row r="136" spans="2:9" x14ac:dyDescent="0.25">
      <c r="B136" s="4"/>
      <c r="C136" s="8"/>
      <c r="D136" s="15"/>
      <c r="E136" s="7"/>
      <c r="G136" s="30"/>
      <c r="H136" s="25"/>
    </row>
    <row r="137" spans="2:9" x14ac:dyDescent="0.25">
      <c r="B137" s="4"/>
      <c r="C137" s="8"/>
      <c r="D137" s="15"/>
      <c r="E137" s="7"/>
      <c r="G137" s="30"/>
      <c r="H137" s="25"/>
    </row>
    <row r="138" spans="2:9" x14ac:dyDescent="0.25">
      <c r="B138" s="4"/>
      <c r="C138" s="9"/>
      <c r="D138" s="15"/>
      <c r="E138" s="7"/>
      <c r="G138" s="30"/>
      <c r="H138" s="25"/>
    </row>
    <row r="139" spans="2:9" x14ac:dyDescent="0.25">
      <c r="B139" s="4"/>
      <c r="C139" s="9"/>
      <c r="D139" s="15"/>
      <c r="E139" s="7"/>
      <c r="G139" s="30"/>
      <c r="H139" s="25"/>
    </row>
    <row r="140" spans="2:9" x14ac:dyDescent="0.25">
      <c r="B140" s="4"/>
      <c r="C140" s="9"/>
      <c r="D140" s="15"/>
      <c r="E140" s="7"/>
      <c r="G140" s="30"/>
      <c r="H140" s="25"/>
    </row>
    <row r="141" spans="2:9" x14ac:dyDescent="0.25">
      <c r="B141" s="4"/>
      <c r="C141" s="9"/>
      <c r="D141" s="15"/>
      <c r="E141" s="7"/>
      <c r="G141" s="30"/>
      <c r="H141" s="25"/>
    </row>
    <row r="142" spans="2:9" x14ac:dyDescent="0.25">
      <c r="B142" s="3"/>
      <c r="C142" s="9"/>
      <c r="D142" s="15"/>
      <c r="E142" s="7"/>
      <c r="G142" s="30"/>
      <c r="H142" s="25"/>
    </row>
    <row r="143" spans="2:9" x14ac:dyDescent="0.25">
      <c r="B143" s="4"/>
      <c r="C143" s="9"/>
      <c r="D143" s="15"/>
      <c r="E143" s="7"/>
      <c r="G143" s="30"/>
      <c r="H143" s="25"/>
    </row>
    <row r="144" spans="2:9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8"/>
      <c r="D145" s="15"/>
      <c r="E145" s="7"/>
      <c r="G145" s="30"/>
      <c r="H145" s="25"/>
    </row>
    <row r="146" spans="2:8" x14ac:dyDescent="0.25">
      <c r="B146" s="4"/>
      <c r="C146" s="9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9"/>
      <c r="D156" s="10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4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8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8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9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8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9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9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0"/>
      <c r="E193" s="7"/>
      <c r="G193" s="30"/>
      <c r="H193" s="25"/>
    </row>
    <row r="194" spans="2:8" x14ac:dyDescent="0.25">
      <c r="B194" s="3"/>
      <c r="C194" s="9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3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9"/>
      <c r="D203" s="15"/>
      <c r="E203" s="7"/>
      <c r="G203" s="30"/>
      <c r="H203" s="25"/>
    </row>
    <row r="204" spans="2:8" x14ac:dyDescent="0.25">
      <c r="B204" s="4"/>
      <c r="C204" s="9"/>
      <c r="D204" s="15"/>
      <c r="E204" s="7"/>
      <c r="G204" s="30"/>
      <c r="H204" s="25"/>
    </row>
    <row r="205" spans="2:8" x14ac:dyDescent="0.25">
      <c r="B205" s="4"/>
      <c r="C205" s="9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9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9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8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8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9"/>
      <c r="D224" s="15"/>
      <c r="E224" s="7"/>
      <c r="G224" s="30"/>
      <c r="H224" s="25"/>
    </row>
    <row r="225" spans="2:8" x14ac:dyDescent="0.25">
      <c r="B225" s="4"/>
      <c r="C225" s="9"/>
      <c r="D225" s="15"/>
      <c r="E225" s="7"/>
      <c r="G225" s="30"/>
      <c r="H225" s="25"/>
    </row>
    <row r="226" spans="2:8" x14ac:dyDescent="0.25">
      <c r="B226" s="4"/>
      <c r="C226" s="9"/>
      <c r="D226" s="15"/>
      <c r="E226" s="7"/>
      <c r="G226" s="30"/>
      <c r="H226" s="25"/>
    </row>
    <row r="227" spans="2:8" x14ac:dyDescent="0.25">
      <c r="B227" s="4"/>
      <c r="C227" s="9"/>
      <c r="D227" s="15"/>
      <c r="E227" s="7"/>
      <c r="G227" s="30"/>
      <c r="H227" s="25"/>
    </row>
    <row r="228" spans="2:8" x14ac:dyDescent="0.25">
      <c r="B228" s="4"/>
      <c r="C228" s="8"/>
      <c r="D228" s="15"/>
      <c r="E228" s="7"/>
      <c r="G228" s="30"/>
      <c r="H228" s="25"/>
    </row>
    <row r="229" spans="2:8" x14ac:dyDescent="0.25">
      <c r="B229" s="4"/>
      <c r="C229" s="9"/>
      <c r="D229" s="15"/>
      <c r="E229" s="7"/>
      <c r="G229" s="30"/>
      <c r="H229" s="25"/>
    </row>
    <row r="230" spans="2:8" x14ac:dyDescent="0.25">
      <c r="B230" s="4"/>
      <c r="C230" s="8"/>
      <c r="D230" s="15"/>
      <c r="E230" s="7"/>
      <c r="G230" s="30"/>
      <c r="H230" s="25"/>
    </row>
    <row r="231" spans="2:8" x14ac:dyDescent="0.25">
      <c r="B231" s="4"/>
      <c r="C231" s="9"/>
      <c r="D231" s="15"/>
      <c r="E231" s="7"/>
      <c r="G231" s="30"/>
      <c r="H231" s="25"/>
    </row>
    <row r="232" spans="2:8" x14ac:dyDescent="0.25">
      <c r="B232" s="4"/>
      <c r="C232" s="9"/>
      <c r="D232" s="15"/>
      <c r="E232" s="7"/>
      <c r="G232" s="30"/>
      <c r="H232" s="25"/>
    </row>
    <row r="233" spans="2:8" x14ac:dyDescent="0.25">
      <c r="B233" s="4"/>
      <c r="C233" s="9"/>
      <c r="D233" s="15"/>
      <c r="E233" s="7"/>
      <c r="G233" s="30"/>
      <c r="H233" s="25"/>
    </row>
    <row r="234" spans="2:8" x14ac:dyDescent="0.25">
      <c r="B234" s="3"/>
      <c r="C234" s="8"/>
      <c r="D234" s="15"/>
      <c r="E234" s="7"/>
      <c r="G234" s="30"/>
      <c r="H234" s="25"/>
    </row>
    <row r="235" spans="2:8" x14ac:dyDescent="0.25">
      <c r="B235" s="4"/>
      <c r="C235" s="9"/>
      <c r="D235" s="15"/>
      <c r="E235" s="7"/>
      <c r="G235" s="30"/>
      <c r="H235" s="25"/>
    </row>
    <row r="236" spans="2:8" x14ac:dyDescent="0.25">
      <c r="B236" s="4"/>
      <c r="C236" s="9"/>
      <c r="D236" s="15"/>
      <c r="E236" s="7"/>
      <c r="G236" s="30"/>
      <c r="H236" s="25"/>
    </row>
    <row r="237" spans="2:8" x14ac:dyDescent="0.25">
      <c r="B237" s="4"/>
      <c r="C237" s="9"/>
      <c r="D237" s="15"/>
      <c r="E237" s="7"/>
      <c r="G237" s="30"/>
      <c r="H237" s="25"/>
    </row>
    <row r="238" spans="2:8" x14ac:dyDescent="0.25">
      <c r="B238" s="4"/>
      <c r="C238" s="9"/>
      <c r="D238" s="15"/>
      <c r="E238" s="7"/>
      <c r="G238" s="30"/>
      <c r="H238" s="25"/>
    </row>
    <row r="239" spans="2:8" x14ac:dyDescent="0.25">
      <c r="B239" s="4"/>
      <c r="C239" s="8"/>
      <c r="D239" s="15"/>
      <c r="E239" s="7"/>
      <c r="G239" s="30"/>
      <c r="H239" s="25"/>
    </row>
    <row r="240" spans="2:8" x14ac:dyDescent="0.25">
      <c r="B240" s="4"/>
      <c r="C240" s="9"/>
      <c r="D240" s="15"/>
      <c r="E240" s="7"/>
      <c r="G240" s="30"/>
      <c r="H240" s="25"/>
    </row>
    <row r="241" spans="2:8" x14ac:dyDescent="0.25">
      <c r="B241" s="4"/>
      <c r="C241" s="9"/>
      <c r="D241" s="15"/>
      <c r="E241" s="7"/>
      <c r="G241" s="30"/>
      <c r="H241" s="25"/>
    </row>
    <row r="242" spans="2:8" x14ac:dyDescent="0.25">
      <c r="B242" s="4"/>
      <c r="C242" s="8"/>
      <c r="D242" s="15"/>
      <c r="E242" s="7"/>
      <c r="G242" s="30"/>
      <c r="H242" s="25"/>
    </row>
    <row r="243" spans="2:8" x14ac:dyDescent="0.25">
      <c r="B243" s="4"/>
      <c r="C243" s="8"/>
      <c r="D243" s="15"/>
      <c r="E243" s="7"/>
      <c r="G243" s="30"/>
      <c r="H243" s="25"/>
    </row>
    <row r="244" spans="2:8" x14ac:dyDescent="0.25">
      <c r="B244" s="4"/>
      <c r="C244" s="9"/>
      <c r="D244" s="15"/>
      <c r="E244" s="7"/>
      <c r="G244" s="30"/>
      <c r="H244" s="25"/>
    </row>
    <row r="245" spans="2:8" x14ac:dyDescent="0.25">
      <c r="B245" s="4"/>
      <c r="C245" s="8"/>
      <c r="D245" s="15"/>
      <c r="E245" s="7"/>
      <c r="G245" s="30"/>
      <c r="H245" s="25"/>
    </row>
    <row r="246" spans="2:8" x14ac:dyDescent="0.25">
      <c r="B246" s="4"/>
      <c r="C246" s="9"/>
      <c r="D246" s="15"/>
      <c r="E246" s="7"/>
      <c r="G246" s="30"/>
      <c r="H246" s="25"/>
    </row>
    <row r="247" spans="2:8" x14ac:dyDescent="0.25">
      <c r="B247" s="4"/>
      <c r="C247" s="9"/>
      <c r="D247" s="15"/>
      <c r="E247" s="7"/>
      <c r="G247" s="30"/>
      <c r="H247" s="25"/>
    </row>
    <row r="248" spans="2:8" x14ac:dyDescent="0.25">
      <c r="B248" s="4"/>
      <c r="C248" s="9"/>
      <c r="D248" s="15"/>
      <c r="E248" s="7"/>
      <c r="G248" s="30"/>
      <c r="H248" s="25"/>
    </row>
    <row r="249" spans="2:8" x14ac:dyDescent="0.25">
      <c r="B249" s="4"/>
      <c r="C249" s="9"/>
      <c r="D249" s="15"/>
      <c r="E249" s="7"/>
      <c r="G249" s="30"/>
      <c r="H249" s="25"/>
    </row>
    <row r="250" spans="2:8" x14ac:dyDescent="0.25">
      <c r="B250" s="4"/>
      <c r="C250" s="9"/>
      <c r="D250" s="15"/>
      <c r="E250" s="7"/>
      <c r="G250" s="30"/>
      <c r="H250" s="25"/>
    </row>
    <row r="251" spans="2:8" x14ac:dyDescent="0.25">
      <c r="B251" s="4"/>
      <c r="C251" s="8"/>
      <c r="D251" s="15"/>
      <c r="E251" s="7"/>
      <c r="G251" s="30"/>
      <c r="H251" s="25"/>
    </row>
    <row r="252" spans="2:8" x14ac:dyDescent="0.25">
      <c r="B252" s="4"/>
      <c r="C252" s="9"/>
      <c r="D252" s="15"/>
      <c r="E252" s="7"/>
      <c r="G252" s="30"/>
      <c r="H252" s="25"/>
    </row>
    <row r="253" spans="2:8" x14ac:dyDescent="0.25">
      <c r="B253" s="4"/>
      <c r="C253" s="9"/>
      <c r="D253" s="15"/>
      <c r="E253" s="7"/>
      <c r="G253" s="30"/>
      <c r="H253" s="25"/>
    </row>
    <row r="254" spans="2:8" x14ac:dyDescent="0.25">
      <c r="B254" s="4"/>
      <c r="C254" s="9"/>
      <c r="D254" s="15"/>
      <c r="E254" s="7"/>
      <c r="G254" s="30"/>
      <c r="H254" s="25"/>
    </row>
    <row r="255" spans="2:8" x14ac:dyDescent="0.25">
      <c r="B255" s="3"/>
      <c r="C255" s="8"/>
      <c r="D255" s="15"/>
      <c r="E255" s="7"/>
      <c r="G255" s="30"/>
      <c r="H255" s="25"/>
    </row>
    <row r="256" spans="2:8" x14ac:dyDescent="0.25">
      <c r="B256" s="4"/>
      <c r="C256" s="9"/>
      <c r="D256" s="15"/>
      <c r="E256" s="7"/>
      <c r="G256" s="30"/>
      <c r="H256" s="25"/>
    </row>
    <row r="257" spans="2:8" x14ac:dyDescent="0.25">
      <c r="B257" s="4"/>
      <c r="C257" s="9"/>
      <c r="D257" s="15"/>
      <c r="E257" s="7"/>
      <c r="G257" s="30"/>
      <c r="H257" s="25"/>
    </row>
    <row r="258" spans="2:8" x14ac:dyDescent="0.25">
      <c r="B258" s="4"/>
      <c r="C258" s="9"/>
      <c r="D258" s="15"/>
      <c r="E258" s="7"/>
      <c r="G258" s="30"/>
      <c r="H258" s="25"/>
    </row>
    <row r="259" spans="2:8" x14ac:dyDescent="0.25">
      <c r="B259" s="4"/>
      <c r="C259" s="9"/>
      <c r="D259" s="15"/>
      <c r="E259" s="7"/>
      <c r="G259" s="30"/>
      <c r="H259" s="25"/>
    </row>
    <row r="260" spans="2:8" x14ac:dyDescent="0.25">
      <c r="B260" s="4"/>
      <c r="C260" s="9"/>
      <c r="D260" s="15"/>
      <c r="E260" s="7"/>
      <c r="G260" s="30"/>
      <c r="H260" s="25"/>
    </row>
    <row r="261" spans="2:8" x14ac:dyDescent="0.25">
      <c r="B261" s="4"/>
      <c r="C261" s="9"/>
      <c r="D261" s="15"/>
      <c r="E261" s="7"/>
      <c r="G261" s="30"/>
      <c r="H261" s="25"/>
    </row>
    <row r="262" spans="2:8" x14ac:dyDescent="0.25">
      <c r="B262" s="4"/>
      <c r="C262" s="9"/>
      <c r="D262" s="15"/>
      <c r="E262" s="7"/>
      <c r="G262" s="30"/>
      <c r="H262" s="25"/>
    </row>
    <row r="263" spans="2:8" x14ac:dyDescent="0.25">
      <c r="B263" s="4"/>
      <c r="C263" s="8"/>
      <c r="D263" s="15"/>
      <c r="E263" s="7"/>
      <c r="G263" s="30"/>
      <c r="H263" s="25"/>
    </row>
    <row r="264" spans="2:8" x14ac:dyDescent="0.25">
      <c r="B264" s="4"/>
      <c r="C264" s="9"/>
      <c r="D264" s="15"/>
      <c r="E264" s="7"/>
      <c r="G264" s="30"/>
      <c r="H264" s="25"/>
    </row>
    <row r="265" spans="2:8" x14ac:dyDescent="0.25">
      <c r="B265" s="4"/>
      <c r="C265" s="9"/>
      <c r="D265" s="15"/>
      <c r="E265" s="7"/>
      <c r="G265" s="30"/>
      <c r="H265" s="25"/>
    </row>
    <row r="266" spans="2:8" x14ac:dyDescent="0.25">
      <c r="B266" s="4"/>
      <c r="C266" s="9"/>
      <c r="D266" s="15"/>
      <c r="E266" s="7"/>
      <c r="G266" s="30"/>
      <c r="H266" s="25"/>
    </row>
    <row r="267" spans="2:8" x14ac:dyDescent="0.25">
      <c r="B267" s="4"/>
      <c r="C267" s="9"/>
      <c r="D267" s="15"/>
      <c r="E267" s="7"/>
      <c r="G267" s="30"/>
      <c r="H267" s="25"/>
    </row>
    <row r="268" spans="2:8" x14ac:dyDescent="0.25">
      <c r="B268" s="4"/>
      <c r="C268" s="8"/>
      <c r="D268" s="15"/>
      <c r="E268" s="7"/>
      <c r="G268" s="30"/>
      <c r="H268" s="25"/>
    </row>
    <row r="269" spans="2:8" x14ac:dyDescent="0.25">
      <c r="B269" s="4"/>
      <c r="C269" s="9"/>
      <c r="D269" s="15"/>
      <c r="E269" s="7"/>
      <c r="G269" s="30"/>
      <c r="H269" s="25"/>
    </row>
    <row r="270" spans="2:8" x14ac:dyDescent="0.25">
      <c r="B270" s="4"/>
      <c r="C270" s="9"/>
      <c r="D270" s="15"/>
      <c r="E270" s="7"/>
      <c r="G270" s="30"/>
      <c r="H270" s="25"/>
    </row>
    <row r="271" spans="2:8" x14ac:dyDescent="0.25">
      <c r="B271" s="4"/>
      <c r="C271" s="9"/>
      <c r="D271" s="15"/>
      <c r="E271" s="7"/>
      <c r="G271" s="30"/>
      <c r="H271" s="25"/>
    </row>
    <row r="272" spans="2:8" x14ac:dyDescent="0.25">
      <c r="B272" s="4"/>
      <c r="C272" s="9"/>
      <c r="D272" s="15"/>
      <c r="E272" s="7"/>
      <c r="G272" s="30"/>
      <c r="H272" s="25"/>
    </row>
    <row r="273" spans="2:8" x14ac:dyDescent="0.25">
      <c r="B273" s="4"/>
      <c r="C273" s="9"/>
      <c r="D273" s="15"/>
      <c r="E273" s="7"/>
      <c r="G273" s="30"/>
      <c r="H273" s="25"/>
    </row>
    <row r="274" spans="2:8" x14ac:dyDescent="0.25">
      <c r="B274" s="4"/>
      <c r="C274" s="9"/>
      <c r="D274" s="15"/>
      <c r="E274" s="7"/>
      <c r="G274" s="30"/>
      <c r="H274" s="25"/>
    </row>
    <row r="275" spans="2:8" x14ac:dyDescent="0.25">
      <c r="B275" s="4"/>
      <c r="C275" s="8"/>
      <c r="D275" s="15"/>
      <c r="E275" s="7"/>
      <c r="G275" s="30"/>
      <c r="H275" s="25"/>
    </row>
    <row r="276" spans="2:8" x14ac:dyDescent="0.25">
      <c r="B276" s="4"/>
      <c r="C276" s="9"/>
      <c r="D276" s="15"/>
      <c r="E276" s="7"/>
      <c r="G276" s="30"/>
      <c r="H276" s="25"/>
    </row>
    <row r="277" spans="2:8" x14ac:dyDescent="0.25">
      <c r="B277" s="4"/>
      <c r="C277" s="9"/>
      <c r="D277" s="15"/>
      <c r="E277" s="7"/>
      <c r="G277" s="30"/>
      <c r="H277" s="25"/>
    </row>
    <row r="278" spans="2:8" x14ac:dyDescent="0.25">
      <c r="B278" s="4"/>
      <c r="C278" s="9"/>
      <c r="D278" s="15"/>
      <c r="E278" s="7"/>
      <c r="G278" s="30"/>
      <c r="H278" s="25"/>
    </row>
    <row r="279" spans="2:8" ht="13.5" customHeight="1" x14ac:dyDescent="0.25">
      <c r="B279" s="4"/>
      <c r="C279" s="9"/>
      <c r="D279" s="10"/>
      <c r="E279" s="7"/>
      <c r="G279" s="30"/>
      <c r="H279" s="25"/>
    </row>
    <row r="280" spans="2:8" ht="13.5" customHeight="1" x14ac:dyDescent="0.25">
      <c r="B280" s="4"/>
      <c r="C280" s="9"/>
      <c r="D280" s="15"/>
      <c r="E280" s="7"/>
      <c r="G280" s="30"/>
      <c r="H280" s="25"/>
    </row>
    <row r="281" spans="2:8" ht="13.5" customHeight="1" x14ac:dyDescent="0.25">
      <c r="B281" s="4"/>
      <c r="C281" s="9"/>
      <c r="D281" s="15"/>
      <c r="E281" s="7"/>
      <c r="G281" s="30"/>
      <c r="H281" s="25"/>
    </row>
    <row r="282" spans="2:8" ht="13.5" customHeight="1" x14ac:dyDescent="0.25">
      <c r="B282" s="4"/>
      <c r="C282" s="9"/>
      <c r="D282" s="10"/>
      <c r="E282" s="7"/>
      <c r="G282" s="30"/>
      <c r="H282" s="25"/>
    </row>
    <row r="283" spans="2:8" ht="13.5" customHeight="1" x14ac:dyDescent="0.25">
      <c r="B283" s="4"/>
      <c r="C283" s="9"/>
      <c r="D283" s="10"/>
      <c r="E283" s="7"/>
      <c r="G283" s="30"/>
      <c r="H283" s="25"/>
    </row>
    <row r="284" spans="2:8" ht="13.5" customHeight="1" x14ac:dyDescent="0.25">
      <c r="B284" s="4"/>
      <c r="C284" s="8"/>
      <c r="D284" s="15"/>
      <c r="E284" s="7"/>
      <c r="G284" s="30"/>
      <c r="H284" s="25"/>
    </row>
    <row r="285" spans="2:8" ht="13.5" customHeight="1" x14ac:dyDescent="0.25">
      <c r="G285" s="30"/>
      <c r="H285" s="25"/>
    </row>
    <row r="286" spans="2:8" ht="13.5" customHeight="1" x14ac:dyDescent="0.25">
      <c r="G286" s="30"/>
      <c r="H286" s="25"/>
    </row>
    <row r="287" spans="2:8" ht="13.5" customHeight="1" x14ac:dyDescent="0.25">
      <c r="G287" s="30"/>
      <c r="H287" s="25"/>
    </row>
    <row r="288" spans="2:8" ht="13.5" customHeight="1" x14ac:dyDescent="0.25">
      <c r="G288" s="30"/>
      <c r="H288" s="25"/>
    </row>
    <row r="289" spans="2:8" ht="13.5" customHeight="1" x14ac:dyDescent="0.25">
      <c r="B289" s="4"/>
      <c r="C289" s="9"/>
      <c r="D289" s="15"/>
      <c r="E289" s="7"/>
      <c r="G289" s="30"/>
      <c r="H289" s="25"/>
    </row>
    <row r="290" spans="2:8" ht="13.5" customHeight="1" x14ac:dyDescent="0.25">
      <c r="B290" s="4"/>
      <c r="C290" s="9"/>
      <c r="D290" s="10"/>
      <c r="E290" s="7"/>
      <c r="H290" s="25"/>
    </row>
    <row r="291" spans="2:8" ht="13.5" customHeight="1" x14ac:dyDescent="0.25">
      <c r="B291" s="4"/>
      <c r="C291" s="9"/>
      <c r="D291" s="10"/>
      <c r="E291" s="7"/>
      <c r="H291" s="25"/>
    </row>
    <row r="292" spans="2:8" ht="13.5" customHeight="1" x14ac:dyDescent="0.25">
      <c r="B292" s="4"/>
      <c r="C292" s="8"/>
      <c r="D292" s="10"/>
      <c r="E292" s="7"/>
      <c r="H292" s="25"/>
    </row>
    <row r="293" spans="2:8" ht="13.5" customHeight="1" x14ac:dyDescent="0.25">
      <c r="B293" s="4"/>
      <c r="C293" s="8"/>
      <c r="D293" s="15"/>
      <c r="E293" s="7"/>
      <c r="H293" s="25"/>
    </row>
    <row r="294" spans="2:8" ht="13.5" customHeight="1" x14ac:dyDescent="0.25">
      <c r="B294" s="4"/>
      <c r="C294" s="8"/>
      <c r="D294" s="10"/>
      <c r="E294" s="7"/>
      <c r="H294" s="25"/>
    </row>
    <row r="295" spans="2:8" ht="13.5" customHeight="1" x14ac:dyDescent="0.25">
      <c r="B295" s="4"/>
      <c r="C295" s="8"/>
      <c r="D295" s="10"/>
      <c r="E295" s="7"/>
      <c r="H295" s="25"/>
    </row>
    <row r="296" spans="2:8" ht="13.5" customHeight="1" x14ac:dyDescent="0.25">
      <c r="B296" s="4"/>
      <c r="C296" s="9"/>
      <c r="D296" s="10"/>
      <c r="E296" s="7"/>
      <c r="H296" s="25"/>
    </row>
    <row r="297" spans="2:8" ht="13.5" customHeight="1" x14ac:dyDescent="0.25">
      <c r="B297" s="4"/>
      <c r="C297" s="9"/>
      <c r="D297" s="15"/>
      <c r="E297" s="7"/>
      <c r="H297" s="25"/>
    </row>
    <row r="298" spans="2:8" ht="13.5" customHeight="1" x14ac:dyDescent="0.25">
      <c r="B298" s="4"/>
      <c r="C298" s="8"/>
      <c r="D298" s="15"/>
      <c r="E298" s="7"/>
      <c r="H298" s="25"/>
    </row>
    <row r="299" spans="2:8" ht="13.5" customHeight="1" x14ac:dyDescent="0.25">
      <c r="B299" s="4"/>
      <c r="C299" s="8"/>
      <c r="D299" s="10"/>
      <c r="E299" s="7"/>
      <c r="H299" s="25"/>
    </row>
    <row r="300" spans="2:8" ht="13.5" customHeight="1" x14ac:dyDescent="0.25">
      <c r="B300" s="4"/>
      <c r="C300" s="9"/>
      <c r="D300" s="10"/>
      <c r="E300" s="7"/>
      <c r="H300" s="25"/>
    </row>
    <row r="301" spans="2:8" ht="13.5" customHeight="1" x14ac:dyDescent="0.25">
      <c r="B301" s="4"/>
      <c r="C301" s="9"/>
      <c r="D301" s="15"/>
      <c r="E301" s="7"/>
      <c r="H301" s="25"/>
    </row>
    <row r="302" spans="2:8" x14ac:dyDescent="0.25">
      <c r="B302" s="4"/>
      <c r="C302" s="9"/>
      <c r="D302" s="10"/>
      <c r="E302" s="7"/>
      <c r="H302" s="25"/>
    </row>
    <row r="303" spans="2:8" x14ac:dyDescent="0.25">
      <c r="B303" s="4"/>
      <c r="C303" s="9"/>
      <c r="D303" s="15"/>
      <c r="E303" s="7"/>
      <c r="H303" s="25"/>
    </row>
    <row r="304" spans="2:8" x14ac:dyDescent="0.25">
      <c r="B304" s="4"/>
      <c r="C304" s="9"/>
      <c r="D304" s="10"/>
      <c r="E304" s="7"/>
      <c r="H304" s="25"/>
    </row>
    <row r="305" spans="2:8" x14ac:dyDescent="0.25">
      <c r="B305" s="4"/>
      <c r="C305" s="8"/>
      <c r="D305" s="15"/>
      <c r="E305" s="7"/>
      <c r="H305" s="25"/>
    </row>
    <row r="306" spans="2:8" x14ac:dyDescent="0.25">
      <c r="B306" s="4"/>
      <c r="C306" s="9"/>
      <c r="D306" s="15"/>
      <c r="E306" s="7"/>
      <c r="H306" s="25"/>
    </row>
    <row r="307" spans="2:8" x14ac:dyDescent="0.25">
      <c r="B307" s="4"/>
      <c r="C307" s="9"/>
      <c r="D307" s="10"/>
      <c r="E307" s="7"/>
      <c r="H307" s="25"/>
    </row>
    <row r="308" spans="2:8" x14ac:dyDescent="0.25">
      <c r="B308" s="4"/>
      <c r="C308" s="9"/>
      <c r="D308" s="15"/>
      <c r="E308" s="7"/>
      <c r="H308" s="25"/>
    </row>
    <row r="309" spans="2:8" x14ac:dyDescent="0.25">
      <c r="B309" s="4"/>
      <c r="C309" s="9"/>
      <c r="D309" s="15"/>
      <c r="E309" s="7"/>
      <c r="H309" s="25"/>
    </row>
    <row r="310" spans="2:8" x14ac:dyDescent="0.25">
      <c r="B310" s="4"/>
      <c r="C310" s="9"/>
      <c r="D310" s="10"/>
      <c r="E310" s="7"/>
      <c r="H310" s="25"/>
    </row>
    <row r="311" spans="2:8" x14ac:dyDescent="0.25">
      <c r="B311" s="4"/>
      <c r="C311" s="9"/>
      <c r="D311" s="15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9"/>
      <c r="D313" s="10"/>
      <c r="E313" s="7"/>
      <c r="H313" s="25"/>
    </row>
    <row r="314" spans="2:8" x14ac:dyDescent="0.25">
      <c r="B314" s="4"/>
      <c r="C314" s="9"/>
      <c r="D314" s="15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8"/>
      <c r="D316" s="10"/>
      <c r="E316" s="7"/>
      <c r="H316" s="25"/>
    </row>
    <row r="317" spans="2:8" x14ac:dyDescent="0.25">
      <c r="B317" s="4"/>
      <c r="C317" s="8"/>
      <c r="D317" s="10"/>
      <c r="E317" s="7"/>
      <c r="H317" s="25"/>
    </row>
    <row r="318" spans="2:8" x14ac:dyDescent="0.25">
      <c r="B318" s="4"/>
      <c r="C318" s="8"/>
      <c r="D318" s="10"/>
      <c r="E318" s="7"/>
      <c r="H318" s="25"/>
    </row>
    <row r="319" spans="2:8" x14ac:dyDescent="0.25">
      <c r="B319" s="4"/>
      <c r="C319" s="9"/>
      <c r="D319" s="10"/>
      <c r="E319" s="7"/>
      <c r="H319" s="25"/>
    </row>
    <row r="320" spans="2:8" x14ac:dyDescent="0.25">
      <c r="B320" s="4"/>
      <c r="C320" s="9"/>
      <c r="D320" s="15"/>
      <c r="E320" s="7"/>
      <c r="H320" s="25"/>
    </row>
    <row r="321" spans="2:8" x14ac:dyDescent="0.25">
      <c r="B321" s="4"/>
      <c r="C321" s="8"/>
      <c r="D321" s="15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9"/>
      <c r="D323" s="10"/>
      <c r="E323" s="7"/>
      <c r="H323" s="25"/>
    </row>
    <row r="324" spans="2:8" x14ac:dyDescent="0.25">
      <c r="B324" s="4"/>
      <c r="C324" s="9"/>
      <c r="D324" s="10"/>
      <c r="E324" s="7"/>
      <c r="H324" s="25"/>
    </row>
    <row r="325" spans="2:8" x14ac:dyDescent="0.25">
      <c r="B325" s="4"/>
      <c r="C325" s="9"/>
      <c r="D325" s="15"/>
      <c r="E325" s="7"/>
      <c r="H325" s="25"/>
    </row>
    <row r="326" spans="2:8" x14ac:dyDescent="0.25">
      <c r="B326" s="4"/>
      <c r="C326" s="9"/>
      <c r="D326" s="15"/>
      <c r="E326" s="7"/>
      <c r="H326" s="25"/>
    </row>
    <row r="327" spans="2:8" x14ac:dyDescent="0.25">
      <c r="B327" s="4"/>
      <c r="C327" s="8"/>
      <c r="D327" s="15"/>
      <c r="E327" s="7"/>
      <c r="H327" s="25"/>
    </row>
    <row r="328" spans="2:8" x14ac:dyDescent="0.25">
      <c r="B328" s="4"/>
      <c r="C328" s="9"/>
      <c r="D328" s="10"/>
      <c r="E328" s="7"/>
      <c r="H328" s="25"/>
    </row>
    <row r="329" spans="2:8" x14ac:dyDescent="0.25">
      <c r="B329" s="4"/>
      <c r="C329" s="9"/>
      <c r="D329" s="10"/>
      <c r="E329" s="7"/>
      <c r="H329" s="25"/>
    </row>
    <row r="330" spans="2:8" x14ac:dyDescent="0.25">
      <c r="B330" s="4"/>
      <c r="C330" s="9"/>
      <c r="D330" s="10"/>
      <c r="E330" s="7"/>
      <c r="H330" s="25"/>
    </row>
    <row r="331" spans="2:8" x14ac:dyDescent="0.25">
      <c r="B331" s="4"/>
      <c r="C331" s="9"/>
      <c r="D331" s="10"/>
      <c r="E331" s="7"/>
      <c r="H331" s="25"/>
    </row>
    <row r="332" spans="2:8" x14ac:dyDescent="0.25">
      <c r="B332" s="4"/>
      <c r="C332" s="9"/>
      <c r="D332" s="10"/>
      <c r="E332" s="7"/>
      <c r="H332" s="25"/>
    </row>
    <row r="333" spans="2:8" x14ac:dyDescent="0.25">
      <c r="B333" s="4"/>
      <c r="C333" s="9"/>
      <c r="D333" s="10"/>
      <c r="E333" s="7"/>
      <c r="H333" s="25"/>
    </row>
    <row r="334" spans="2:8" x14ac:dyDescent="0.25">
      <c r="B334" s="4"/>
      <c r="C334" s="9"/>
      <c r="D334" s="15"/>
      <c r="E334" s="7"/>
      <c r="H334" s="25"/>
    </row>
    <row r="335" spans="2:8" x14ac:dyDescent="0.25">
      <c r="B335" s="4"/>
      <c r="C335" s="9"/>
      <c r="D335" s="10"/>
      <c r="E335" s="7"/>
      <c r="H335" s="25"/>
    </row>
    <row r="336" spans="2:8" x14ac:dyDescent="0.25">
      <c r="B336" s="4"/>
      <c r="C336" s="9"/>
      <c r="D336" s="10"/>
      <c r="E336" s="7"/>
      <c r="H336" s="25"/>
    </row>
    <row r="337" spans="2:8" x14ac:dyDescent="0.25">
      <c r="B337" s="4"/>
      <c r="C337" s="8"/>
      <c r="D337" s="15"/>
      <c r="E337" s="7"/>
      <c r="H337" s="25"/>
    </row>
    <row r="338" spans="2:8" x14ac:dyDescent="0.25">
      <c r="B338" s="4"/>
      <c r="C338" s="9"/>
      <c r="D338" s="10"/>
      <c r="E338" s="7"/>
      <c r="H338" s="25"/>
    </row>
    <row r="339" spans="2:8" x14ac:dyDescent="0.25">
      <c r="B339" s="4"/>
      <c r="C339" s="9"/>
      <c r="D339" s="10"/>
      <c r="E339" s="7"/>
      <c r="H339" s="25"/>
    </row>
    <row r="340" spans="2:8" x14ac:dyDescent="0.25">
      <c r="B340" s="4"/>
      <c r="C340" s="8"/>
      <c r="D340" s="10"/>
      <c r="E340" s="7"/>
      <c r="H340" s="25"/>
    </row>
    <row r="341" spans="2:8" x14ac:dyDescent="0.25">
      <c r="B341" s="4"/>
      <c r="C341" s="8"/>
      <c r="D341" s="10"/>
      <c r="E341" s="7"/>
      <c r="H341" s="25"/>
    </row>
    <row r="342" spans="2:8" x14ac:dyDescent="0.25">
      <c r="B342" s="4"/>
      <c r="C342" s="9"/>
      <c r="D342" s="10"/>
      <c r="E342" s="7"/>
      <c r="H342" s="25"/>
    </row>
    <row r="343" spans="2:8" x14ac:dyDescent="0.25">
      <c r="B343" s="4"/>
      <c r="C343" s="9"/>
      <c r="D343" s="10"/>
      <c r="E343" s="7"/>
      <c r="H343" s="25"/>
    </row>
    <row r="344" spans="2:8" x14ac:dyDescent="0.25">
      <c r="B344" s="4"/>
      <c r="C344" s="9"/>
      <c r="D344" s="10"/>
      <c r="E344" s="7"/>
      <c r="H344" s="25"/>
    </row>
    <row r="345" spans="2:8" x14ac:dyDescent="0.25">
      <c r="B345" s="4"/>
      <c r="C345" s="9"/>
      <c r="D345" s="10"/>
      <c r="E345" s="7"/>
      <c r="H345" s="25"/>
    </row>
    <row r="346" spans="2:8" x14ac:dyDescent="0.25">
      <c r="B346" s="4"/>
      <c r="C346" s="8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5"/>
      <c r="E348" s="7"/>
      <c r="H348" s="25"/>
    </row>
    <row r="349" spans="2:8" x14ac:dyDescent="0.25">
      <c r="B349" s="4"/>
      <c r="C349" s="8"/>
      <c r="D349" s="15"/>
      <c r="E349" s="7"/>
      <c r="H349" s="25"/>
    </row>
    <row r="350" spans="2:8" x14ac:dyDescent="0.25">
      <c r="B350" s="4"/>
      <c r="C350" s="9"/>
      <c r="D350" s="10"/>
      <c r="E350" s="7"/>
      <c r="H350" s="25"/>
    </row>
    <row r="351" spans="2:8" x14ac:dyDescent="0.25">
      <c r="B351" s="4"/>
      <c r="C351" s="9"/>
      <c r="D351" s="10"/>
      <c r="E351" s="7"/>
      <c r="H351" s="25"/>
    </row>
    <row r="352" spans="2:8" x14ac:dyDescent="0.25">
      <c r="B352" s="4"/>
      <c r="C352" s="8"/>
      <c r="D352" s="10"/>
      <c r="E352" s="7"/>
      <c r="H352" s="25"/>
    </row>
    <row r="353" spans="2:8" x14ac:dyDescent="0.25">
      <c r="B353" s="4"/>
      <c r="C353" s="9"/>
      <c r="D353" s="10"/>
      <c r="E353" s="7"/>
      <c r="H353" s="25"/>
    </row>
    <row r="354" spans="2:8" x14ac:dyDescent="0.25">
      <c r="B354" s="4"/>
      <c r="C354" s="9"/>
      <c r="D354" s="10"/>
      <c r="E354" s="7"/>
      <c r="H354" s="25"/>
    </row>
    <row r="355" spans="2:8" x14ac:dyDescent="0.25">
      <c r="B355" s="4"/>
      <c r="C355" s="8"/>
      <c r="D355" s="15"/>
      <c r="E355" s="7"/>
      <c r="H355" s="25"/>
    </row>
    <row r="356" spans="2:8" x14ac:dyDescent="0.25">
      <c r="B356" s="4"/>
      <c r="C356" s="9"/>
      <c r="D356" s="15"/>
      <c r="E356" s="7"/>
      <c r="H356" s="25"/>
    </row>
    <row r="357" spans="2:8" x14ac:dyDescent="0.25">
      <c r="B357" s="4"/>
      <c r="C357" s="9"/>
      <c r="D357" s="10"/>
      <c r="E357" s="7"/>
      <c r="H357" s="25"/>
    </row>
    <row r="358" spans="2:8" x14ac:dyDescent="0.25">
      <c r="B358" s="4"/>
      <c r="C358" s="9"/>
      <c r="D358" s="15"/>
      <c r="E358" s="7"/>
      <c r="H358" s="25"/>
    </row>
    <row r="359" spans="2:8" x14ac:dyDescent="0.25">
      <c r="B359" s="4"/>
      <c r="C359" s="8"/>
      <c r="D359" s="10"/>
      <c r="E359" s="7"/>
      <c r="H359" s="25"/>
    </row>
    <row r="360" spans="2:8" x14ac:dyDescent="0.25">
      <c r="B360" s="4"/>
      <c r="C360" s="9"/>
      <c r="D360" s="15"/>
      <c r="E360" s="7"/>
      <c r="H360" s="25"/>
    </row>
    <row r="361" spans="2:8" x14ac:dyDescent="0.25">
      <c r="B361" s="4"/>
      <c r="C361" s="9"/>
      <c r="D361" s="10"/>
      <c r="E361" s="7"/>
      <c r="H361" s="25"/>
    </row>
    <row r="362" spans="2:8" x14ac:dyDescent="0.25">
      <c r="B362" s="4"/>
      <c r="C362" s="9"/>
      <c r="D362" s="15"/>
      <c r="E362" s="7"/>
      <c r="H362" s="25"/>
    </row>
    <row r="363" spans="2:8" x14ac:dyDescent="0.25">
      <c r="B363" s="4"/>
      <c r="C363" s="9"/>
      <c r="D363" s="10"/>
      <c r="E363" s="7"/>
      <c r="H363" s="25"/>
    </row>
    <row r="364" spans="2:8" x14ac:dyDescent="0.25">
      <c r="B364" s="4"/>
      <c r="C364" s="9"/>
      <c r="D364" s="10"/>
      <c r="E364" s="7"/>
      <c r="H364" s="25"/>
    </row>
    <row r="365" spans="2:8" x14ac:dyDescent="0.25">
      <c r="B365" s="4"/>
      <c r="C365" s="9"/>
      <c r="D365" s="15"/>
      <c r="E365" s="7"/>
      <c r="H365" s="25"/>
    </row>
    <row r="366" spans="2:8" x14ac:dyDescent="0.25">
      <c r="B366" s="4"/>
      <c r="C366" s="9"/>
      <c r="D366" s="15"/>
      <c r="E366" s="7"/>
      <c r="H366" s="25"/>
    </row>
    <row r="367" spans="2:8" x14ac:dyDescent="0.25">
      <c r="B367" s="4"/>
      <c r="C367" s="9"/>
      <c r="D367" s="15"/>
      <c r="E367" s="7"/>
      <c r="H367" s="25"/>
    </row>
    <row r="368" spans="2:8" x14ac:dyDescent="0.25">
      <c r="B368" s="4"/>
      <c r="C368" s="9"/>
      <c r="D368" s="15"/>
      <c r="E368" s="7"/>
      <c r="H368" s="25"/>
    </row>
    <row r="369" spans="2:8" x14ac:dyDescent="0.25">
      <c r="B369" s="4"/>
      <c r="C369" s="8"/>
      <c r="D369" s="10"/>
      <c r="E369" s="7"/>
      <c r="H369" s="25"/>
    </row>
    <row r="370" spans="2:8" x14ac:dyDescent="0.25">
      <c r="B370" s="4"/>
      <c r="C370" s="9"/>
      <c r="D370" s="15"/>
      <c r="E370" s="7"/>
      <c r="H370" s="25"/>
    </row>
    <row r="371" spans="2:8" x14ac:dyDescent="0.25">
      <c r="B371" s="4"/>
      <c r="C371" s="9"/>
      <c r="D371" s="15"/>
      <c r="E371" s="7"/>
      <c r="H371" s="25"/>
    </row>
    <row r="372" spans="2:8" x14ac:dyDescent="0.25">
      <c r="B372" s="4"/>
      <c r="C372" s="9"/>
      <c r="D372" s="10"/>
      <c r="E372" s="7"/>
      <c r="H372" s="25"/>
    </row>
    <row r="373" spans="2:8" x14ac:dyDescent="0.25">
      <c r="B373" s="4"/>
      <c r="C373" s="9"/>
      <c r="D373" s="15"/>
      <c r="E373" s="7"/>
      <c r="H373" s="25"/>
    </row>
    <row r="374" spans="2:8" x14ac:dyDescent="0.25">
      <c r="B374" s="4"/>
      <c r="C374" s="8"/>
      <c r="D374" s="15"/>
      <c r="E374" s="7"/>
      <c r="H374" s="25"/>
    </row>
    <row r="375" spans="2:8" x14ac:dyDescent="0.25">
      <c r="B375" s="4"/>
      <c r="C375" s="9"/>
      <c r="D375" s="10"/>
      <c r="E375" s="7"/>
      <c r="H375" s="25"/>
    </row>
    <row r="376" spans="2:8" x14ac:dyDescent="0.25">
      <c r="B376" s="4"/>
      <c r="C376" s="9"/>
      <c r="D376" s="10"/>
      <c r="E376" s="7"/>
      <c r="H376" s="25"/>
    </row>
    <row r="377" spans="2:8" x14ac:dyDescent="0.25">
      <c r="B377" s="4"/>
      <c r="C377" s="9"/>
      <c r="D377" s="10"/>
      <c r="E377" s="7"/>
      <c r="H377" s="25"/>
    </row>
    <row r="378" spans="2:8" x14ac:dyDescent="0.25">
      <c r="B378" s="4"/>
      <c r="C378" s="8"/>
      <c r="D378" s="15"/>
      <c r="E378" s="7"/>
      <c r="H378" s="25"/>
    </row>
    <row r="379" spans="2:8" x14ac:dyDescent="0.25">
      <c r="B379" s="4"/>
      <c r="C379" s="9"/>
      <c r="D379" s="10"/>
      <c r="E379" s="7"/>
      <c r="H379" s="25"/>
    </row>
    <row r="380" spans="2:8" x14ac:dyDescent="0.25">
      <c r="B380" s="4"/>
      <c r="C380" s="9"/>
      <c r="D380" s="15"/>
      <c r="E380" s="7"/>
      <c r="H380" s="25"/>
    </row>
    <row r="381" spans="2:8" x14ac:dyDescent="0.25">
      <c r="B381" s="4"/>
      <c r="C381" s="9"/>
      <c r="D381" s="10"/>
      <c r="E381" s="7"/>
      <c r="H381" s="25"/>
    </row>
    <row r="382" spans="2:8" x14ac:dyDescent="0.25">
      <c r="B382" s="4"/>
      <c r="C382" s="9"/>
      <c r="D382" s="10"/>
      <c r="E382" s="7"/>
      <c r="H382" s="25"/>
    </row>
    <row r="383" spans="2:8" x14ac:dyDescent="0.25">
      <c r="B383" s="4"/>
      <c r="C383" s="9"/>
      <c r="D383" s="10"/>
      <c r="E383" s="7"/>
      <c r="H383" s="25"/>
    </row>
    <row r="384" spans="2:8" x14ac:dyDescent="0.25">
      <c r="B384" s="4"/>
      <c r="C384" s="9"/>
      <c r="D384" s="15"/>
      <c r="E384" s="7"/>
      <c r="H384" s="25"/>
    </row>
    <row r="385" spans="2:8" x14ac:dyDescent="0.25">
      <c r="B385" s="4"/>
      <c r="C385" s="9"/>
      <c r="D385" s="10"/>
      <c r="E385" s="7"/>
      <c r="H385" s="25"/>
    </row>
    <row r="386" spans="2:8" x14ac:dyDescent="0.25">
      <c r="B386" s="4"/>
      <c r="C386" s="9"/>
      <c r="D386" s="10"/>
      <c r="E386" s="7"/>
      <c r="H386" s="25"/>
    </row>
    <row r="387" spans="2:8" x14ac:dyDescent="0.25">
      <c r="B387" s="4"/>
      <c r="C387" s="9"/>
      <c r="D387" s="10"/>
      <c r="E387" s="7"/>
      <c r="H387" s="25"/>
    </row>
    <row r="388" spans="2:8" x14ac:dyDescent="0.25">
      <c r="B388" s="4"/>
      <c r="C388" s="8"/>
      <c r="D388" s="10"/>
      <c r="E388" s="7"/>
      <c r="H388" s="25"/>
    </row>
    <row r="389" spans="2:8" x14ac:dyDescent="0.25">
      <c r="B389" s="4"/>
      <c r="C389" s="9"/>
      <c r="D389" s="15"/>
      <c r="E389" s="7"/>
      <c r="H389" s="25"/>
    </row>
    <row r="390" spans="2:8" x14ac:dyDescent="0.25">
      <c r="B390" s="4"/>
      <c r="C390" s="9"/>
      <c r="D390" s="10"/>
      <c r="E390" s="7"/>
      <c r="H390" s="25"/>
    </row>
    <row r="391" spans="2:8" x14ac:dyDescent="0.25">
      <c r="H391" s="25"/>
    </row>
    <row r="392" spans="2:8" x14ac:dyDescent="0.25">
      <c r="H392" s="25"/>
    </row>
    <row r="393" spans="2:8" x14ac:dyDescent="0.25">
      <c r="H393" s="25"/>
    </row>
    <row r="394" spans="2:8" x14ac:dyDescent="0.25">
      <c r="H394" s="29"/>
    </row>
  </sheetData>
  <autoFilter ref="F1:F394"/>
  <sortState ref="B3:H56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8"/>
  <dimension ref="A1:AE337"/>
  <sheetViews>
    <sheetView zoomScaleNormal="100" workbookViewId="0">
      <pane ySplit="1" topLeftCell="A20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28515625" style="23" customWidth="1"/>
    <col min="2" max="2" width="39.7109375" style="20" bestFit="1" customWidth="1"/>
    <col min="3" max="3" width="4.7109375" style="21" customWidth="1"/>
    <col min="4" max="4" width="3.7109375" style="375" customWidth="1"/>
    <col min="5" max="5" width="3.7109375" style="492" customWidth="1"/>
    <col min="6" max="6" width="3" style="375" customWidth="1"/>
    <col min="7" max="7" width="3.7109375" style="492" customWidth="1"/>
    <col min="8" max="8" width="3.140625" style="375" customWidth="1"/>
    <col min="9" max="9" width="3.7109375" style="492" customWidth="1"/>
    <col min="10" max="10" width="3.42578125" style="375" customWidth="1"/>
    <col min="11" max="11" width="3.7109375" style="492" customWidth="1"/>
    <col min="12" max="12" width="3.140625" style="375" customWidth="1"/>
    <col min="13" max="13" width="3.42578125" style="492" customWidth="1"/>
    <col min="14" max="14" width="3.5703125" style="567" customWidth="1"/>
    <col min="15" max="15" width="4.42578125" style="52" customWidth="1"/>
    <col min="16" max="16" width="5.42578125" style="21" customWidth="1"/>
    <col min="17" max="17" width="6.85546875" style="18" customWidth="1"/>
    <col min="18" max="18" width="9" style="150" customWidth="1"/>
    <col min="19" max="19" width="8.140625" style="28" customWidth="1"/>
    <col min="20" max="20" width="3.7109375" style="28" customWidth="1"/>
    <col min="21" max="21" width="4" style="28" customWidth="1"/>
    <col min="22" max="22" width="7.5703125" style="14" bestFit="1" customWidth="1"/>
    <col min="23" max="25" width="4.7109375" style="14" bestFit="1" customWidth="1"/>
    <col min="26" max="26" width="4.7109375" style="28" bestFit="1" customWidth="1"/>
    <col min="27" max="27" width="3.42578125" style="135" customWidth="1"/>
    <col min="28" max="28" width="3.28515625" style="135" customWidth="1"/>
    <col min="29" max="29" width="3.140625" style="132" customWidth="1"/>
    <col min="30" max="30" width="4.7109375" style="135" bestFit="1" customWidth="1"/>
  </cols>
  <sheetData>
    <row r="1" spans="1:30" ht="74.25" customHeight="1" x14ac:dyDescent="0.25">
      <c r="A1" s="116" t="s">
        <v>0</v>
      </c>
      <c r="B1" s="1" t="s">
        <v>1</v>
      </c>
      <c r="C1" s="2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182" t="s">
        <v>4</v>
      </c>
      <c r="P1" s="307" t="s">
        <v>110</v>
      </c>
      <c r="Q1" s="183" t="s">
        <v>5</v>
      </c>
      <c r="R1" s="68" t="s">
        <v>111</v>
      </c>
      <c r="S1" s="555" t="s">
        <v>107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0" s="113" customFormat="1" x14ac:dyDescent="0.25">
      <c r="A2" s="3">
        <v>1</v>
      </c>
      <c r="B2" s="3" t="s">
        <v>225</v>
      </c>
      <c r="C2" s="415">
        <v>3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0">
        <f t="shared" ref="O2:O56" si="0">SUM(C2-D2-E2-F2-G2-H2-I2-J2-K2-L2-M2-N2)</f>
        <v>3</v>
      </c>
      <c r="P2" s="438">
        <f t="shared" ref="P2:P56" si="1">AD2-O2</f>
        <v>5</v>
      </c>
      <c r="Q2" s="7">
        <v>12</v>
      </c>
      <c r="R2" s="63" t="s">
        <v>455</v>
      </c>
      <c r="S2" s="175">
        <v>46143</v>
      </c>
      <c r="T2" s="120">
        <v>2</v>
      </c>
      <c r="U2" s="120">
        <v>2</v>
      </c>
      <c r="V2" s="175">
        <v>45658</v>
      </c>
      <c r="W2" s="122">
        <v>1</v>
      </c>
      <c r="X2" s="122">
        <v>1</v>
      </c>
      <c r="Y2" s="122">
        <v>1</v>
      </c>
      <c r="Z2" s="309">
        <v>1</v>
      </c>
      <c r="AA2" s="184">
        <f t="shared" ref="AA2:AA56" si="2">W2+X2+Y2+Z2</f>
        <v>4</v>
      </c>
      <c r="AB2" s="185">
        <f t="shared" ref="AB2:AB56" si="3">AA2/4</f>
        <v>1</v>
      </c>
      <c r="AC2" s="185">
        <f t="shared" ref="AC2:AC56" si="4">AB2*4</f>
        <v>4</v>
      </c>
      <c r="AD2" s="185">
        <f t="shared" ref="AD2:AD56" si="5">AC2*2</f>
        <v>8</v>
      </c>
    </row>
    <row r="3" spans="1:30" x14ac:dyDescent="0.25">
      <c r="A3" s="3">
        <f t="shared" ref="A3:A45" si="6">A2+1</f>
        <v>2</v>
      </c>
      <c r="B3" s="4" t="s">
        <v>452</v>
      </c>
      <c r="C3" s="415">
        <v>3</v>
      </c>
      <c r="D3" s="374"/>
      <c r="E3" s="498"/>
      <c r="F3" s="359"/>
      <c r="G3" s="478"/>
      <c r="H3" s="359"/>
      <c r="I3" s="478"/>
      <c r="J3" s="359"/>
      <c r="K3" s="478"/>
      <c r="L3" s="359"/>
      <c r="M3" s="478"/>
      <c r="N3" s="561"/>
      <c r="O3" s="340">
        <f t="shared" si="0"/>
        <v>3</v>
      </c>
      <c r="P3" s="438">
        <f t="shared" si="1"/>
        <v>5</v>
      </c>
      <c r="Q3" s="7">
        <v>9</v>
      </c>
      <c r="R3" s="63"/>
      <c r="S3" s="175">
        <v>46327</v>
      </c>
      <c r="T3" s="120"/>
      <c r="U3" s="120">
        <v>2</v>
      </c>
      <c r="V3" s="199">
        <v>45658</v>
      </c>
      <c r="W3" s="107">
        <v>1</v>
      </c>
      <c r="X3" s="107">
        <v>1</v>
      </c>
      <c r="Y3" s="107">
        <v>1</v>
      </c>
      <c r="Z3" s="309">
        <v>1</v>
      </c>
      <c r="AA3" s="184">
        <f t="shared" si="2"/>
        <v>4</v>
      </c>
      <c r="AB3" s="185">
        <f t="shared" si="3"/>
        <v>1</v>
      </c>
      <c r="AC3" s="185">
        <f t="shared" si="4"/>
        <v>4</v>
      </c>
      <c r="AD3" s="185">
        <f t="shared" si="5"/>
        <v>8</v>
      </c>
    </row>
    <row r="4" spans="1:30" x14ac:dyDescent="0.25">
      <c r="A4" s="3">
        <f t="shared" si="6"/>
        <v>3</v>
      </c>
      <c r="B4" s="4" t="s">
        <v>220</v>
      </c>
      <c r="C4" s="415">
        <v>2</v>
      </c>
      <c r="D4" s="359"/>
      <c r="E4" s="478"/>
      <c r="F4" s="359">
        <v>1</v>
      </c>
      <c r="G4" s="478"/>
      <c r="H4" s="359"/>
      <c r="I4" s="478"/>
      <c r="J4" s="359"/>
      <c r="K4" s="478"/>
      <c r="L4" s="359"/>
      <c r="M4" s="478"/>
      <c r="N4" s="561"/>
      <c r="O4" s="340">
        <f t="shared" si="0"/>
        <v>1</v>
      </c>
      <c r="P4" s="438">
        <f t="shared" si="1"/>
        <v>21</v>
      </c>
      <c r="Q4" s="7">
        <v>8</v>
      </c>
      <c r="R4" s="63"/>
      <c r="S4" s="175">
        <v>46419</v>
      </c>
      <c r="T4" s="120">
        <v>0</v>
      </c>
      <c r="U4" s="120">
        <v>6</v>
      </c>
      <c r="V4" s="175">
        <v>45717</v>
      </c>
      <c r="W4" s="122">
        <v>1</v>
      </c>
      <c r="X4" s="122">
        <v>5</v>
      </c>
      <c r="Y4" s="122">
        <v>1</v>
      </c>
      <c r="Z4" s="309">
        <v>4</v>
      </c>
      <c r="AA4" s="184">
        <f t="shared" si="2"/>
        <v>11</v>
      </c>
      <c r="AB4" s="185">
        <f t="shared" si="3"/>
        <v>2.75</v>
      </c>
      <c r="AC4" s="185">
        <f t="shared" si="4"/>
        <v>11</v>
      </c>
      <c r="AD4" s="185">
        <f t="shared" si="5"/>
        <v>22</v>
      </c>
    </row>
    <row r="5" spans="1:30" x14ac:dyDescent="0.25">
      <c r="A5" s="3">
        <f t="shared" si="6"/>
        <v>4</v>
      </c>
      <c r="B5" s="4" t="s">
        <v>239</v>
      </c>
      <c r="C5" s="415">
        <v>2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2</v>
      </c>
      <c r="P5" s="438">
        <f t="shared" si="1"/>
        <v>10</v>
      </c>
      <c r="Q5" s="7">
        <v>10</v>
      </c>
      <c r="R5" s="63"/>
      <c r="S5" s="344">
        <v>46266</v>
      </c>
      <c r="T5" s="120">
        <v>2</v>
      </c>
      <c r="U5" s="120">
        <v>2</v>
      </c>
      <c r="V5" s="175">
        <v>45717</v>
      </c>
      <c r="W5" s="122">
        <v>1</v>
      </c>
      <c r="X5" s="122">
        <v>2</v>
      </c>
      <c r="Y5" s="122">
        <v>2</v>
      </c>
      <c r="Z5" s="309">
        <v>1</v>
      </c>
      <c r="AA5" s="184">
        <f t="shared" si="2"/>
        <v>6</v>
      </c>
      <c r="AB5" s="185">
        <f t="shared" si="3"/>
        <v>1.5</v>
      </c>
      <c r="AC5" s="185">
        <f t="shared" si="4"/>
        <v>6</v>
      </c>
      <c r="AD5" s="185">
        <f t="shared" si="5"/>
        <v>12</v>
      </c>
    </row>
    <row r="6" spans="1:30" s="113" customFormat="1" x14ac:dyDescent="0.25">
      <c r="A6" s="3">
        <f t="shared" si="6"/>
        <v>5</v>
      </c>
      <c r="B6" s="4" t="s">
        <v>484</v>
      </c>
      <c r="C6" s="415">
        <v>6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0">
        <f t="shared" si="0"/>
        <v>6</v>
      </c>
      <c r="P6" s="438">
        <f t="shared" si="1"/>
        <v>6</v>
      </c>
      <c r="Q6" s="7">
        <v>15</v>
      </c>
      <c r="R6" s="63"/>
      <c r="S6" s="175">
        <v>46388</v>
      </c>
      <c r="T6" s="120">
        <v>0</v>
      </c>
      <c r="U6" s="120">
        <v>6</v>
      </c>
      <c r="V6" s="199">
        <v>45689</v>
      </c>
      <c r="W6" s="107">
        <v>1</v>
      </c>
      <c r="X6" s="107">
        <v>2</v>
      </c>
      <c r="Y6" s="107">
        <v>1</v>
      </c>
      <c r="Z6" s="309">
        <v>2</v>
      </c>
      <c r="AA6" s="184">
        <f t="shared" si="2"/>
        <v>6</v>
      </c>
      <c r="AB6" s="185">
        <f t="shared" si="3"/>
        <v>1.5</v>
      </c>
      <c r="AC6" s="185">
        <f t="shared" si="4"/>
        <v>6</v>
      </c>
      <c r="AD6" s="185">
        <f t="shared" si="5"/>
        <v>12</v>
      </c>
    </row>
    <row r="7" spans="1:30" x14ac:dyDescent="0.25">
      <c r="A7" s="3">
        <f t="shared" si="6"/>
        <v>6</v>
      </c>
      <c r="B7" s="4" t="s">
        <v>485</v>
      </c>
      <c r="C7" s="415">
        <v>5</v>
      </c>
      <c r="D7" s="359"/>
      <c r="E7" s="478"/>
      <c r="F7" s="359"/>
      <c r="G7" s="478"/>
      <c r="H7" s="359"/>
      <c r="I7" s="478">
        <v>1</v>
      </c>
      <c r="J7" s="359"/>
      <c r="K7" s="478"/>
      <c r="L7" s="359"/>
      <c r="M7" s="478"/>
      <c r="N7" s="561"/>
      <c r="O7" s="340">
        <f t="shared" si="0"/>
        <v>4</v>
      </c>
      <c r="P7" s="438">
        <f t="shared" si="1"/>
        <v>4</v>
      </c>
      <c r="Q7" s="7">
        <v>10</v>
      </c>
      <c r="R7" s="63"/>
      <c r="S7" s="175">
        <v>46388</v>
      </c>
      <c r="T7" s="120">
        <v>4</v>
      </c>
      <c r="U7" s="120">
        <v>6</v>
      </c>
      <c r="V7" s="175">
        <v>45689</v>
      </c>
      <c r="W7" s="122">
        <v>1</v>
      </c>
      <c r="X7" s="122">
        <v>1</v>
      </c>
      <c r="Y7" s="122">
        <v>1</v>
      </c>
      <c r="Z7" s="309">
        <v>1</v>
      </c>
      <c r="AA7" s="184">
        <f t="shared" si="2"/>
        <v>4</v>
      </c>
      <c r="AB7" s="185">
        <f t="shared" si="3"/>
        <v>1</v>
      </c>
      <c r="AC7" s="185">
        <f t="shared" si="4"/>
        <v>4</v>
      </c>
      <c r="AD7" s="185">
        <f t="shared" si="5"/>
        <v>8</v>
      </c>
    </row>
    <row r="8" spans="1:30" x14ac:dyDescent="0.25">
      <c r="A8" s="3">
        <f t="shared" si="6"/>
        <v>7</v>
      </c>
      <c r="B8" s="4" t="s">
        <v>228</v>
      </c>
      <c r="C8" s="415">
        <v>2</v>
      </c>
      <c r="D8" s="359"/>
      <c r="E8" s="478"/>
      <c r="F8" s="359"/>
      <c r="G8" s="478">
        <v>1</v>
      </c>
      <c r="H8" s="359"/>
      <c r="I8" s="478"/>
      <c r="J8" s="359"/>
      <c r="K8" s="478"/>
      <c r="L8" s="359"/>
      <c r="M8" s="478"/>
      <c r="N8" s="561"/>
      <c r="O8" s="340">
        <f t="shared" si="0"/>
        <v>1</v>
      </c>
      <c r="P8" s="438">
        <f t="shared" si="1"/>
        <v>7</v>
      </c>
      <c r="Q8" s="7">
        <v>12</v>
      </c>
      <c r="R8" s="63" t="s">
        <v>455</v>
      </c>
      <c r="S8" s="175">
        <v>46266</v>
      </c>
      <c r="T8" s="120">
        <v>0</v>
      </c>
      <c r="U8" s="120">
        <v>4</v>
      </c>
      <c r="V8" s="175">
        <v>45627</v>
      </c>
      <c r="W8" s="122">
        <v>1</v>
      </c>
      <c r="X8" s="122">
        <v>1</v>
      </c>
      <c r="Y8" s="122">
        <v>1</v>
      </c>
      <c r="Z8" s="309">
        <v>1</v>
      </c>
      <c r="AA8" s="184">
        <f t="shared" si="2"/>
        <v>4</v>
      </c>
      <c r="AB8" s="185">
        <f t="shared" si="3"/>
        <v>1</v>
      </c>
      <c r="AC8" s="185">
        <f t="shared" si="4"/>
        <v>4</v>
      </c>
      <c r="AD8" s="185">
        <f t="shared" si="5"/>
        <v>8</v>
      </c>
    </row>
    <row r="9" spans="1:30" x14ac:dyDescent="0.25">
      <c r="A9" s="314">
        <f t="shared" si="6"/>
        <v>8</v>
      </c>
      <c r="B9" s="4" t="s">
        <v>1005</v>
      </c>
      <c r="C9" s="415">
        <v>0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0</v>
      </c>
      <c r="P9" s="689">
        <f t="shared" si="1"/>
        <v>0</v>
      </c>
      <c r="Q9" s="7">
        <v>8</v>
      </c>
      <c r="R9" s="63"/>
      <c r="S9" s="344"/>
      <c r="T9" s="120"/>
      <c r="U9" s="120"/>
      <c r="V9" s="199"/>
      <c r="W9" s="107"/>
      <c r="X9" s="107"/>
      <c r="Y9" s="107"/>
      <c r="Z9" s="309"/>
      <c r="AA9" s="184">
        <f t="shared" si="2"/>
        <v>0</v>
      </c>
      <c r="AB9" s="185">
        <f t="shared" si="3"/>
        <v>0</v>
      </c>
      <c r="AC9" s="185">
        <f t="shared" si="4"/>
        <v>0</v>
      </c>
      <c r="AD9" s="185">
        <f t="shared" si="5"/>
        <v>0</v>
      </c>
    </row>
    <row r="10" spans="1:30" x14ac:dyDescent="0.25">
      <c r="A10" s="314">
        <f t="shared" si="6"/>
        <v>9</v>
      </c>
      <c r="B10" s="651" t="s">
        <v>433</v>
      </c>
      <c r="C10" s="658">
        <v>71</v>
      </c>
      <c r="D10" s="359"/>
      <c r="E10" s="478"/>
      <c r="F10" s="359"/>
      <c r="G10" s="478"/>
      <c r="H10" s="359"/>
      <c r="I10" s="478"/>
      <c r="J10" s="359"/>
      <c r="K10" s="478"/>
      <c r="L10" s="359"/>
      <c r="M10" s="478"/>
      <c r="N10" s="561"/>
      <c r="O10" s="340">
        <f t="shared" si="0"/>
        <v>71</v>
      </c>
      <c r="P10" s="340">
        <f t="shared" si="1"/>
        <v>-41</v>
      </c>
      <c r="Q10" s="7">
        <v>1.5</v>
      </c>
      <c r="R10" s="63"/>
      <c r="S10" s="655">
        <v>45901</v>
      </c>
      <c r="T10" s="120"/>
      <c r="U10" s="120"/>
      <c r="V10" s="175">
        <v>45323</v>
      </c>
      <c r="W10" s="122">
        <v>8</v>
      </c>
      <c r="X10" s="122">
        <v>4</v>
      </c>
      <c r="Y10" s="122">
        <v>2</v>
      </c>
      <c r="Z10" s="309">
        <v>1</v>
      </c>
      <c r="AA10" s="184">
        <f t="shared" si="2"/>
        <v>15</v>
      </c>
      <c r="AB10" s="185">
        <f t="shared" si="3"/>
        <v>3.75</v>
      </c>
      <c r="AC10" s="185">
        <f t="shared" si="4"/>
        <v>15</v>
      </c>
      <c r="AD10" s="185">
        <f t="shared" si="5"/>
        <v>30</v>
      </c>
    </row>
    <row r="11" spans="1:30" s="113" customFormat="1" x14ac:dyDescent="0.25">
      <c r="A11" s="314">
        <f t="shared" si="6"/>
        <v>10</v>
      </c>
      <c r="B11" s="651" t="s">
        <v>1168</v>
      </c>
      <c r="C11" s="658">
        <v>19</v>
      </c>
      <c r="D11" s="359"/>
      <c r="E11" s="478"/>
      <c r="F11" s="359"/>
      <c r="G11" s="478"/>
      <c r="H11" s="359"/>
      <c r="I11" s="478"/>
      <c r="J11" s="359"/>
      <c r="K11" s="478"/>
      <c r="L11" s="359"/>
      <c r="M11" s="478"/>
      <c r="N11" s="561"/>
      <c r="O11" s="340">
        <f t="shared" si="0"/>
        <v>19</v>
      </c>
      <c r="P11" s="340">
        <f t="shared" si="1"/>
        <v>-11</v>
      </c>
      <c r="Q11" s="7">
        <v>1.5</v>
      </c>
      <c r="R11" s="63"/>
      <c r="S11" s="659">
        <v>45901</v>
      </c>
      <c r="T11" s="28"/>
      <c r="U11" s="28"/>
      <c r="V11" s="81">
        <v>45323</v>
      </c>
      <c r="W11" s="14">
        <v>4</v>
      </c>
      <c r="X11" s="14"/>
      <c r="Y11" s="14"/>
      <c r="Z11" s="28"/>
      <c r="AA11" s="184">
        <f t="shared" si="2"/>
        <v>4</v>
      </c>
      <c r="AB11" s="185">
        <f t="shared" si="3"/>
        <v>1</v>
      </c>
      <c r="AC11" s="185">
        <f t="shared" si="4"/>
        <v>4</v>
      </c>
      <c r="AD11" s="185">
        <f t="shared" si="5"/>
        <v>8</v>
      </c>
    </row>
    <row r="12" spans="1:30" s="113" customFormat="1" x14ac:dyDescent="0.25">
      <c r="A12" s="314">
        <f t="shared" si="6"/>
        <v>11</v>
      </c>
      <c r="B12" s="4" t="s">
        <v>1171</v>
      </c>
      <c r="C12" s="415">
        <v>20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340">
        <f t="shared" si="0"/>
        <v>20</v>
      </c>
      <c r="P12" s="340">
        <f t="shared" si="1"/>
        <v>-16</v>
      </c>
      <c r="Q12" s="7">
        <v>1.5</v>
      </c>
      <c r="R12" s="63"/>
      <c r="S12" s="28"/>
      <c r="T12" s="28"/>
      <c r="U12" s="28"/>
      <c r="V12" s="81">
        <v>45323</v>
      </c>
      <c r="W12" s="14"/>
      <c r="X12" s="14"/>
      <c r="Y12" s="14"/>
      <c r="Z12" s="28">
        <v>2</v>
      </c>
      <c r="AA12" s="184">
        <f t="shared" si="2"/>
        <v>2</v>
      </c>
      <c r="AB12" s="185">
        <f t="shared" si="3"/>
        <v>0.5</v>
      </c>
      <c r="AC12" s="185">
        <f t="shared" si="4"/>
        <v>2</v>
      </c>
      <c r="AD12" s="185">
        <f t="shared" si="5"/>
        <v>4</v>
      </c>
    </row>
    <row r="13" spans="1:30" x14ac:dyDescent="0.25">
      <c r="A13" s="314">
        <f t="shared" si="6"/>
        <v>12</v>
      </c>
      <c r="B13" s="4" t="s">
        <v>1165</v>
      </c>
      <c r="C13" s="415">
        <v>0</v>
      </c>
      <c r="D13" s="359"/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340">
        <f t="shared" si="0"/>
        <v>0</v>
      </c>
      <c r="P13" s="438">
        <f t="shared" si="1"/>
        <v>2</v>
      </c>
      <c r="Q13" s="7">
        <v>1.5</v>
      </c>
      <c r="R13" s="63"/>
      <c r="V13" s="81">
        <v>45323</v>
      </c>
      <c r="W13" s="14">
        <v>1</v>
      </c>
      <c r="AA13" s="184">
        <f t="shared" si="2"/>
        <v>1</v>
      </c>
      <c r="AB13" s="185">
        <f t="shared" si="3"/>
        <v>0.25</v>
      </c>
      <c r="AC13" s="185">
        <f t="shared" si="4"/>
        <v>1</v>
      </c>
      <c r="AD13" s="185">
        <f t="shared" si="5"/>
        <v>2</v>
      </c>
    </row>
    <row r="14" spans="1:30" s="97" customFormat="1" x14ac:dyDescent="0.25">
      <c r="A14" s="314">
        <f t="shared" si="6"/>
        <v>13</v>
      </c>
      <c r="B14" s="4" t="s">
        <v>1164</v>
      </c>
      <c r="C14" s="415">
        <v>17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0">
        <f t="shared" si="0"/>
        <v>17</v>
      </c>
      <c r="P14" s="340">
        <f t="shared" si="1"/>
        <v>-11</v>
      </c>
      <c r="Q14" s="7">
        <v>1.5</v>
      </c>
      <c r="R14" s="64"/>
      <c r="S14" s="118">
        <v>46023</v>
      </c>
      <c r="T14" s="28"/>
      <c r="U14" s="28"/>
      <c r="V14" s="81">
        <v>45323</v>
      </c>
      <c r="W14" s="14">
        <v>3</v>
      </c>
      <c r="X14" s="14"/>
      <c r="Y14" s="14"/>
      <c r="Z14" s="28"/>
      <c r="AA14" s="184">
        <f t="shared" si="2"/>
        <v>3</v>
      </c>
      <c r="AB14" s="185">
        <f t="shared" si="3"/>
        <v>0.75</v>
      </c>
      <c r="AC14" s="185">
        <f t="shared" si="4"/>
        <v>3</v>
      </c>
      <c r="AD14" s="185">
        <f t="shared" si="5"/>
        <v>6</v>
      </c>
    </row>
    <row r="15" spans="1:30" s="97" customFormat="1" x14ac:dyDescent="0.25">
      <c r="A15" s="314">
        <f t="shared" si="6"/>
        <v>14</v>
      </c>
      <c r="B15" s="651" t="s">
        <v>1166</v>
      </c>
      <c r="C15" s="658">
        <v>13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40">
        <f t="shared" si="0"/>
        <v>13</v>
      </c>
      <c r="P15" s="340">
        <f t="shared" si="1"/>
        <v>-5</v>
      </c>
      <c r="Q15" s="7">
        <v>1.5</v>
      </c>
      <c r="R15" s="63"/>
      <c r="S15" s="659">
        <v>45901</v>
      </c>
      <c r="T15" s="28"/>
      <c r="U15" s="28"/>
      <c r="V15" s="81">
        <v>45323</v>
      </c>
      <c r="W15" s="14">
        <v>4</v>
      </c>
      <c r="X15" s="14"/>
      <c r="Y15" s="14"/>
      <c r="Z15" s="28"/>
      <c r="AA15" s="184">
        <f t="shared" si="2"/>
        <v>4</v>
      </c>
      <c r="AB15" s="185">
        <f t="shared" si="3"/>
        <v>1</v>
      </c>
      <c r="AC15" s="185">
        <f t="shared" si="4"/>
        <v>4</v>
      </c>
      <c r="AD15" s="185">
        <f t="shared" si="5"/>
        <v>8</v>
      </c>
    </row>
    <row r="16" spans="1:30" x14ac:dyDescent="0.25">
      <c r="A16" s="314">
        <f t="shared" si="6"/>
        <v>15</v>
      </c>
      <c r="B16" s="4" t="s">
        <v>1170</v>
      </c>
      <c r="C16" s="415">
        <v>0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0">
        <f t="shared" si="0"/>
        <v>0</v>
      </c>
      <c r="P16" s="438">
        <f t="shared" si="1"/>
        <v>2</v>
      </c>
      <c r="Q16" s="7">
        <v>1.5</v>
      </c>
      <c r="R16" s="63"/>
      <c r="V16" s="81">
        <v>45323</v>
      </c>
      <c r="W16" s="14">
        <v>1</v>
      </c>
      <c r="AA16" s="184">
        <f t="shared" si="2"/>
        <v>1</v>
      </c>
      <c r="AB16" s="185">
        <f t="shared" si="3"/>
        <v>0.25</v>
      </c>
      <c r="AC16" s="185">
        <f t="shared" si="4"/>
        <v>1</v>
      </c>
      <c r="AD16" s="185">
        <f t="shared" si="5"/>
        <v>2</v>
      </c>
    </row>
    <row r="17" spans="1:30" x14ac:dyDescent="0.25">
      <c r="A17" s="314">
        <f t="shared" si="6"/>
        <v>16</v>
      </c>
      <c r="B17" s="4" t="s">
        <v>1169</v>
      </c>
      <c r="C17" s="415">
        <v>1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0">
        <f t="shared" si="0"/>
        <v>1</v>
      </c>
      <c r="P17" s="340">
        <f t="shared" si="1"/>
        <v>-1</v>
      </c>
      <c r="Q17" s="7">
        <v>1.5</v>
      </c>
      <c r="R17" s="63"/>
      <c r="V17" s="81">
        <v>45323</v>
      </c>
      <c r="AA17" s="184">
        <f t="shared" si="2"/>
        <v>0</v>
      </c>
      <c r="AB17" s="185">
        <f t="shared" si="3"/>
        <v>0</v>
      </c>
      <c r="AC17" s="185">
        <f t="shared" si="4"/>
        <v>0</v>
      </c>
      <c r="AD17" s="185">
        <f t="shared" si="5"/>
        <v>0</v>
      </c>
    </row>
    <row r="18" spans="1:30" ht="15" customHeight="1" x14ac:dyDescent="0.25">
      <c r="A18" s="314">
        <f t="shared" si="6"/>
        <v>17</v>
      </c>
      <c r="B18" s="4" t="s">
        <v>1167</v>
      </c>
      <c r="C18" s="415">
        <v>16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16</v>
      </c>
      <c r="P18" s="340">
        <f t="shared" si="1"/>
        <v>-6</v>
      </c>
      <c r="Q18" s="7">
        <v>1.5</v>
      </c>
      <c r="R18" s="63"/>
      <c r="V18" s="81">
        <v>45323</v>
      </c>
      <c r="W18" s="14">
        <v>4</v>
      </c>
      <c r="X18" s="14">
        <v>1</v>
      </c>
      <c r="AA18" s="184">
        <f t="shared" si="2"/>
        <v>5</v>
      </c>
      <c r="AB18" s="185">
        <f t="shared" si="3"/>
        <v>1.25</v>
      </c>
      <c r="AC18" s="185">
        <f t="shared" si="4"/>
        <v>5</v>
      </c>
      <c r="AD18" s="185">
        <f t="shared" si="5"/>
        <v>10</v>
      </c>
    </row>
    <row r="19" spans="1:30" x14ac:dyDescent="0.25">
      <c r="A19" s="314">
        <f t="shared" si="6"/>
        <v>18</v>
      </c>
      <c r="B19" s="4" t="s">
        <v>287</v>
      </c>
      <c r="C19" s="415">
        <v>6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0">
        <f t="shared" si="0"/>
        <v>6</v>
      </c>
      <c r="P19" s="438">
        <f t="shared" si="1"/>
        <v>8</v>
      </c>
      <c r="Q19" s="7">
        <v>3.5</v>
      </c>
      <c r="R19" s="63"/>
      <c r="S19" s="344">
        <v>46235</v>
      </c>
      <c r="T19" s="318"/>
      <c r="U19" s="318">
        <v>6</v>
      </c>
      <c r="V19" s="344">
        <v>45627</v>
      </c>
      <c r="W19" s="309">
        <v>3</v>
      </c>
      <c r="X19" s="309">
        <v>1</v>
      </c>
      <c r="Y19" s="309">
        <v>2</v>
      </c>
      <c r="Z19" s="309">
        <v>1</v>
      </c>
      <c r="AA19" s="184">
        <f t="shared" si="2"/>
        <v>7</v>
      </c>
      <c r="AB19" s="185">
        <f t="shared" si="3"/>
        <v>1.75</v>
      </c>
      <c r="AC19" s="185">
        <f t="shared" si="4"/>
        <v>7</v>
      </c>
      <c r="AD19" s="185">
        <f t="shared" si="5"/>
        <v>14</v>
      </c>
    </row>
    <row r="20" spans="1:30" x14ac:dyDescent="0.25">
      <c r="A20" s="314">
        <f t="shared" si="6"/>
        <v>19</v>
      </c>
      <c r="B20" s="314" t="s">
        <v>273</v>
      </c>
      <c r="C20" s="415">
        <v>5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0">
        <f t="shared" si="0"/>
        <v>5</v>
      </c>
      <c r="P20" s="438">
        <f t="shared" si="1"/>
        <v>5</v>
      </c>
      <c r="Q20" s="7">
        <v>8</v>
      </c>
      <c r="R20" s="63"/>
      <c r="S20" s="344">
        <v>46023</v>
      </c>
      <c r="T20" s="318"/>
      <c r="U20" s="318"/>
      <c r="V20" s="344">
        <v>45352</v>
      </c>
      <c r="W20" s="309">
        <v>1</v>
      </c>
      <c r="X20" s="309">
        <v>2</v>
      </c>
      <c r="Y20" s="309">
        <v>1</v>
      </c>
      <c r="Z20" s="309">
        <v>1</v>
      </c>
      <c r="AA20" s="184">
        <f t="shared" si="2"/>
        <v>5</v>
      </c>
      <c r="AB20" s="185">
        <f t="shared" si="3"/>
        <v>1.25</v>
      </c>
      <c r="AC20" s="185">
        <f t="shared" si="4"/>
        <v>5</v>
      </c>
      <c r="AD20" s="185">
        <f t="shared" si="5"/>
        <v>10</v>
      </c>
    </row>
    <row r="21" spans="1:30" x14ac:dyDescent="0.25">
      <c r="A21" s="314">
        <f t="shared" si="6"/>
        <v>20</v>
      </c>
      <c r="B21" s="651" t="s">
        <v>114</v>
      </c>
      <c r="C21" s="658">
        <v>1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0">
        <f t="shared" si="0"/>
        <v>1</v>
      </c>
      <c r="P21" s="438">
        <f t="shared" si="1"/>
        <v>7</v>
      </c>
      <c r="Q21" s="7">
        <v>4</v>
      </c>
      <c r="R21" s="63"/>
      <c r="S21" s="655">
        <v>45870</v>
      </c>
      <c r="T21" s="318"/>
      <c r="U21" s="318"/>
      <c r="V21" s="344">
        <v>44896</v>
      </c>
      <c r="W21" s="309">
        <v>1</v>
      </c>
      <c r="X21" s="309">
        <v>1</v>
      </c>
      <c r="Y21" s="309">
        <v>1</v>
      </c>
      <c r="Z21" s="309">
        <v>1</v>
      </c>
      <c r="AA21" s="184">
        <f t="shared" si="2"/>
        <v>4</v>
      </c>
      <c r="AB21" s="185">
        <f t="shared" si="3"/>
        <v>1</v>
      </c>
      <c r="AC21" s="185">
        <f t="shared" si="4"/>
        <v>4</v>
      </c>
      <c r="AD21" s="185">
        <f t="shared" si="5"/>
        <v>8</v>
      </c>
    </row>
    <row r="22" spans="1:30" x14ac:dyDescent="0.25">
      <c r="A22" s="314">
        <f t="shared" si="6"/>
        <v>21</v>
      </c>
      <c r="B22" s="4" t="s">
        <v>205</v>
      </c>
      <c r="C22" s="415">
        <v>0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0">
        <f t="shared" si="0"/>
        <v>0</v>
      </c>
      <c r="P22" s="438">
        <f t="shared" si="1"/>
        <v>20</v>
      </c>
      <c r="Q22" s="7">
        <v>16</v>
      </c>
      <c r="R22" s="63"/>
      <c r="S22" s="344">
        <v>46327</v>
      </c>
      <c r="T22" s="318">
        <v>24</v>
      </c>
      <c r="U22" s="318">
        <v>24</v>
      </c>
      <c r="V22" s="344">
        <v>45717</v>
      </c>
      <c r="W22" s="309">
        <v>4</v>
      </c>
      <c r="X22" s="309">
        <v>2</v>
      </c>
      <c r="Y22" s="309">
        <v>1</v>
      </c>
      <c r="Z22" s="309">
        <v>3</v>
      </c>
      <c r="AA22" s="184">
        <f t="shared" si="2"/>
        <v>10</v>
      </c>
      <c r="AB22" s="185">
        <f t="shared" si="3"/>
        <v>2.5</v>
      </c>
      <c r="AC22" s="185">
        <f t="shared" si="4"/>
        <v>10</v>
      </c>
      <c r="AD22" s="185">
        <f t="shared" si="5"/>
        <v>20</v>
      </c>
    </row>
    <row r="23" spans="1:30" x14ac:dyDescent="0.25">
      <c r="A23" s="314">
        <f t="shared" si="6"/>
        <v>22</v>
      </c>
      <c r="B23" s="4" t="s">
        <v>115</v>
      </c>
      <c r="C23" s="415">
        <v>6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0">
        <f t="shared" si="0"/>
        <v>6</v>
      </c>
      <c r="P23" s="438">
        <f t="shared" si="1"/>
        <v>8</v>
      </c>
      <c r="Q23" s="7">
        <v>4</v>
      </c>
      <c r="R23" s="63"/>
      <c r="S23" s="344">
        <v>46266</v>
      </c>
      <c r="T23" s="318">
        <v>4</v>
      </c>
      <c r="U23" s="318">
        <v>4</v>
      </c>
      <c r="V23" s="344">
        <v>45627</v>
      </c>
      <c r="W23" s="309">
        <v>1</v>
      </c>
      <c r="X23" s="309">
        <v>4</v>
      </c>
      <c r="Y23" s="309">
        <v>1</v>
      </c>
      <c r="Z23" s="309">
        <v>1</v>
      </c>
      <c r="AA23" s="184">
        <f t="shared" si="2"/>
        <v>7</v>
      </c>
      <c r="AB23" s="185">
        <f t="shared" si="3"/>
        <v>1.75</v>
      </c>
      <c r="AC23" s="185">
        <f t="shared" si="4"/>
        <v>7</v>
      </c>
      <c r="AD23" s="185">
        <f t="shared" si="5"/>
        <v>14</v>
      </c>
    </row>
    <row r="24" spans="1:30" x14ac:dyDescent="0.25">
      <c r="A24" s="314">
        <f t="shared" si="6"/>
        <v>23</v>
      </c>
      <c r="B24" s="314" t="s">
        <v>1004</v>
      </c>
      <c r="C24" s="415">
        <v>16</v>
      </c>
      <c r="D24" s="359"/>
      <c r="E24" s="478"/>
      <c r="F24" s="359"/>
      <c r="G24" s="478"/>
      <c r="H24" s="359"/>
      <c r="I24" s="478"/>
      <c r="J24" s="359"/>
      <c r="K24" s="478"/>
      <c r="L24" s="359"/>
      <c r="M24" s="478"/>
      <c r="N24" s="561"/>
      <c r="O24" s="340">
        <f t="shared" si="0"/>
        <v>16</v>
      </c>
      <c r="P24" s="438">
        <f t="shared" si="1"/>
        <v>4</v>
      </c>
      <c r="Q24" s="7">
        <v>1.5</v>
      </c>
      <c r="R24" s="63"/>
      <c r="S24" s="118">
        <v>46235</v>
      </c>
      <c r="V24" s="81">
        <v>45536</v>
      </c>
      <c r="W24" s="107"/>
      <c r="X24" s="107">
        <v>7</v>
      </c>
      <c r="Y24" s="107">
        <v>3</v>
      </c>
      <c r="Z24" s="309"/>
      <c r="AA24" s="184">
        <f t="shared" si="2"/>
        <v>10</v>
      </c>
      <c r="AB24" s="185">
        <f t="shared" si="3"/>
        <v>2.5</v>
      </c>
      <c r="AC24" s="185">
        <f t="shared" si="4"/>
        <v>10</v>
      </c>
      <c r="AD24" s="185">
        <f t="shared" si="5"/>
        <v>20</v>
      </c>
    </row>
    <row r="25" spans="1:30" x14ac:dyDescent="0.25">
      <c r="A25" s="314">
        <f t="shared" si="6"/>
        <v>24</v>
      </c>
      <c r="B25" s="4" t="s">
        <v>994</v>
      </c>
      <c r="C25" s="415">
        <v>25</v>
      </c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340">
        <f t="shared" si="0"/>
        <v>25</v>
      </c>
      <c r="P25" s="340">
        <f t="shared" si="1"/>
        <v>-25</v>
      </c>
      <c r="Q25" s="7">
        <v>1.5</v>
      </c>
      <c r="R25" s="63"/>
      <c r="V25" s="81">
        <v>45200</v>
      </c>
      <c r="W25" s="107"/>
      <c r="X25" s="107"/>
      <c r="Y25" s="107"/>
      <c r="Z25" s="309"/>
      <c r="AA25" s="184">
        <f t="shared" si="2"/>
        <v>0</v>
      </c>
      <c r="AB25" s="185">
        <f t="shared" si="3"/>
        <v>0</v>
      </c>
      <c r="AC25" s="185">
        <f t="shared" si="4"/>
        <v>0</v>
      </c>
      <c r="AD25" s="185">
        <f t="shared" si="5"/>
        <v>0</v>
      </c>
    </row>
    <row r="26" spans="1:30" x14ac:dyDescent="0.25">
      <c r="A26" s="314">
        <f t="shared" si="6"/>
        <v>25</v>
      </c>
      <c r="B26" s="4" t="s">
        <v>1000</v>
      </c>
      <c r="C26" s="415">
        <v>22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>
        <v>1</v>
      </c>
      <c r="N26" s="561"/>
      <c r="O26" s="340">
        <f t="shared" si="0"/>
        <v>21</v>
      </c>
      <c r="P26" s="340">
        <f t="shared" si="1"/>
        <v>-17</v>
      </c>
      <c r="Q26" s="7">
        <v>1.5</v>
      </c>
      <c r="R26" s="63"/>
      <c r="S26" s="118">
        <v>46174</v>
      </c>
      <c r="V26" s="81">
        <v>45536</v>
      </c>
      <c r="X26" s="14">
        <v>1</v>
      </c>
      <c r="Y26" s="14">
        <v>1</v>
      </c>
      <c r="AA26" s="184">
        <f t="shared" si="2"/>
        <v>2</v>
      </c>
      <c r="AB26" s="185">
        <f t="shared" si="3"/>
        <v>0.5</v>
      </c>
      <c r="AC26" s="185">
        <f t="shared" si="4"/>
        <v>2</v>
      </c>
      <c r="AD26" s="185">
        <f t="shared" si="5"/>
        <v>4</v>
      </c>
    </row>
    <row r="27" spans="1:30" x14ac:dyDescent="0.25">
      <c r="A27" s="314">
        <f t="shared" si="6"/>
        <v>26</v>
      </c>
      <c r="B27" s="4" t="s">
        <v>996</v>
      </c>
      <c r="C27" s="415">
        <v>1</v>
      </c>
      <c r="D27" s="359"/>
      <c r="E27" s="478"/>
      <c r="F27" s="359"/>
      <c r="G27" s="478"/>
      <c r="H27" s="359"/>
      <c r="I27" s="478"/>
      <c r="J27" s="359"/>
      <c r="K27" s="478"/>
      <c r="L27" s="359"/>
      <c r="M27" s="478"/>
      <c r="N27" s="561"/>
      <c r="O27" s="340">
        <f t="shared" si="0"/>
        <v>1</v>
      </c>
      <c r="P27" s="340">
        <f t="shared" si="1"/>
        <v>-1</v>
      </c>
      <c r="Q27" s="7">
        <v>1.5</v>
      </c>
      <c r="R27" s="63"/>
      <c r="V27" s="81">
        <v>45200</v>
      </c>
      <c r="W27" s="107"/>
      <c r="X27" s="107"/>
      <c r="Y27" s="107"/>
      <c r="Z27" s="309"/>
      <c r="AA27" s="184">
        <f t="shared" si="2"/>
        <v>0</v>
      </c>
      <c r="AB27" s="185">
        <f t="shared" si="3"/>
        <v>0</v>
      </c>
      <c r="AC27" s="185">
        <f t="shared" si="4"/>
        <v>0</v>
      </c>
      <c r="AD27" s="185">
        <f t="shared" si="5"/>
        <v>0</v>
      </c>
    </row>
    <row r="28" spans="1:30" x14ac:dyDescent="0.25">
      <c r="A28" s="314">
        <f t="shared" si="6"/>
        <v>27</v>
      </c>
      <c r="B28" s="4" t="s">
        <v>991</v>
      </c>
      <c r="C28" s="415">
        <v>13</v>
      </c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340">
        <f t="shared" si="0"/>
        <v>13</v>
      </c>
      <c r="P28" s="340">
        <f t="shared" si="1"/>
        <v>-13</v>
      </c>
      <c r="Q28" s="7">
        <v>1.5</v>
      </c>
      <c r="R28" s="63"/>
      <c r="V28" s="81">
        <v>45200</v>
      </c>
      <c r="W28" s="107"/>
      <c r="X28" s="107"/>
      <c r="Y28" s="107"/>
      <c r="Z28" s="309"/>
      <c r="AA28" s="184">
        <f t="shared" si="2"/>
        <v>0</v>
      </c>
      <c r="AB28" s="185">
        <f t="shared" si="3"/>
        <v>0</v>
      </c>
      <c r="AC28" s="185">
        <f t="shared" si="4"/>
        <v>0</v>
      </c>
      <c r="AD28" s="185">
        <f t="shared" si="5"/>
        <v>0</v>
      </c>
    </row>
    <row r="29" spans="1:30" x14ac:dyDescent="0.25">
      <c r="A29" s="314">
        <f t="shared" si="6"/>
        <v>28</v>
      </c>
      <c r="B29" s="4" t="s">
        <v>995</v>
      </c>
      <c r="C29" s="415">
        <v>19</v>
      </c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340">
        <f t="shared" si="0"/>
        <v>19</v>
      </c>
      <c r="P29" s="340">
        <f t="shared" si="1"/>
        <v>-19</v>
      </c>
      <c r="Q29" s="7">
        <v>1.5</v>
      </c>
      <c r="R29" s="63"/>
      <c r="V29" s="81">
        <v>45200</v>
      </c>
      <c r="W29" s="107"/>
      <c r="X29" s="107"/>
      <c r="Y29" s="107"/>
      <c r="Z29" s="309"/>
      <c r="AA29" s="184">
        <f t="shared" si="2"/>
        <v>0</v>
      </c>
      <c r="AB29" s="185">
        <f t="shared" si="3"/>
        <v>0</v>
      </c>
      <c r="AC29" s="185">
        <f t="shared" si="4"/>
        <v>0</v>
      </c>
      <c r="AD29" s="185">
        <f t="shared" si="5"/>
        <v>0</v>
      </c>
    </row>
    <row r="30" spans="1:30" x14ac:dyDescent="0.25">
      <c r="A30" s="314">
        <f t="shared" si="6"/>
        <v>29</v>
      </c>
      <c r="B30" s="4" t="s">
        <v>1204</v>
      </c>
      <c r="C30" s="415">
        <v>2</v>
      </c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340">
        <f t="shared" si="0"/>
        <v>2</v>
      </c>
      <c r="P30" s="340">
        <f t="shared" si="1"/>
        <v>-2</v>
      </c>
      <c r="Q30" s="7">
        <v>1.5</v>
      </c>
      <c r="R30" s="63"/>
      <c r="S30" s="118"/>
      <c r="V30" s="81">
        <v>45200</v>
      </c>
      <c r="W30" s="107"/>
      <c r="X30" s="107"/>
      <c r="Y30" s="107"/>
      <c r="Z30" s="309"/>
      <c r="AA30" s="184">
        <f t="shared" si="2"/>
        <v>0</v>
      </c>
      <c r="AB30" s="185">
        <f t="shared" si="3"/>
        <v>0</v>
      </c>
      <c r="AC30" s="185">
        <f t="shared" si="4"/>
        <v>0</v>
      </c>
      <c r="AD30" s="185">
        <f t="shared" si="5"/>
        <v>0</v>
      </c>
    </row>
    <row r="31" spans="1:30" x14ac:dyDescent="0.25">
      <c r="A31" s="314">
        <f t="shared" si="6"/>
        <v>30</v>
      </c>
      <c r="B31" s="4" t="s">
        <v>989</v>
      </c>
      <c r="C31" s="415">
        <v>15</v>
      </c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340">
        <f t="shared" si="0"/>
        <v>15</v>
      </c>
      <c r="P31" s="340">
        <f t="shared" si="1"/>
        <v>-9</v>
      </c>
      <c r="Q31" s="7">
        <v>1.5</v>
      </c>
      <c r="R31" s="63"/>
      <c r="V31" s="81">
        <v>45200</v>
      </c>
      <c r="W31" s="107"/>
      <c r="X31" s="107"/>
      <c r="Y31" s="107">
        <v>3</v>
      </c>
      <c r="Z31" s="309"/>
      <c r="AA31" s="184">
        <f t="shared" si="2"/>
        <v>3</v>
      </c>
      <c r="AB31" s="185">
        <f t="shared" si="3"/>
        <v>0.75</v>
      </c>
      <c r="AC31" s="185">
        <f t="shared" si="4"/>
        <v>3</v>
      </c>
      <c r="AD31" s="185">
        <f t="shared" si="5"/>
        <v>6</v>
      </c>
    </row>
    <row r="32" spans="1:30" x14ac:dyDescent="0.25">
      <c r="A32" s="314">
        <f t="shared" si="6"/>
        <v>31</v>
      </c>
      <c r="B32" s="4" t="s">
        <v>988</v>
      </c>
      <c r="C32" s="415">
        <v>19</v>
      </c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340">
        <f t="shared" si="0"/>
        <v>19</v>
      </c>
      <c r="P32" s="340">
        <f t="shared" si="1"/>
        <v>-19</v>
      </c>
      <c r="Q32" s="7">
        <v>1.5</v>
      </c>
      <c r="R32" s="63"/>
      <c r="V32" s="81">
        <v>45200</v>
      </c>
      <c r="W32" s="107"/>
      <c r="X32" s="107"/>
      <c r="Y32" s="107"/>
      <c r="Z32" s="309"/>
      <c r="AA32" s="184">
        <f t="shared" si="2"/>
        <v>0</v>
      </c>
      <c r="AB32" s="185">
        <f t="shared" si="3"/>
        <v>0</v>
      </c>
      <c r="AC32" s="185">
        <f t="shared" si="4"/>
        <v>0</v>
      </c>
      <c r="AD32" s="185">
        <f t="shared" si="5"/>
        <v>0</v>
      </c>
    </row>
    <row r="33" spans="1:30" x14ac:dyDescent="0.25">
      <c r="A33" s="314">
        <f t="shared" si="6"/>
        <v>32</v>
      </c>
      <c r="B33" s="4" t="s">
        <v>999</v>
      </c>
      <c r="C33" s="415">
        <v>5</v>
      </c>
      <c r="D33" s="359"/>
      <c r="E33" s="478"/>
      <c r="F33" s="359"/>
      <c r="G33" s="478"/>
      <c r="H33" s="359"/>
      <c r="I33" s="478"/>
      <c r="J33" s="359"/>
      <c r="K33" s="478"/>
      <c r="L33" s="359"/>
      <c r="M33" s="478">
        <v>1</v>
      </c>
      <c r="N33" s="561"/>
      <c r="O33" s="340">
        <f t="shared" si="0"/>
        <v>4</v>
      </c>
      <c r="P33" s="438">
        <f t="shared" si="1"/>
        <v>34</v>
      </c>
      <c r="Q33" s="7">
        <v>1.5</v>
      </c>
      <c r="R33" s="63"/>
      <c r="S33" s="118">
        <v>46204</v>
      </c>
      <c r="V33" s="81">
        <v>45536</v>
      </c>
      <c r="W33" s="14">
        <v>10</v>
      </c>
      <c r="X33" s="14">
        <v>2</v>
      </c>
      <c r="Y33" s="14">
        <v>7</v>
      </c>
      <c r="AA33" s="184">
        <f t="shared" si="2"/>
        <v>19</v>
      </c>
      <c r="AB33" s="185">
        <f t="shared" si="3"/>
        <v>4.75</v>
      </c>
      <c r="AC33" s="185">
        <f t="shared" si="4"/>
        <v>19</v>
      </c>
      <c r="AD33" s="185">
        <f t="shared" si="5"/>
        <v>38</v>
      </c>
    </row>
    <row r="34" spans="1:30" x14ac:dyDescent="0.25">
      <c r="A34" s="314">
        <f t="shared" si="6"/>
        <v>33</v>
      </c>
      <c r="B34" s="4" t="s">
        <v>993</v>
      </c>
      <c r="C34" s="415">
        <v>13</v>
      </c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340">
        <f t="shared" si="0"/>
        <v>13</v>
      </c>
      <c r="P34" s="340">
        <f t="shared" si="1"/>
        <v>-11</v>
      </c>
      <c r="Q34" s="7">
        <v>1.5</v>
      </c>
      <c r="R34" s="63"/>
      <c r="V34" s="81">
        <v>45200</v>
      </c>
      <c r="W34" s="107"/>
      <c r="X34" s="107"/>
      <c r="Y34" s="107">
        <v>1</v>
      </c>
      <c r="Z34" s="309"/>
      <c r="AA34" s="184">
        <f t="shared" si="2"/>
        <v>1</v>
      </c>
      <c r="AB34" s="185">
        <f t="shared" si="3"/>
        <v>0.25</v>
      </c>
      <c r="AC34" s="185">
        <f t="shared" si="4"/>
        <v>1</v>
      </c>
      <c r="AD34" s="185">
        <f t="shared" si="5"/>
        <v>2</v>
      </c>
    </row>
    <row r="35" spans="1:30" ht="12.75" customHeight="1" x14ac:dyDescent="0.25">
      <c r="A35" s="314">
        <f t="shared" si="6"/>
        <v>34</v>
      </c>
      <c r="B35" s="4" t="s">
        <v>992</v>
      </c>
      <c r="C35" s="415">
        <v>4</v>
      </c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340">
        <f t="shared" si="0"/>
        <v>4</v>
      </c>
      <c r="P35" s="340">
        <f t="shared" si="1"/>
        <v>-2</v>
      </c>
      <c r="Q35" s="7">
        <v>1.5</v>
      </c>
      <c r="R35" s="63"/>
      <c r="V35" s="81">
        <v>45200</v>
      </c>
      <c r="W35" s="107"/>
      <c r="X35" s="107">
        <v>1</v>
      </c>
      <c r="Y35" s="107"/>
      <c r="Z35" s="309"/>
      <c r="AA35" s="184">
        <f t="shared" si="2"/>
        <v>1</v>
      </c>
      <c r="AB35" s="185">
        <f t="shared" si="3"/>
        <v>0.25</v>
      </c>
      <c r="AC35" s="185">
        <f t="shared" si="4"/>
        <v>1</v>
      </c>
      <c r="AD35" s="185">
        <f t="shared" si="5"/>
        <v>2</v>
      </c>
    </row>
    <row r="36" spans="1:30" x14ac:dyDescent="0.25">
      <c r="A36" s="314">
        <f t="shared" si="6"/>
        <v>35</v>
      </c>
      <c r="B36" s="4" t="s">
        <v>990</v>
      </c>
      <c r="C36" s="415">
        <v>23</v>
      </c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340">
        <f t="shared" si="0"/>
        <v>23</v>
      </c>
      <c r="P36" s="340">
        <f t="shared" si="1"/>
        <v>-19</v>
      </c>
      <c r="Q36" s="7">
        <v>1.5</v>
      </c>
      <c r="R36" s="63"/>
      <c r="S36" s="118">
        <v>46174</v>
      </c>
      <c r="V36" s="81">
        <v>45536</v>
      </c>
      <c r="W36" s="107">
        <v>1</v>
      </c>
      <c r="X36" s="107"/>
      <c r="Y36" s="107">
        <v>1</v>
      </c>
      <c r="Z36" s="309"/>
      <c r="AA36" s="184">
        <f t="shared" si="2"/>
        <v>2</v>
      </c>
      <c r="AB36" s="185">
        <f t="shared" si="3"/>
        <v>0.5</v>
      </c>
      <c r="AC36" s="185">
        <f t="shared" si="4"/>
        <v>2</v>
      </c>
      <c r="AD36" s="185">
        <f t="shared" si="5"/>
        <v>4</v>
      </c>
    </row>
    <row r="37" spans="1:30" x14ac:dyDescent="0.25">
      <c r="A37" s="314">
        <f t="shared" si="6"/>
        <v>36</v>
      </c>
      <c r="B37" s="4" t="s">
        <v>116</v>
      </c>
      <c r="C37" s="415">
        <v>2</v>
      </c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340">
        <f t="shared" si="0"/>
        <v>2</v>
      </c>
      <c r="P37" s="438">
        <f t="shared" si="1"/>
        <v>6</v>
      </c>
      <c r="Q37" s="7">
        <v>14</v>
      </c>
      <c r="R37" s="63"/>
      <c r="S37" s="344">
        <v>46296</v>
      </c>
      <c r="T37" s="318">
        <v>2</v>
      </c>
      <c r="U37" s="318"/>
      <c r="V37" s="344">
        <v>45566</v>
      </c>
      <c r="W37" s="309">
        <v>1</v>
      </c>
      <c r="X37" s="309">
        <v>1</v>
      </c>
      <c r="Y37" s="309">
        <v>1</v>
      </c>
      <c r="Z37" s="309">
        <v>1</v>
      </c>
      <c r="AA37" s="184">
        <f t="shared" si="2"/>
        <v>4</v>
      </c>
      <c r="AB37" s="185">
        <f t="shared" si="3"/>
        <v>1</v>
      </c>
      <c r="AC37" s="185">
        <f t="shared" si="4"/>
        <v>4</v>
      </c>
      <c r="AD37" s="185">
        <f t="shared" si="5"/>
        <v>8</v>
      </c>
    </row>
    <row r="38" spans="1:30" x14ac:dyDescent="0.25">
      <c r="A38" s="314">
        <f t="shared" si="6"/>
        <v>37</v>
      </c>
      <c r="B38" s="4" t="s">
        <v>840</v>
      </c>
      <c r="C38" s="415">
        <v>1</v>
      </c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340">
        <f t="shared" si="0"/>
        <v>1</v>
      </c>
      <c r="P38" s="438">
        <f t="shared" si="1"/>
        <v>7</v>
      </c>
      <c r="Q38" s="7">
        <v>20</v>
      </c>
      <c r="R38" s="63"/>
      <c r="S38" s="344">
        <v>46235</v>
      </c>
      <c r="T38" s="318">
        <v>3</v>
      </c>
      <c r="U38" s="318"/>
      <c r="V38" s="199">
        <v>45536</v>
      </c>
      <c r="W38" s="107">
        <v>2</v>
      </c>
      <c r="X38" s="107">
        <v>1</v>
      </c>
      <c r="Y38" s="107">
        <v>1</v>
      </c>
      <c r="Z38" s="309"/>
      <c r="AA38" s="184">
        <f t="shared" si="2"/>
        <v>4</v>
      </c>
      <c r="AB38" s="185">
        <f t="shared" si="3"/>
        <v>1</v>
      </c>
      <c r="AC38" s="185">
        <f t="shared" si="4"/>
        <v>4</v>
      </c>
      <c r="AD38" s="185">
        <f t="shared" si="5"/>
        <v>8</v>
      </c>
    </row>
    <row r="39" spans="1:30" x14ac:dyDescent="0.25">
      <c r="A39" s="314">
        <f t="shared" si="6"/>
        <v>38</v>
      </c>
      <c r="B39" s="4" t="s">
        <v>934</v>
      </c>
      <c r="C39" s="415">
        <v>2</v>
      </c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340">
        <f t="shared" si="0"/>
        <v>2</v>
      </c>
      <c r="P39" s="689">
        <f t="shared" si="1"/>
        <v>0</v>
      </c>
      <c r="Q39" s="7">
        <v>25</v>
      </c>
      <c r="R39" s="63"/>
      <c r="S39" s="344">
        <v>46235</v>
      </c>
      <c r="T39" s="318">
        <v>0</v>
      </c>
      <c r="U39" s="318"/>
      <c r="V39" s="199">
        <v>45505</v>
      </c>
      <c r="W39" s="107"/>
      <c r="X39" s="107">
        <v>1</v>
      </c>
      <c r="Y39" s="107"/>
      <c r="Z39" s="309"/>
      <c r="AA39" s="184">
        <f t="shared" si="2"/>
        <v>1</v>
      </c>
      <c r="AB39" s="185">
        <f t="shared" si="3"/>
        <v>0.25</v>
      </c>
      <c r="AC39" s="185">
        <f t="shared" si="4"/>
        <v>1</v>
      </c>
      <c r="AD39" s="185">
        <f t="shared" si="5"/>
        <v>2</v>
      </c>
    </row>
    <row r="40" spans="1:30" x14ac:dyDescent="0.25">
      <c r="A40" s="314">
        <f t="shared" si="6"/>
        <v>39</v>
      </c>
      <c r="B40" s="4" t="s">
        <v>842</v>
      </c>
      <c r="C40" s="415">
        <v>3</v>
      </c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340">
        <f t="shared" si="0"/>
        <v>3</v>
      </c>
      <c r="P40" s="340">
        <f t="shared" si="1"/>
        <v>-3</v>
      </c>
      <c r="Q40" s="7">
        <v>3</v>
      </c>
      <c r="R40" s="63"/>
      <c r="T40" s="28">
        <v>9</v>
      </c>
      <c r="V40" s="81">
        <v>45383</v>
      </c>
      <c r="AA40" s="184">
        <f t="shared" si="2"/>
        <v>0</v>
      </c>
      <c r="AB40" s="185">
        <f t="shared" si="3"/>
        <v>0</v>
      </c>
      <c r="AC40" s="185">
        <f t="shared" si="4"/>
        <v>0</v>
      </c>
      <c r="AD40" s="185">
        <f t="shared" si="5"/>
        <v>0</v>
      </c>
    </row>
    <row r="41" spans="1:30" x14ac:dyDescent="0.25">
      <c r="A41" s="314">
        <f t="shared" si="6"/>
        <v>40</v>
      </c>
      <c r="B41" s="4" t="s">
        <v>783</v>
      </c>
      <c r="C41" s="415">
        <v>2</v>
      </c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340">
        <f t="shared" si="0"/>
        <v>2</v>
      </c>
      <c r="P41" s="340">
        <f t="shared" si="1"/>
        <v>-2</v>
      </c>
      <c r="Q41" s="7">
        <v>40</v>
      </c>
      <c r="R41" s="63"/>
      <c r="S41" s="344">
        <v>45962</v>
      </c>
      <c r="T41" s="318"/>
      <c r="U41" s="318"/>
      <c r="V41" s="199">
        <v>45292</v>
      </c>
      <c r="W41" s="107"/>
      <c r="X41" s="107"/>
      <c r="Y41" s="107"/>
      <c r="Z41" s="309"/>
      <c r="AA41" s="184">
        <f t="shared" si="2"/>
        <v>0</v>
      </c>
      <c r="AB41" s="185">
        <f t="shared" si="3"/>
        <v>0</v>
      </c>
      <c r="AC41" s="185">
        <f t="shared" si="4"/>
        <v>0</v>
      </c>
      <c r="AD41" s="185">
        <f t="shared" si="5"/>
        <v>0</v>
      </c>
    </row>
    <row r="42" spans="1:30" x14ac:dyDescent="0.25">
      <c r="A42" s="314">
        <f t="shared" si="6"/>
        <v>41</v>
      </c>
      <c r="B42" s="4" t="s">
        <v>1445</v>
      </c>
      <c r="C42" s="415">
        <v>0</v>
      </c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340">
        <f t="shared" si="0"/>
        <v>0</v>
      </c>
      <c r="P42" s="438">
        <f t="shared" si="1"/>
        <v>10</v>
      </c>
      <c r="Q42" s="7">
        <v>8</v>
      </c>
      <c r="R42" s="63"/>
      <c r="S42" s="344">
        <v>46296</v>
      </c>
      <c r="T42" s="318">
        <v>0</v>
      </c>
      <c r="U42" s="318"/>
      <c r="V42" s="344">
        <v>45566</v>
      </c>
      <c r="W42" s="309">
        <v>2</v>
      </c>
      <c r="X42" s="309">
        <v>1</v>
      </c>
      <c r="Y42" s="309">
        <v>1</v>
      </c>
      <c r="Z42" s="309">
        <v>1</v>
      </c>
      <c r="AA42" s="184">
        <f t="shared" si="2"/>
        <v>5</v>
      </c>
      <c r="AB42" s="185">
        <f t="shared" si="3"/>
        <v>1.25</v>
      </c>
      <c r="AC42" s="185">
        <f t="shared" si="4"/>
        <v>5</v>
      </c>
      <c r="AD42" s="185">
        <f t="shared" si="5"/>
        <v>10</v>
      </c>
    </row>
    <row r="43" spans="1:30" x14ac:dyDescent="0.25">
      <c r="A43" s="314">
        <f t="shared" si="6"/>
        <v>42</v>
      </c>
      <c r="B43" s="4" t="s">
        <v>1444</v>
      </c>
      <c r="C43" s="415">
        <v>3</v>
      </c>
      <c r="D43" s="359"/>
      <c r="E43" s="478"/>
      <c r="F43" s="359"/>
      <c r="G43" s="478"/>
      <c r="H43" s="359"/>
      <c r="I43" s="478"/>
      <c r="J43" s="359"/>
      <c r="K43" s="478"/>
      <c r="L43" s="359"/>
      <c r="M43" s="478">
        <v>1</v>
      </c>
      <c r="N43" s="561"/>
      <c r="O43" s="340">
        <f t="shared" si="0"/>
        <v>2</v>
      </c>
      <c r="P43" s="438">
        <f t="shared" si="1"/>
        <v>8</v>
      </c>
      <c r="Q43" s="7">
        <v>15</v>
      </c>
      <c r="R43" s="63"/>
      <c r="S43" s="118">
        <v>46296</v>
      </c>
      <c r="T43" s="316">
        <v>4</v>
      </c>
      <c r="U43" s="316">
        <v>6</v>
      </c>
      <c r="V43" s="81">
        <v>45717</v>
      </c>
      <c r="W43" s="14">
        <v>1</v>
      </c>
      <c r="X43" s="14">
        <v>1</v>
      </c>
      <c r="Y43" s="14">
        <v>1</v>
      </c>
      <c r="Z43" s="28">
        <v>2</v>
      </c>
      <c r="AA43" s="184">
        <f t="shared" si="2"/>
        <v>5</v>
      </c>
      <c r="AB43" s="185">
        <f t="shared" si="3"/>
        <v>1.25</v>
      </c>
      <c r="AC43" s="185">
        <f t="shared" si="4"/>
        <v>5</v>
      </c>
      <c r="AD43" s="185">
        <f t="shared" si="5"/>
        <v>10</v>
      </c>
    </row>
    <row r="44" spans="1:30" x14ac:dyDescent="0.25">
      <c r="A44" s="314">
        <f t="shared" si="6"/>
        <v>43</v>
      </c>
      <c r="B44" s="4" t="s">
        <v>1446</v>
      </c>
      <c r="C44" s="415">
        <v>3</v>
      </c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340">
        <f t="shared" si="0"/>
        <v>3</v>
      </c>
      <c r="P44" s="438">
        <f t="shared" si="1"/>
        <v>5</v>
      </c>
      <c r="Q44" s="7">
        <v>14</v>
      </c>
      <c r="R44" s="63"/>
      <c r="S44" s="344">
        <v>46327</v>
      </c>
      <c r="T44" s="318">
        <v>3</v>
      </c>
      <c r="U44" s="318">
        <v>3</v>
      </c>
      <c r="V44" s="344">
        <v>45717</v>
      </c>
      <c r="W44" s="309">
        <v>1</v>
      </c>
      <c r="X44" s="309">
        <v>1</v>
      </c>
      <c r="Y44" s="309">
        <v>1</v>
      </c>
      <c r="Z44" s="309">
        <v>1</v>
      </c>
      <c r="AA44" s="184">
        <f t="shared" si="2"/>
        <v>4</v>
      </c>
      <c r="AB44" s="185">
        <f t="shared" si="3"/>
        <v>1</v>
      </c>
      <c r="AC44" s="185">
        <f t="shared" si="4"/>
        <v>4</v>
      </c>
      <c r="AD44" s="185">
        <f t="shared" si="5"/>
        <v>8</v>
      </c>
    </row>
    <row r="45" spans="1:30" x14ac:dyDescent="0.25">
      <c r="A45" s="314">
        <f t="shared" si="6"/>
        <v>44</v>
      </c>
      <c r="B45" s="4" t="s">
        <v>841</v>
      </c>
      <c r="C45" s="415">
        <v>2</v>
      </c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340">
        <f t="shared" si="0"/>
        <v>2</v>
      </c>
      <c r="P45" s="438">
        <f t="shared" si="1"/>
        <v>6</v>
      </c>
      <c r="Q45" s="7">
        <v>17</v>
      </c>
      <c r="R45" s="63"/>
      <c r="S45" s="344">
        <v>46296</v>
      </c>
      <c r="T45" s="318">
        <v>3</v>
      </c>
      <c r="U45" s="318">
        <v>4</v>
      </c>
      <c r="V45" s="199">
        <v>45627</v>
      </c>
      <c r="W45" s="107">
        <v>1</v>
      </c>
      <c r="X45" s="107">
        <v>1</v>
      </c>
      <c r="Y45" s="107">
        <v>1</v>
      </c>
      <c r="Z45" s="309">
        <v>1</v>
      </c>
      <c r="AA45" s="184">
        <f t="shared" si="2"/>
        <v>4</v>
      </c>
      <c r="AB45" s="185">
        <f t="shared" si="3"/>
        <v>1</v>
      </c>
      <c r="AC45" s="185">
        <f t="shared" si="4"/>
        <v>4</v>
      </c>
      <c r="AD45" s="185">
        <f t="shared" si="5"/>
        <v>8</v>
      </c>
    </row>
    <row r="46" spans="1:30" x14ac:dyDescent="0.25">
      <c r="A46" s="3">
        <f t="shared" ref="A46:A105" si="7">A45+1</f>
        <v>45</v>
      </c>
      <c r="B46" s="4" t="s">
        <v>935</v>
      </c>
      <c r="C46" s="415">
        <v>9</v>
      </c>
      <c r="D46" s="359">
        <v>3</v>
      </c>
      <c r="E46" s="478"/>
      <c r="F46" s="359"/>
      <c r="G46" s="478"/>
      <c r="H46" s="359"/>
      <c r="I46" s="478"/>
      <c r="J46" s="359"/>
      <c r="K46" s="478"/>
      <c r="L46" s="359"/>
      <c r="M46" s="478"/>
      <c r="N46" s="561"/>
      <c r="O46" s="340">
        <f t="shared" si="0"/>
        <v>6</v>
      </c>
      <c r="P46" s="438">
        <f t="shared" si="1"/>
        <v>6</v>
      </c>
      <c r="Q46" s="7">
        <v>4</v>
      </c>
      <c r="R46" s="63"/>
      <c r="S46" s="344">
        <v>46235</v>
      </c>
      <c r="T46" s="318">
        <v>0</v>
      </c>
      <c r="U46" s="318"/>
      <c r="V46" s="199">
        <v>45536</v>
      </c>
      <c r="W46" s="107">
        <v>2</v>
      </c>
      <c r="X46" s="107">
        <v>1</v>
      </c>
      <c r="Y46" s="107">
        <v>1</v>
      </c>
      <c r="Z46" s="309">
        <v>2</v>
      </c>
      <c r="AA46" s="184">
        <f t="shared" si="2"/>
        <v>6</v>
      </c>
      <c r="AB46" s="185">
        <f t="shared" si="3"/>
        <v>1.5</v>
      </c>
      <c r="AC46" s="185">
        <f t="shared" si="4"/>
        <v>6</v>
      </c>
      <c r="AD46" s="185">
        <f t="shared" si="5"/>
        <v>12</v>
      </c>
    </row>
    <row r="47" spans="1:30" x14ac:dyDescent="0.25">
      <c r="A47" s="3">
        <f t="shared" si="7"/>
        <v>46</v>
      </c>
      <c r="B47" s="314" t="s">
        <v>964</v>
      </c>
      <c r="C47" s="413">
        <v>4</v>
      </c>
      <c r="D47" s="363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340">
        <f t="shared" si="0"/>
        <v>4</v>
      </c>
      <c r="P47" s="438">
        <f t="shared" si="1"/>
        <v>8</v>
      </c>
      <c r="Q47" s="7">
        <v>10</v>
      </c>
      <c r="R47" s="64"/>
      <c r="S47" s="83">
        <v>46296</v>
      </c>
      <c r="T47" s="315">
        <v>2</v>
      </c>
      <c r="U47" s="318">
        <v>6</v>
      </c>
      <c r="V47" s="83">
        <v>45717</v>
      </c>
      <c r="W47" s="315">
        <v>3</v>
      </c>
      <c r="X47" s="315">
        <v>1</v>
      </c>
      <c r="Y47" s="315">
        <v>1</v>
      </c>
      <c r="Z47" s="315">
        <v>1</v>
      </c>
      <c r="AA47" s="184">
        <f t="shared" si="2"/>
        <v>6</v>
      </c>
      <c r="AB47" s="185">
        <f t="shared" si="3"/>
        <v>1.5</v>
      </c>
      <c r="AC47" s="185">
        <f t="shared" si="4"/>
        <v>6</v>
      </c>
      <c r="AD47" s="185">
        <f t="shared" si="5"/>
        <v>12</v>
      </c>
    </row>
    <row r="48" spans="1:30" x14ac:dyDescent="0.25">
      <c r="A48" s="3">
        <f t="shared" si="7"/>
        <v>47</v>
      </c>
      <c r="B48" s="4" t="s">
        <v>216</v>
      </c>
      <c r="C48" s="415">
        <v>2</v>
      </c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340">
        <f t="shared" si="0"/>
        <v>2</v>
      </c>
      <c r="P48" s="438">
        <f t="shared" si="1"/>
        <v>6</v>
      </c>
      <c r="Q48" s="7">
        <v>9</v>
      </c>
      <c r="R48" s="63"/>
      <c r="S48" s="344">
        <v>45962</v>
      </c>
      <c r="T48" s="318"/>
      <c r="U48" s="318"/>
      <c r="V48" s="344">
        <v>45323</v>
      </c>
      <c r="W48" s="309">
        <v>1</v>
      </c>
      <c r="X48" s="309">
        <v>1</v>
      </c>
      <c r="Y48" s="309">
        <v>1</v>
      </c>
      <c r="Z48" s="309">
        <v>1</v>
      </c>
      <c r="AA48" s="184">
        <f t="shared" si="2"/>
        <v>4</v>
      </c>
      <c r="AB48" s="185">
        <f t="shared" si="3"/>
        <v>1</v>
      </c>
      <c r="AC48" s="185">
        <f t="shared" si="4"/>
        <v>4</v>
      </c>
      <c r="AD48" s="185">
        <f t="shared" si="5"/>
        <v>8</v>
      </c>
    </row>
    <row r="49" spans="1:31" x14ac:dyDescent="0.25">
      <c r="A49" s="3">
        <f t="shared" si="7"/>
        <v>48</v>
      </c>
      <c r="B49" s="4" t="s">
        <v>1357</v>
      </c>
      <c r="C49" s="415">
        <v>2</v>
      </c>
      <c r="D49" s="359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340">
        <f t="shared" si="0"/>
        <v>2</v>
      </c>
      <c r="P49" s="438">
        <f t="shared" si="1"/>
        <v>2</v>
      </c>
      <c r="Q49" s="7">
        <v>10</v>
      </c>
      <c r="R49" s="63"/>
      <c r="S49" s="344">
        <v>46357</v>
      </c>
      <c r="T49" s="318"/>
      <c r="U49" s="318">
        <v>3</v>
      </c>
      <c r="V49" s="199">
        <v>45658</v>
      </c>
      <c r="W49" s="107"/>
      <c r="X49" s="107">
        <v>1</v>
      </c>
      <c r="Y49" s="107">
        <v>1</v>
      </c>
      <c r="Z49" s="309"/>
      <c r="AA49" s="184">
        <f t="shared" si="2"/>
        <v>2</v>
      </c>
      <c r="AB49" s="185">
        <f t="shared" si="3"/>
        <v>0.5</v>
      </c>
      <c r="AC49" s="185">
        <f t="shared" si="4"/>
        <v>2</v>
      </c>
      <c r="AD49" s="185">
        <f t="shared" si="5"/>
        <v>4</v>
      </c>
    </row>
    <row r="50" spans="1:31" x14ac:dyDescent="0.25">
      <c r="A50" s="3">
        <f t="shared" si="7"/>
        <v>49</v>
      </c>
      <c r="B50" s="4" t="s">
        <v>238</v>
      </c>
      <c r="C50" s="415">
        <v>2</v>
      </c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340">
        <f t="shared" si="0"/>
        <v>2</v>
      </c>
      <c r="P50" s="438">
        <f t="shared" si="1"/>
        <v>8</v>
      </c>
      <c r="Q50" s="7">
        <v>24</v>
      </c>
      <c r="R50" s="63"/>
      <c r="S50" s="344">
        <v>46113</v>
      </c>
      <c r="T50" s="318">
        <v>3</v>
      </c>
      <c r="U50" s="318"/>
      <c r="V50" s="344">
        <v>45505</v>
      </c>
      <c r="W50" s="309">
        <v>1</v>
      </c>
      <c r="X50" s="309">
        <v>1</v>
      </c>
      <c r="Y50" s="309">
        <v>1</v>
      </c>
      <c r="Z50" s="309">
        <v>2</v>
      </c>
      <c r="AA50" s="184">
        <f t="shared" si="2"/>
        <v>5</v>
      </c>
      <c r="AB50" s="185">
        <f t="shared" si="3"/>
        <v>1.25</v>
      </c>
      <c r="AC50" s="185">
        <f t="shared" si="4"/>
        <v>5</v>
      </c>
      <c r="AD50" s="185">
        <f t="shared" si="5"/>
        <v>10</v>
      </c>
    </row>
    <row r="51" spans="1:31" x14ac:dyDescent="0.25">
      <c r="A51" s="3">
        <f t="shared" si="7"/>
        <v>50</v>
      </c>
      <c r="B51" s="4" t="s">
        <v>1006</v>
      </c>
      <c r="C51" s="415">
        <v>5</v>
      </c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340">
        <f t="shared" si="0"/>
        <v>5</v>
      </c>
      <c r="P51" s="438">
        <f t="shared" si="1"/>
        <v>5</v>
      </c>
      <c r="Q51" s="7">
        <v>10</v>
      </c>
      <c r="R51" s="63"/>
      <c r="S51" s="344">
        <v>46296</v>
      </c>
      <c r="T51" s="318">
        <v>2</v>
      </c>
      <c r="U51" s="318"/>
      <c r="V51" s="199">
        <v>45689</v>
      </c>
      <c r="W51" s="107">
        <v>1</v>
      </c>
      <c r="X51" s="107">
        <v>1</v>
      </c>
      <c r="Y51" s="107">
        <v>1</v>
      </c>
      <c r="Z51" s="309">
        <v>2</v>
      </c>
      <c r="AA51" s="184">
        <f t="shared" si="2"/>
        <v>5</v>
      </c>
      <c r="AB51" s="185">
        <f t="shared" si="3"/>
        <v>1.25</v>
      </c>
      <c r="AC51" s="185">
        <f t="shared" si="4"/>
        <v>5</v>
      </c>
      <c r="AD51" s="185">
        <f t="shared" si="5"/>
        <v>10</v>
      </c>
    </row>
    <row r="52" spans="1:31" x14ac:dyDescent="0.25">
      <c r="A52" s="3">
        <f t="shared" si="7"/>
        <v>51</v>
      </c>
      <c r="B52" s="4" t="s">
        <v>1195</v>
      </c>
      <c r="C52" s="415">
        <v>2</v>
      </c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340">
        <f t="shared" si="0"/>
        <v>2</v>
      </c>
      <c r="P52" s="689">
        <f t="shared" si="1"/>
        <v>0</v>
      </c>
      <c r="Q52" s="7">
        <v>18</v>
      </c>
      <c r="R52" s="63"/>
      <c r="S52" s="118">
        <v>46143</v>
      </c>
      <c r="T52" s="28">
        <v>2</v>
      </c>
      <c r="V52" s="81">
        <v>45597</v>
      </c>
      <c r="W52" s="14">
        <v>1</v>
      </c>
      <c r="AA52" s="184">
        <f t="shared" si="2"/>
        <v>1</v>
      </c>
      <c r="AB52" s="185">
        <f t="shared" si="3"/>
        <v>0.25</v>
      </c>
      <c r="AC52" s="185">
        <f t="shared" si="4"/>
        <v>1</v>
      </c>
      <c r="AD52" s="185">
        <f t="shared" si="5"/>
        <v>2</v>
      </c>
    </row>
    <row r="53" spans="1:31" x14ac:dyDescent="0.25">
      <c r="A53" s="3">
        <f t="shared" si="7"/>
        <v>52</v>
      </c>
      <c r="B53" s="4" t="s">
        <v>1194</v>
      </c>
      <c r="C53" s="415">
        <v>2</v>
      </c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340">
        <f t="shared" si="0"/>
        <v>2</v>
      </c>
      <c r="P53" s="438">
        <f t="shared" si="1"/>
        <v>6</v>
      </c>
      <c r="Q53" s="7">
        <v>14</v>
      </c>
      <c r="R53" s="63"/>
      <c r="S53" s="344">
        <v>46235</v>
      </c>
      <c r="T53" s="318">
        <v>3</v>
      </c>
      <c r="U53" s="318">
        <v>3</v>
      </c>
      <c r="V53" s="199">
        <v>45689</v>
      </c>
      <c r="W53" s="107">
        <v>1</v>
      </c>
      <c r="X53" s="107">
        <v>1</v>
      </c>
      <c r="Y53" s="107">
        <v>1</v>
      </c>
      <c r="Z53" s="309">
        <v>1</v>
      </c>
      <c r="AA53" s="184">
        <f t="shared" si="2"/>
        <v>4</v>
      </c>
      <c r="AB53" s="185">
        <f t="shared" si="3"/>
        <v>1</v>
      </c>
      <c r="AC53" s="185">
        <f t="shared" si="4"/>
        <v>4</v>
      </c>
      <c r="AD53" s="185">
        <f t="shared" si="5"/>
        <v>8</v>
      </c>
    </row>
    <row r="54" spans="1:31" x14ac:dyDescent="0.25">
      <c r="A54" s="3">
        <f t="shared" si="7"/>
        <v>53</v>
      </c>
      <c r="B54" s="314" t="s">
        <v>589</v>
      </c>
      <c r="C54" s="280">
        <v>0</v>
      </c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340">
        <f t="shared" si="0"/>
        <v>0</v>
      </c>
      <c r="P54" s="438">
        <f t="shared" si="1"/>
        <v>16</v>
      </c>
      <c r="Q54" s="7">
        <v>7</v>
      </c>
      <c r="R54" s="207"/>
      <c r="S54" s="344"/>
      <c r="T54" s="318"/>
      <c r="U54" s="318"/>
      <c r="V54" s="344">
        <v>44958</v>
      </c>
      <c r="W54" s="309">
        <v>1</v>
      </c>
      <c r="X54" s="309">
        <v>2</v>
      </c>
      <c r="Y54" s="309">
        <v>1</v>
      </c>
      <c r="Z54" s="309">
        <v>4</v>
      </c>
      <c r="AA54" s="184">
        <f t="shared" si="2"/>
        <v>8</v>
      </c>
      <c r="AB54" s="185">
        <f t="shared" si="3"/>
        <v>2</v>
      </c>
      <c r="AC54" s="185">
        <f t="shared" si="4"/>
        <v>8</v>
      </c>
      <c r="AD54" s="185">
        <f t="shared" si="5"/>
        <v>16</v>
      </c>
    </row>
    <row r="55" spans="1:31" x14ac:dyDescent="0.25">
      <c r="A55" s="3">
        <f t="shared" si="7"/>
        <v>54</v>
      </c>
      <c r="B55" s="4" t="s">
        <v>1447</v>
      </c>
      <c r="C55" s="415">
        <v>2</v>
      </c>
      <c r="D55" s="359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340">
        <f t="shared" si="0"/>
        <v>2</v>
      </c>
      <c r="P55" s="438">
        <f t="shared" si="1"/>
        <v>6</v>
      </c>
      <c r="Q55" s="7">
        <v>13</v>
      </c>
      <c r="R55" s="63"/>
      <c r="S55" s="344">
        <v>46419</v>
      </c>
      <c r="T55" s="318">
        <v>2</v>
      </c>
      <c r="U55" s="318">
        <v>4</v>
      </c>
      <c r="V55" s="344">
        <v>45717</v>
      </c>
      <c r="W55" s="309">
        <v>1</v>
      </c>
      <c r="X55" s="309">
        <v>1</v>
      </c>
      <c r="Y55" s="309">
        <v>1</v>
      </c>
      <c r="Z55" s="309">
        <v>1</v>
      </c>
      <c r="AA55" s="184">
        <f t="shared" si="2"/>
        <v>4</v>
      </c>
      <c r="AB55" s="185">
        <f t="shared" si="3"/>
        <v>1</v>
      </c>
      <c r="AC55" s="185">
        <f t="shared" si="4"/>
        <v>4</v>
      </c>
      <c r="AD55" s="185">
        <f t="shared" si="5"/>
        <v>8</v>
      </c>
    </row>
    <row r="56" spans="1:31" x14ac:dyDescent="0.25">
      <c r="A56" s="3">
        <f t="shared" si="7"/>
        <v>55</v>
      </c>
      <c r="B56" s="603" t="s">
        <v>217</v>
      </c>
      <c r="C56" s="604">
        <v>2</v>
      </c>
      <c r="D56" s="411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340">
        <f t="shared" si="0"/>
        <v>2</v>
      </c>
      <c r="P56" s="438">
        <f t="shared" si="1"/>
        <v>8</v>
      </c>
      <c r="Q56" s="7">
        <v>10</v>
      </c>
      <c r="R56" s="63"/>
      <c r="S56" s="527">
        <v>46204</v>
      </c>
      <c r="T56" s="274"/>
      <c r="U56" s="274"/>
      <c r="V56" s="550">
        <v>45536</v>
      </c>
      <c r="W56" s="551">
        <v>1</v>
      </c>
      <c r="X56" s="551">
        <v>1</v>
      </c>
      <c r="Y56" s="551">
        <v>1</v>
      </c>
      <c r="Z56" s="200">
        <v>2</v>
      </c>
      <c r="AA56" s="184">
        <f t="shared" si="2"/>
        <v>5</v>
      </c>
      <c r="AB56" s="185">
        <f t="shared" si="3"/>
        <v>1.25</v>
      </c>
      <c r="AC56" s="185">
        <f t="shared" si="4"/>
        <v>5</v>
      </c>
      <c r="AD56" s="185">
        <f t="shared" si="5"/>
        <v>10</v>
      </c>
    </row>
    <row r="57" spans="1:31" x14ac:dyDescent="0.25">
      <c r="A57" s="602">
        <f t="shared" si="7"/>
        <v>56</v>
      </c>
      <c r="B57" s="4"/>
      <c r="C57" s="8"/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340"/>
      <c r="P57" s="338"/>
      <c r="Q57" s="10"/>
      <c r="R57" s="63"/>
      <c r="S57" s="252"/>
      <c r="T57" s="252"/>
      <c r="U57" s="252"/>
      <c r="V57" s="609"/>
      <c r="W57" s="609"/>
      <c r="X57" s="609"/>
      <c r="Y57" s="609"/>
      <c r="Z57" s="252"/>
      <c r="AA57" s="610">
        <f>W57+X57+Y57+Z57</f>
        <v>0</v>
      </c>
      <c r="AB57" s="611">
        <f>AA57/4</f>
        <v>0</v>
      </c>
      <c r="AC57" s="611">
        <f>AB57*4</f>
        <v>0</v>
      </c>
      <c r="AD57" s="611">
        <f>AC57*2</f>
        <v>0</v>
      </c>
      <c r="AE57" s="38"/>
    </row>
    <row r="58" spans="1:31" x14ac:dyDescent="0.25">
      <c r="A58" s="602">
        <f t="shared" si="7"/>
        <v>57</v>
      </c>
      <c r="B58" s="4"/>
      <c r="C58" s="8"/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340"/>
      <c r="P58" s="338"/>
      <c r="Q58" s="10"/>
      <c r="R58" s="63"/>
      <c r="S58" s="252"/>
      <c r="T58" s="252"/>
      <c r="U58" s="252"/>
      <c r="V58" s="609"/>
      <c r="W58" s="609"/>
      <c r="X58" s="609"/>
      <c r="Y58" s="609"/>
      <c r="Z58" s="252"/>
      <c r="AA58" s="610">
        <f>W58+X58+Y58+Z58</f>
        <v>0</v>
      </c>
      <c r="AB58" s="611">
        <f>AA58/4</f>
        <v>0</v>
      </c>
      <c r="AC58" s="611">
        <f>AB58*4</f>
        <v>0</v>
      </c>
      <c r="AD58" s="611">
        <f>AC58*2</f>
        <v>0</v>
      </c>
      <c r="AE58" s="38"/>
    </row>
    <row r="59" spans="1:31" x14ac:dyDescent="0.25">
      <c r="A59" s="602">
        <f t="shared" si="7"/>
        <v>58</v>
      </c>
      <c r="B59" s="4"/>
      <c r="C59" s="8"/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340"/>
      <c r="P59" s="338"/>
      <c r="Q59" s="10"/>
      <c r="R59" s="63"/>
      <c r="S59" s="252"/>
      <c r="T59" s="252"/>
      <c r="U59" s="252"/>
      <c r="V59" s="609"/>
      <c r="W59" s="609"/>
      <c r="X59" s="609"/>
      <c r="Y59" s="609"/>
      <c r="Z59" s="252"/>
      <c r="AA59" s="612"/>
      <c r="AB59" s="612"/>
      <c r="AC59" s="613"/>
      <c r="AD59" s="612"/>
      <c r="AE59" s="38"/>
    </row>
    <row r="60" spans="1:31" x14ac:dyDescent="0.25">
      <c r="A60" s="602">
        <f t="shared" si="7"/>
        <v>59</v>
      </c>
      <c r="B60" s="4"/>
      <c r="C60" s="8"/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340"/>
      <c r="P60" s="338"/>
      <c r="Q60" s="10"/>
      <c r="R60" s="63"/>
      <c r="S60" s="252"/>
      <c r="T60" s="252"/>
      <c r="U60" s="252"/>
      <c r="V60" s="609"/>
      <c r="W60" s="609"/>
      <c r="X60" s="609"/>
      <c r="Y60" s="609"/>
      <c r="Z60" s="252"/>
      <c r="AA60" s="612"/>
      <c r="AB60" s="612"/>
      <c r="AC60" s="613"/>
      <c r="AD60" s="612"/>
      <c r="AE60" s="38"/>
    </row>
    <row r="61" spans="1:31" x14ac:dyDescent="0.25">
      <c r="A61" s="602">
        <f t="shared" si="7"/>
        <v>60</v>
      </c>
      <c r="B61" s="4"/>
      <c r="C61" s="8"/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340"/>
      <c r="P61" s="338"/>
      <c r="Q61" s="10"/>
      <c r="R61" s="63"/>
      <c r="S61" s="252"/>
      <c r="T61" s="252"/>
      <c r="U61" s="252"/>
      <c r="V61" s="609"/>
      <c r="W61" s="609"/>
      <c r="X61" s="609"/>
      <c r="Y61" s="609"/>
      <c r="Z61" s="252"/>
      <c r="AA61" s="612"/>
      <c r="AB61" s="612"/>
      <c r="AC61" s="613"/>
      <c r="AD61" s="612"/>
      <c r="AE61" s="38"/>
    </row>
    <row r="62" spans="1:31" x14ac:dyDescent="0.25">
      <c r="A62" s="602">
        <f t="shared" si="7"/>
        <v>61</v>
      </c>
      <c r="B62" s="4"/>
      <c r="C62" s="8"/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340"/>
      <c r="P62" s="338"/>
      <c r="Q62" s="10"/>
      <c r="R62" s="63"/>
      <c r="S62" s="252"/>
      <c r="T62" s="252"/>
      <c r="U62" s="252"/>
      <c r="V62" s="609"/>
      <c r="W62" s="609"/>
      <c r="X62" s="609"/>
      <c r="Y62" s="609"/>
      <c r="Z62" s="252"/>
      <c r="AA62" s="612"/>
      <c r="AB62" s="612"/>
      <c r="AC62" s="613"/>
      <c r="AD62" s="612"/>
      <c r="AE62" s="38"/>
    </row>
    <row r="63" spans="1:31" x14ac:dyDescent="0.25">
      <c r="A63" s="602">
        <f t="shared" si="7"/>
        <v>62</v>
      </c>
      <c r="B63" s="4"/>
      <c r="C63" s="8"/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340"/>
      <c r="P63" s="338"/>
      <c r="Q63" s="10"/>
      <c r="R63" s="63"/>
      <c r="S63" s="252"/>
      <c r="T63" s="252"/>
      <c r="U63" s="252"/>
      <c r="V63" s="609"/>
      <c r="W63" s="609"/>
      <c r="X63" s="609"/>
      <c r="Y63" s="609"/>
      <c r="Z63" s="252"/>
      <c r="AA63" s="612"/>
      <c r="AB63" s="612"/>
      <c r="AC63" s="613"/>
      <c r="AD63" s="612"/>
      <c r="AE63" s="38"/>
    </row>
    <row r="64" spans="1:31" x14ac:dyDescent="0.25">
      <c r="A64" s="602">
        <f t="shared" si="7"/>
        <v>63</v>
      </c>
      <c r="B64" s="4"/>
      <c r="C64" s="8"/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340"/>
      <c r="P64" s="338"/>
      <c r="Q64" s="10"/>
      <c r="R64" s="63"/>
      <c r="S64" s="252"/>
      <c r="T64" s="252"/>
      <c r="U64" s="252"/>
      <c r="V64" s="609"/>
      <c r="W64" s="609"/>
      <c r="X64" s="609"/>
      <c r="Y64" s="609"/>
      <c r="Z64" s="252"/>
      <c r="AA64" s="612"/>
      <c r="AB64" s="612"/>
      <c r="AC64" s="613"/>
      <c r="AD64" s="612"/>
      <c r="AE64" s="38"/>
    </row>
    <row r="65" spans="1:31" x14ac:dyDescent="0.25">
      <c r="A65" s="602">
        <f t="shared" si="7"/>
        <v>64</v>
      </c>
      <c r="B65" s="4"/>
      <c r="C65" s="8"/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340"/>
      <c r="P65" s="338"/>
      <c r="Q65" s="10"/>
      <c r="R65" s="63"/>
      <c r="S65" s="252"/>
      <c r="T65" s="252"/>
      <c r="U65" s="252"/>
      <c r="V65" s="609"/>
      <c r="W65" s="609"/>
      <c r="X65" s="609"/>
      <c r="Y65" s="609"/>
      <c r="Z65" s="252"/>
      <c r="AA65" s="612"/>
      <c r="AB65" s="612"/>
      <c r="AC65" s="613"/>
      <c r="AD65" s="612"/>
      <c r="AE65" s="38"/>
    </row>
    <row r="66" spans="1:31" x14ac:dyDescent="0.25">
      <c r="A66" s="602">
        <f t="shared" si="7"/>
        <v>65</v>
      </c>
      <c r="B66" s="4"/>
      <c r="C66" s="8"/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340"/>
      <c r="P66" s="338"/>
      <c r="Q66" s="10"/>
      <c r="R66" s="63"/>
      <c r="S66" s="252"/>
      <c r="T66" s="252"/>
      <c r="U66" s="252"/>
      <c r="V66" s="609"/>
      <c r="W66" s="609"/>
      <c r="X66" s="609"/>
      <c r="Y66" s="609"/>
      <c r="Z66" s="252"/>
      <c r="AA66" s="612"/>
      <c r="AB66" s="612"/>
      <c r="AC66" s="613"/>
      <c r="AD66" s="612"/>
      <c r="AE66" s="38"/>
    </row>
    <row r="67" spans="1:31" x14ac:dyDescent="0.25">
      <c r="A67" s="602">
        <f t="shared" si="7"/>
        <v>66</v>
      </c>
      <c r="B67" s="4"/>
      <c r="C67" s="8"/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340"/>
      <c r="P67" s="338"/>
      <c r="Q67" s="10"/>
      <c r="R67" s="63"/>
      <c r="S67" s="252"/>
      <c r="T67" s="252"/>
      <c r="U67" s="252"/>
      <c r="V67" s="609"/>
      <c r="W67" s="609"/>
      <c r="X67" s="609"/>
      <c r="Y67" s="609"/>
      <c r="Z67" s="252"/>
      <c r="AA67" s="612"/>
      <c r="AB67" s="612"/>
      <c r="AC67" s="613"/>
      <c r="AD67" s="612"/>
      <c r="AE67" s="38"/>
    </row>
    <row r="68" spans="1:31" x14ac:dyDescent="0.25">
      <c r="A68" s="602">
        <f t="shared" si="7"/>
        <v>67</v>
      </c>
      <c r="B68" s="4"/>
      <c r="C68" s="8"/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340"/>
      <c r="P68" s="338"/>
      <c r="Q68" s="10"/>
      <c r="R68" s="63"/>
      <c r="S68" s="252"/>
      <c r="T68" s="252"/>
      <c r="U68" s="252"/>
      <c r="V68" s="609"/>
      <c r="W68" s="609"/>
      <c r="X68" s="609"/>
      <c r="Y68" s="609"/>
      <c r="Z68" s="252"/>
      <c r="AA68" s="612"/>
      <c r="AB68" s="612"/>
      <c r="AC68" s="613"/>
      <c r="AD68" s="612"/>
      <c r="AE68" s="38"/>
    </row>
    <row r="69" spans="1:31" x14ac:dyDescent="0.25">
      <c r="A69" s="602">
        <f t="shared" si="7"/>
        <v>68</v>
      </c>
      <c r="B69" s="4"/>
      <c r="C69" s="8"/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340"/>
      <c r="P69" s="338"/>
      <c r="Q69" s="10"/>
      <c r="R69" s="63"/>
      <c r="S69" s="252"/>
      <c r="T69" s="252"/>
      <c r="U69" s="252"/>
      <c r="V69" s="609"/>
      <c r="W69" s="609"/>
      <c r="X69" s="609"/>
      <c r="Y69" s="609"/>
      <c r="Z69" s="252"/>
      <c r="AA69" s="612"/>
      <c r="AB69" s="612"/>
      <c r="AC69" s="613"/>
      <c r="AD69" s="612"/>
      <c r="AE69" s="38"/>
    </row>
    <row r="70" spans="1:31" x14ac:dyDescent="0.25">
      <c r="A70" s="602">
        <f t="shared" si="7"/>
        <v>69</v>
      </c>
      <c r="B70" s="4"/>
      <c r="C70" s="8"/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340"/>
      <c r="P70" s="338"/>
      <c r="Q70" s="10"/>
      <c r="R70" s="63"/>
      <c r="S70" s="252"/>
      <c r="T70" s="252"/>
      <c r="U70" s="252"/>
      <c r="V70" s="609"/>
      <c r="W70" s="609"/>
      <c r="X70" s="609"/>
      <c r="Y70" s="609"/>
      <c r="Z70" s="252"/>
      <c r="AA70" s="612"/>
      <c r="AB70" s="612"/>
      <c r="AC70" s="613"/>
      <c r="AD70" s="612"/>
      <c r="AE70" s="38"/>
    </row>
    <row r="71" spans="1:31" x14ac:dyDescent="0.25">
      <c r="A71" s="3">
        <f t="shared" si="7"/>
        <v>70</v>
      </c>
      <c r="B71" s="4"/>
      <c r="C71" s="8"/>
      <c r="D71" s="359"/>
      <c r="E71" s="478"/>
      <c r="F71" s="359"/>
      <c r="G71" s="494"/>
      <c r="H71" s="359"/>
      <c r="I71" s="478"/>
      <c r="J71" s="408"/>
      <c r="K71" s="494"/>
      <c r="L71" s="359"/>
      <c r="M71" s="478"/>
      <c r="N71" s="561"/>
      <c r="O71" s="340"/>
      <c r="P71" s="338"/>
      <c r="Q71" s="10"/>
      <c r="R71" s="63"/>
      <c r="S71" s="605"/>
      <c r="T71" s="605"/>
      <c r="U71" s="605"/>
      <c r="V71" s="606"/>
      <c r="W71" s="606"/>
      <c r="X71" s="606"/>
      <c r="Y71" s="606"/>
      <c r="Z71" s="605"/>
      <c r="AA71" s="607"/>
      <c r="AB71" s="607"/>
      <c r="AC71" s="608"/>
      <c r="AD71" s="607"/>
    </row>
    <row r="72" spans="1:31" x14ac:dyDescent="0.25">
      <c r="A72" s="3">
        <f t="shared" si="7"/>
        <v>71</v>
      </c>
      <c r="B72" s="4"/>
      <c r="C72" s="8"/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47"/>
      <c r="P72" s="338"/>
      <c r="Q72" s="10"/>
      <c r="R72" s="63"/>
    </row>
    <row r="73" spans="1:31" x14ac:dyDescent="0.25">
      <c r="A73" s="3">
        <f t="shared" si="7"/>
        <v>72</v>
      </c>
      <c r="B73" s="4"/>
      <c r="C73" s="9"/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47"/>
      <c r="P73" s="338"/>
      <c r="Q73" s="10"/>
      <c r="R73" s="63"/>
    </row>
    <row r="74" spans="1:31" x14ac:dyDescent="0.25">
      <c r="A74" s="3">
        <f t="shared" si="7"/>
        <v>73</v>
      </c>
      <c r="B74" s="4"/>
      <c r="C74" s="9"/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47"/>
      <c r="P74" s="338"/>
      <c r="Q74" s="10"/>
      <c r="R74" s="63"/>
    </row>
    <row r="75" spans="1:31" x14ac:dyDescent="0.25">
      <c r="A75" s="3">
        <f t="shared" si="7"/>
        <v>74</v>
      </c>
      <c r="B75" s="3"/>
      <c r="C75" s="9"/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47"/>
      <c r="P75" s="338"/>
      <c r="Q75" s="10"/>
      <c r="R75" s="63"/>
    </row>
    <row r="76" spans="1:31" x14ac:dyDescent="0.25">
      <c r="A76" s="3">
        <f t="shared" si="7"/>
        <v>75</v>
      </c>
      <c r="B76" s="4"/>
      <c r="C76" s="8"/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47"/>
      <c r="P76" s="338"/>
      <c r="Q76" s="10"/>
      <c r="R76" s="63"/>
    </row>
    <row r="77" spans="1:31" x14ac:dyDescent="0.25">
      <c r="A77" s="3">
        <f t="shared" si="7"/>
        <v>76</v>
      </c>
      <c r="B77" s="4"/>
      <c r="C77" s="8"/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47"/>
      <c r="P77" s="338"/>
      <c r="Q77" s="10"/>
      <c r="R77" s="63"/>
    </row>
    <row r="78" spans="1:31" x14ac:dyDescent="0.25">
      <c r="A78" s="3">
        <f t="shared" si="7"/>
        <v>77</v>
      </c>
      <c r="B78" s="4"/>
      <c r="C78" s="9"/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47"/>
      <c r="P78" s="338"/>
      <c r="Q78" s="10"/>
      <c r="R78" s="63"/>
    </row>
    <row r="79" spans="1:31" x14ac:dyDescent="0.25">
      <c r="A79" s="3">
        <f t="shared" si="7"/>
        <v>78</v>
      </c>
      <c r="B79" s="4"/>
      <c r="C79" s="9"/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47"/>
      <c r="P79" s="338"/>
      <c r="Q79" s="10"/>
      <c r="R79" s="63"/>
    </row>
    <row r="80" spans="1:31" x14ac:dyDescent="0.25">
      <c r="A80" s="3">
        <f t="shared" si="7"/>
        <v>79</v>
      </c>
      <c r="B80" s="4"/>
      <c r="C80" s="9"/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47"/>
      <c r="P80" s="338"/>
      <c r="Q80" s="10"/>
      <c r="R80" s="63"/>
    </row>
    <row r="81" spans="1:18" x14ac:dyDescent="0.25">
      <c r="A81" s="3">
        <f t="shared" si="7"/>
        <v>80</v>
      </c>
      <c r="B81" s="4"/>
      <c r="C81" s="9"/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47"/>
      <c r="P81" s="338"/>
      <c r="Q81" s="10"/>
      <c r="R81" s="63"/>
    </row>
    <row r="82" spans="1:18" x14ac:dyDescent="0.25">
      <c r="A82" s="3">
        <f t="shared" si="7"/>
        <v>81</v>
      </c>
      <c r="B82" s="3"/>
      <c r="C82" s="9"/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47"/>
      <c r="P82" s="338"/>
      <c r="Q82" s="10"/>
      <c r="R82" s="63"/>
    </row>
    <row r="83" spans="1:18" x14ac:dyDescent="0.25">
      <c r="A83" s="3">
        <f t="shared" si="7"/>
        <v>82</v>
      </c>
      <c r="B83" s="4"/>
      <c r="C83" s="9"/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47"/>
      <c r="P83" s="338"/>
      <c r="Q83" s="10"/>
      <c r="R83" s="63"/>
    </row>
    <row r="84" spans="1:18" x14ac:dyDescent="0.25">
      <c r="A84" s="3">
        <f t="shared" si="7"/>
        <v>83</v>
      </c>
      <c r="B84" s="4"/>
      <c r="C84" s="9"/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47"/>
      <c r="P84" s="338"/>
      <c r="Q84" s="10"/>
      <c r="R84" s="63"/>
    </row>
    <row r="85" spans="1:18" x14ac:dyDescent="0.25">
      <c r="A85" s="3">
        <f t="shared" si="7"/>
        <v>84</v>
      </c>
      <c r="B85" s="4"/>
      <c r="C85" s="8"/>
      <c r="D85" s="359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47"/>
      <c r="P85" s="338"/>
      <c r="Q85" s="10"/>
      <c r="R85" s="63"/>
    </row>
    <row r="86" spans="1:18" x14ac:dyDescent="0.25">
      <c r="A86" s="3">
        <f t="shared" si="7"/>
        <v>85</v>
      </c>
      <c r="B86" s="4"/>
      <c r="C86" s="9"/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47"/>
      <c r="P86" s="338"/>
      <c r="Q86" s="10"/>
      <c r="R86" s="63"/>
    </row>
    <row r="87" spans="1:18" x14ac:dyDescent="0.25">
      <c r="A87" s="3">
        <f t="shared" si="7"/>
        <v>86</v>
      </c>
      <c r="B87" s="4"/>
      <c r="C87" s="9"/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47"/>
      <c r="P87" s="338"/>
      <c r="Q87" s="10"/>
      <c r="R87" s="63"/>
    </row>
    <row r="88" spans="1:18" x14ac:dyDescent="0.25">
      <c r="A88" s="3">
        <f t="shared" si="7"/>
        <v>87</v>
      </c>
      <c r="B88" s="4"/>
      <c r="C88" s="9"/>
      <c r="D88" s="359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47"/>
      <c r="P88" s="338"/>
      <c r="Q88" s="10"/>
      <c r="R88" s="63"/>
    </row>
    <row r="89" spans="1:18" x14ac:dyDescent="0.25">
      <c r="A89" s="3">
        <f t="shared" si="7"/>
        <v>88</v>
      </c>
      <c r="B89" s="4"/>
      <c r="C89" s="9"/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47"/>
      <c r="P89" s="338"/>
      <c r="Q89" s="10"/>
      <c r="R89" s="63"/>
    </row>
    <row r="90" spans="1:18" x14ac:dyDescent="0.25">
      <c r="A90" s="3">
        <f t="shared" si="7"/>
        <v>89</v>
      </c>
      <c r="B90" s="4"/>
      <c r="C90" s="9"/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47"/>
      <c r="P90" s="338"/>
      <c r="Q90" s="10"/>
      <c r="R90" s="63"/>
    </row>
    <row r="91" spans="1:18" x14ac:dyDescent="0.25">
      <c r="A91" s="3">
        <f t="shared" si="7"/>
        <v>90</v>
      </c>
      <c r="B91" s="4"/>
      <c r="C91" s="9"/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47"/>
      <c r="P91" s="338"/>
      <c r="Q91" s="10"/>
      <c r="R91" s="63"/>
    </row>
    <row r="92" spans="1:18" x14ac:dyDescent="0.25">
      <c r="A92" s="3">
        <f t="shared" si="7"/>
        <v>91</v>
      </c>
      <c r="B92" s="4"/>
      <c r="C92" s="9"/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47"/>
      <c r="P92" s="338"/>
      <c r="Q92" s="10"/>
      <c r="R92" s="63"/>
    </row>
    <row r="93" spans="1:18" x14ac:dyDescent="0.25">
      <c r="A93" s="3">
        <f t="shared" si="7"/>
        <v>92</v>
      </c>
      <c r="B93" s="4"/>
      <c r="C93" s="9"/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47"/>
      <c r="P93" s="338"/>
      <c r="Q93" s="10"/>
      <c r="R93" s="63"/>
    </row>
    <row r="94" spans="1:18" x14ac:dyDescent="0.25">
      <c r="A94" s="3">
        <f t="shared" si="7"/>
        <v>93</v>
      </c>
      <c r="B94" s="4"/>
      <c r="C94" s="9"/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47"/>
      <c r="P94" s="338"/>
      <c r="Q94" s="10"/>
      <c r="R94" s="63"/>
    </row>
    <row r="95" spans="1:18" x14ac:dyDescent="0.25">
      <c r="A95" s="3">
        <f t="shared" si="7"/>
        <v>94</v>
      </c>
      <c r="B95" s="4"/>
      <c r="C95" s="9"/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47"/>
      <c r="P95" s="338"/>
      <c r="Q95" s="10"/>
      <c r="R95" s="63"/>
    </row>
    <row r="96" spans="1:18" x14ac:dyDescent="0.25">
      <c r="A96" s="3">
        <f t="shared" si="7"/>
        <v>95</v>
      </c>
      <c r="B96" s="4"/>
      <c r="C96" s="9"/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47"/>
      <c r="P96" s="338"/>
      <c r="Q96" s="10"/>
      <c r="R96" s="63"/>
    </row>
    <row r="97" spans="1:18" x14ac:dyDescent="0.25">
      <c r="A97" s="3">
        <f t="shared" si="7"/>
        <v>96</v>
      </c>
      <c r="B97" s="4"/>
      <c r="C97" s="9"/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47"/>
      <c r="P97" s="338"/>
      <c r="Q97" s="10"/>
      <c r="R97" s="63"/>
    </row>
    <row r="98" spans="1:18" x14ac:dyDescent="0.25">
      <c r="A98" s="3">
        <f t="shared" si="7"/>
        <v>97</v>
      </c>
      <c r="B98" s="4"/>
      <c r="C98" s="9"/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47"/>
      <c r="P98" s="338"/>
      <c r="Q98" s="10"/>
      <c r="R98" s="64"/>
    </row>
    <row r="99" spans="1:18" x14ac:dyDescent="0.25">
      <c r="A99" s="3">
        <f t="shared" si="7"/>
        <v>98</v>
      </c>
      <c r="B99" s="4"/>
      <c r="C99" s="9"/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47"/>
      <c r="P99" s="338"/>
      <c r="Q99" s="10"/>
      <c r="R99" s="63"/>
    </row>
    <row r="100" spans="1:18" x14ac:dyDescent="0.25">
      <c r="A100" s="3">
        <f t="shared" si="7"/>
        <v>99</v>
      </c>
      <c r="B100" s="4"/>
      <c r="C100" s="9"/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47"/>
      <c r="P100" s="338"/>
      <c r="Q100" s="10"/>
      <c r="R100" s="63"/>
    </row>
    <row r="101" spans="1:18" x14ac:dyDescent="0.25">
      <c r="A101" s="3">
        <f t="shared" si="7"/>
        <v>100</v>
      </c>
      <c r="B101" s="4"/>
      <c r="C101" s="9"/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47"/>
      <c r="P101" s="338"/>
      <c r="Q101" s="10"/>
      <c r="R101" s="63"/>
    </row>
    <row r="102" spans="1:18" x14ac:dyDescent="0.25">
      <c r="A102" s="3">
        <f t="shared" si="7"/>
        <v>101</v>
      </c>
      <c r="B102" s="4"/>
      <c r="C102" s="9"/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47"/>
      <c r="P102" s="338"/>
      <c r="Q102" s="10"/>
      <c r="R102" s="63"/>
    </row>
    <row r="103" spans="1:18" x14ac:dyDescent="0.25">
      <c r="A103" s="3">
        <f t="shared" si="7"/>
        <v>102</v>
      </c>
      <c r="B103" s="4"/>
      <c r="C103" s="9"/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47"/>
      <c r="P103" s="338"/>
      <c r="Q103" s="10"/>
      <c r="R103" s="63"/>
    </row>
    <row r="104" spans="1:18" x14ac:dyDescent="0.25">
      <c r="A104" s="3">
        <f t="shared" si="7"/>
        <v>103</v>
      </c>
      <c r="B104" s="4"/>
      <c r="C104" s="9"/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47"/>
      <c r="P104" s="338"/>
      <c r="Q104" s="10"/>
      <c r="R104" s="63"/>
    </row>
    <row r="105" spans="1:18" x14ac:dyDescent="0.25">
      <c r="A105" s="3">
        <f t="shared" si="7"/>
        <v>104</v>
      </c>
      <c r="B105" s="4"/>
      <c r="C105" s="9"/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47"/>
      <c r="P105" s="338"/>
      <c r="Q105" s="10"/>
      <c r="R105" s="63"/>
    </row>
    <row r="106" spans="1:18" x14ac:dyDescent="0.25">
      <c r="A106" s="3">
        <f t="shared" ref="A106:A169" si="8">A105+1</f>
        <v>105</v>
      </c>
      <c r="B106" s="4"/>
      <c r="C106" s="9"/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47"/>
      <c r="P106" s="338"/>
      <c r="Q106" s="10"/>
      <c r="R106" s="63"/>
    </row>
    <row r="107" spans="1:18" x14ac:dyDescent="0.25">
      <c r="A107" s="3">
        <f t="shared" si="8"/>
        <v>106</v>
      </c>
      <c r="B107" s="4"/>
      <c r="C107" s="9"/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47"/>
      <c r="P107" s="338"/>
      <c r="Q107" s="10"/>
      <c r="R107" s="63"/>
    </row>
    <row r="108" spans="1:18" x14ac:dyDescent="0.25">
      <c r="A108" s="3">
        <f t="shared" si="8"/>
        <v>107</v>
      </c>
      <c r="B108" s="4"/>
      <c r="C108" s="9"/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47"/>
      <c r="P108" s="338"/>
      <c r="Q108" s="10"/>
      <c r="R108" s="63"/>
    </row>
    <row r="109" spans="1:18" x14ac:dyDescent="0.25">
      <c r="A109" s="3">
        <f t="shared" si="8"/>
        <v>108</v>
      </c>
      <c r="B109" s="4"/>
      <c r="C109" s="9"/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47"/>
      <c r="P109" s="338"/>
      <c r="Q109" s="10"/>
      <c r="R109" s="63"/>
    </row>
    <row r="110" spans="1:18" x14ac:dyDescent="0.25">
      <c r="A110" s="3">
        <f t="shared" si="8"/>
        <v>109</v>
      </c>
      <c r="B110" s="4"/>
      <c r="C110" s="9"/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47"/>
      <c r="P110" s="338"/>
      <c r="Q110" s="10"/>
      <c r="R110" s="63"/>
    </row>
    <row r="111" spans="1:18" x14ac:dyDescent="0.25">
      <c r="A111" s="3">
        <f t="shared" si="8"/>
        <v>110</v>
      </c>
      <c r="B111" s="4"/>
      <c r="C111" s="9"/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47"/>
      <c r="P111" s="338"/>
      <c r="Q111" s="10"/>
      <c r="R111" s="63"/>
    </row>
    <row r="112" spans="1:18" x14ac:dyDescent="0.25">
      <c r="A112" s="3">
        <f t="shared" si="8"/>
        <v>111</v>
      </c>
      <c r="B112" s="4"/>
      <c r="C112" s="9"/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47"/>
      <c r="P112" s="338"/>
      <c r="Q112" s="10"/>
      <c r="R112" s="63"/>
    </row>
    <row r="113" spans="1:18" x14ac:dyDescent="0.25">
      <c r="A113" s="3">
        <f t="shared" si="8"/>
        <v>112</v>
      </c>
      <c r="B113" s="4"/>
      <c r="C113" s="9"/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47"/>
      <c r="P113" s="338"/>
      <c r="Q113" s="10"/>
      <c r="R113" s="63"/>
    </row>
    <row r="114" spans="1:18" x14ac:dyDescent="0.25">
      <c r="A114" s="3">
        <f t="shared" si="8"/>
        <v>113</v>
      </c>
      <c r="B114" s="4"/>
      <c r="C114" s="9"/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47"/>
      <c r="P114" s="338"/>
      <c r="Q114" s="10"/>
      <c r="R114" s="63"/>
    </row>
    <row r="115" spans="1:18" x14ac:dyDescent="0.25">
      <c r="A115" s="3">
        <f t="shared" si="8"/>
        <v>114</v>
      </c>
      <c r="B115" s="4"/>
      <c r="C115" s="8"/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47"/>
      <c r="P115" s="338"/>
      <c r="Q115" s="10"/>
      <c r="R115" s="63"/>
    </row>
    <row r="116" spans="1:18" x14ac:dyDescent="0.25">
      <c r="A116" s="3">
        <f t="shared" si="8"/>
        <v>115</v>
      </c>
      <c r="B116" s="4"/>
      <c r="C116" s="9"/>
      <c r="D116" s="359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47"/>
      <c r="P116" s="338"/>
      <c r="Q116" s="10"/>
      <c r="R116" s="63"/>
    </row>
    <row r="117" spans="1:18" x14ac:dyDescent="0.25">
      <c r="A117" s="3">
        <f t="shared" si="8"/>
        <v>116</v>
      </c>
      <c r="B117" s="4"/>
      <c r="C117" s="8"/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47"/>
      <c r="P117" s="338"/>
      <c r="Q117" s="10"/>
      <c r="R117" s="63"/>
    </row>
    <row r="118" spans="1:18" x14ac:dyDescent="0.25">
      <c r="A118" s="3">
        <f t="shared" si="8"/>
        <v>117</v>
      </c>
      <c r="B118" s="4"/>
      <c r="C118" s="9"/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47"/>
      <c r="P118" s="338"/>
      <c r="Q118" s="10"/>
      <c r="R118" s="63"/>
    </row>
    <row r="119" spans="1:18" x14ac:dyDescent="0.25">
      <c r="A119" s="3">
        <f t="shared" si="8"/>
        <v>118</v>
      </c>
      <c r="B119" s="4"/>
      <c r="C119" s="9"/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47"/>
      <c r="P119" s="338"/>
      <c r="Q119" s="10"/>
      <c r="R119" s="63"/>
    </row>
    <row r="120" spans="1:18" x14ac:dyDescent="0.25">
      <c r="A120" s="3">
        <f t="shared" si="8"/>
        <v>119</v>
      </c>
      <c r="B120" s="4"/>
      <c r="C120" s="9"/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47"/>
      <c r="P120" s="338"/>
      <c r="Q120" s="10"/>
      <c r="R120" s="63"/>
    </row>
    <row r="121" spans="1:18" x14ac:dyDescent="0.25">
      <c r="A121" s="3">
        <f t="shared" si="8"/>
        <v>120</v>
      </c>
      <c r="B121" s="4"/>
      <c r="C121" s="9"/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47"/>
      <c r="P121" s="338"/>
      <c r="Q121" s="10"/>
      <c r="R121" s="63"/>
    </row>
    <row r="122" spans="1:18" x14ac:dyDescent="0.25">
      <c r="A122" s="3">
        <f t="shared" si="8"/>
        <v>121</v>
      </c>
      <c r="B122" s="4"/>
      <c r="C122" s="9"/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47"/>
      <c r="P122" s="338"/>
      <c r="Q122" s="10"/>
      <c r="R122" s="63"/>
    </row>
    <row r="123" spans="1:18" x14ac:dyDescent="0.25">
      <c r="A123" s="3">
        <f t="shared" si="8"/>
        <v>122</v>
      </c>
      <c r="B123" s="4"/>
      <c r="C123" s="9"/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47"/>
      <c r="P123" s="338"/>
      <c r="Q123" s="10"/>
      <c r="R123" s="63"/>
    </row>
    <row r="124" spans="1:18" x14ac:dyDescent="0.25">
      <c r="A124" s="3">
        <f t="shared" si="8"/>
        <v>123</v>
      </c>
      <c r="B124" s="4"/>
      <c r="C124" s="9"/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47"/>
      <c r="P124" s="338"/>
      <c r="Q124" s="10"/>
      <c r="R124" s="63"/>
    </row>
    <row r="125" spans="1:18" x14ac:dyDescent="0.25">
      <c r="A125" s="3">
        <f t="shared" si="8"/>
        <v>124</v>
      </c>
      <c r="B125" s="4"/>
      <c r="C125" s="8"/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47"/>
      <c r="P125" s="338"/>
      <c r="Q125" s="10"/>
      <c r="R125" s="63"/>
    </row>
    <row r="126" spans="1:18" x14ac:dyDescent="0.25">
      <c r="A126" s="3">
        <f t="shared" si="8"/>
        <v>125</v>
      </c>
      <c r="B126" s="4"/>
      <c r="C126" s="9"/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47"/>
      <c r="P126" s="338"/>
      <c r="Q126" s="10"/>
      <c r="R126" s="63"/>
    </row>
    <row r="127" spans="1:18" x14ac:dyDescent="0.25">
      <c r="A127" s="3">
        <f t="shared" si="8"/>
        <v>126</v>
      </c>
      <c r="B127" s="4"/>
      <c r="C127" s="9"/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47"/>
      <c r="P127" s="338"/>
      <c r="Q127" s="10"/>
      <c r="R127" s="63"/>
    </row>
    <row r="128" spans="1:18" x14ac:dyDescent="0.25">
      <c r="A128" s="3">
        <f t="shared" si="8"/>
        <v>127</v>
      </c>
      <c r="B128" s="4"/>
      <c r="C128" s="9"/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47"/>
      <c r="P128" s="338"/>
      <c r="Q128" s="10"/>
      <c r="R128" s="63"/>
    </row>
    <row r="129" spans="1:18" x14ac:dyDescent="0.25">
      <c r="A129" s="3">
        <f t="shared" si="8"/>
        <v>128</v>
      </c>
      <c r="B129" s="4"/>
      <c r="C129" s="9"/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47"/>
      <c r="P129" s="338"/>
      <c r="Q129" s="10"/>
      <c r="R129" s="63"/>
    </row>
    <row r="130" spans="1:18" x14ac:dyDescent="0.25">
      <c r="A130" s="3">
        <f t="shared" si="8"/>
        <v>129</v>
      </c>
      <c r="B130" s="4"/>
      <c r="C130" s="9"/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47"/>
      <c r="P130" s="338"/>
      <c r="Q130" s="10"/>
      <c r="R130" s="63"/>
    </row>
    <row r="131" spans="1:18" x14ac:dyDescent="0.25">
      <c r="A131" s="3">
        <f t="shared" si="8"/>
        <v>130</v>
      </c>
      <c r="B131" s="4"/>
      <c r="C131" s="9"/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47"/>
      <c r="P131" s="338"/>
      <c r="Q131" s="10"/>
      <c r="R131" s="63"/>
    </row>
    <row r="132" spans="1:18" x14ac:dyDescent="0.25">
      <c r="A132" s="3">
        <f t="shared" si="8"/>
        <v>131</v>
      </c>
      <c r="B132" s="4"/>
      <c r="C132" s="9"/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47"/>
      <c r="P132" s="338"/>
      <c r="Q132" s="10"/>
      <c r="R132" s="63"/>
    </row>
    <row r="133" spans="1:18" x14ac:dyDescent="0.25">
      <c r="A133" s="3">
        <f t="shared" si="8"/>
        <v>132</v>
      </c>
      <c r="B133" s="4"/>
      <c r="C133" s="9"/>
      <c r="D133" s="359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47"/>
      <c r="P133" s="338"/>
      <c r="Q133" s="10"/>
      <c r="R133" s="63"/>
    </row>
    <row r="134" spans="1:18" x14ac:dyDescent="0.25">
      <c r="A134" s="3">
        <f t="shared" si="8"/>
        <v>133</v>
      </c>
      <c r="B134" s="3"/>
      <c r="C134" s="9"/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47"/>
      <c r="P134" s="338"/>
      <c r="Q134" s="10"/>
      <c r="R134" s="63"/>
    </row>
    <row r="135" spans="1:18" x14ac:dyDescent="0.25">
      <c r="A135" s="3">
        <f t="shared" si="8"/>
        <v>134</v>
      </c>
      <c r="B135" s="4"/>
      <c r="C135" s="9"/>
      <c r="D135" s="359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47"/>
      <c r="P135" s="338"/>
      <c r="Q135" s="10"/>
      <c r="R135" s="63"/>
    </row>
    <row r="136" spans="1:18" x14ac:dyDescent="0.25">
      <c r="A136" s="3">
        <f t="shared" si="8"/>
        <v>135</v>
      </c>
      <c r="B136" s="4"/>
      <c r="C136" s="9"/>
      <c r="D136" s="359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47"/>
      <c r="P136" s="338"/>
      <c r="Q136" s="10"/>
      <c r="R136" s="64"/>
    </row>
    <row r="137" spans="1:18" x14ac:dyDescent="0.25">
      <c r="A137" s="3">
        <f t="shared" si="8"/>
        <v>136</v>
      </c>
      <c r="B137" s="4"/>
      <c r="C137" s="9"/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47"/>
      <c r="P137" s="338"/>
      <c r="Q137" s="10"/>
      <c r="R137" s="63"/>
    </row>
    <row r="138" spans="1:18" x14ac:dyDescent="0.25">
      <c r="A138" s="3">
        <f t="shared" si="8"/>
        <v>137</v>
      </c>
      <c r="B138" s="3"/>
      <c r="C138" s="9"/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47"/>
      <c r="P138" s="338"/>
      <c r="Q138" s="10"/>
      <c r="R138" s="63"/>
    </row>
    <row r="139" spans="1:18" x14ac:dyDescent="0.25">
      <c r="A139" s="3">
        <f t="shared" si="8"/>
        <v>138</v>
      </c>
      <c r="B139" s="4"/>
      <c r="C139" s="9"/>
      <c r="D139" s="359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47"/>
      <c r="P139" s="338"/>
      <c r="Q139" s="10"/>
      <c r="R139" s="63"/>
    </row>
    <row r="140" spans="1:18" x14ac:dyDescent="0.25">
      <c r="A140" s="3">
        <f t="shared" si="8"/>
        <v>139</v>
      </c>
      <c r="B140" s="4"/>
      <c r="C140" s="9"/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47"/>
      <c r="P140" s="338"/>
      <c r="Q140" s="10"/>
      <c r="R140" s="63"/>
    </row>
    <row r="141" spans="1:18" x14ac:dyDescent="0.25">
      <c r="A141" s="3">
        <f t="shared" si="8"/>
        <v>140</v>
      </c>
      <c r="B141" s="4"/>
      <c r="C141" s="9"/>
      <c r="D141" s="359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47"/>
      <c r="P141" s="338"/>
      <c r="Q141" s="10"/>
      <c r="R141" s="63"/>
    </row>
    <row r="142" spans="1:18" x14ac:dyDescent="0.25">
      <c r="A142" s="3">
        <f t="shared" si="8"/>
        <v>141</v>
      </c>
      <c r="B142" s="4"/>
      <c r="C142" s="9"/>
      <c r="D142" s="359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47"/>
      <c r="P142" s="338"/>
      <c r="Q142" s="10"/>
      <c r="R142" s="63"/>
    </row>
    <row r="143" spans="1:18" x14ac:dyDescent="0.25">
      <c r="A143" s="3">
        <f t="shared" si="8"/>
        <v>142</v>
      </c>
      <c r="B143" s="4"/>
      <c r="C143" s="9"/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47"/>
      <c r="P143" s="338"/>
      <c r="Q143" s="10"/>
      <c r="R143" s="63"/>
    </row>
    <row r="144" spans="1:18" x14ac:dyDescent="0.25">
      <c r="A144" s="3">
        <f t="shared" si="8"/>
        <v>143</v>
      </c>
      <c r="B144" s="4"/>
      <c r="C144" s="9"/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47"/>
      <c r="P144" s="338"/>
      <c r="Q144" s="10"/>
      <c r="R144" s="63"/>
    </row>
    <row r="145" spans="1:18" x14ac:dyDescent="0.25">
      <c r="A145" s="3">
        <f t="shared" si="8"/>
        <v>144</v>
      </c>
      <c r="B145" s="4"/>
      <c r="C145" s="9"/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47"/>
      <c r="P145" s="338"/>
      <c r="Q145" s="10"/>
      <c r="R145" s="63"/>
    </row>
    <row r="146" spans="1:18" x14ac:dyDescent="0.25">
      <c r="A146" s="3">
        <f t="shared" si="8"/>
        <v>145</v>
      </c>
      <c r="B146" s="4"/>
      <c r="C146" s="9"/>
      <c r="D146" s="359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47"/>
      <c r="P146" s="338"/>
      <c r="Q146" s="10"/>
      <c r="R146" s="64"/>
    </row>
    <row r="147" spans="1:18" x14ac:dyDescent="0.25">
      <c r="A147" s="3">
        <f t="shared" si="8"/>
        <v>146</v>
      </c>
      <c r="B147" s="4"/>
      <c r="C147" s="9"/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47"/>
      <c r="P147" s="338"/>
      <c r="Q147" s="10"/>
      <c r="R147" s="63"/>
    </row>
    <row r="148" spans="1:18" x14ac:dyDescent="0.25">
      <c r="A148" s="3">
        <f t="shared" si="8"/>
        <v>147</v>
      </c>
      <c r="B148" s="4"/>
      <c r="C148" s="9"/>
      <c r="D148" s="359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47"/>
      <c r="P148" s="338"/>
      <c r="Q148" s="10"/>
      <c r="R148" s="63"/>
    </row>
    <row r="149" spans="1:18" x14ac:dyDescent="0.25">
      <c r="A149" s="3">
        <f t="shared" si="8"/>
        <v>148</v>
      </c>
      <c r="B149" s="4"/>
      <c r="C149" s="9"/>
      <c r="D149" s="359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47"/>
      <c r="P149" s="338"/>
      <c r="Q149" s="10"/>
      <c r="R149" s="63"/>
    </row>
    <row r="150" spans="1:18" x14ac:dyDescent="0.25">
      <c r="A150" s="3">
        <f t="shared" si="8"/>
        <v>149</v>
      </c>
      <c r="B150" s="4"/>
      <c r="C150" s="9"/>
      <c r="D150" s="359"/>
      <c r="E150" s="478"/>
      <c r="F150" s="359"/>
      <c r="G150" s="478"/>
      <c r="H150" s="359"/>
      <c r="I150" s="478"/>
      <c r="J150" s="359"/>
      <c r="K150" s="478"/>
      <c r="L150" s="359"/>
      <c r="M150" s="478"/>
      <c r="N150" s="561"/>
      <c r="O150" s="47"/>
      <c r="P150" s="338"/>
      <c r="Q150" s="10"/>
      <c r="R150" s="63"/>
    </row>
    <row r="151" spans="1:18" x14ac:dyDescent="0.25">
      <c r="A151" s="3">
        <f t="shared" si="8"/>
        <v>150</v>
      </c>
      <c r="B151" s="4"/>
      <c r="C151" s="9"/>
      <c r="D151" s="359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47"/>
      <c r="P151" s="338"/>
      <c r="Q151" s="10"/>
      <c r="R151" s="63"/>
    </row>
    <row r="152" spans="1:18" x14ac:dyDescent="0.25">
      <c r="A152" s="3">
        <f t="shared" si="8"/>
        <v>151</v>
      </c>
      <c r="B152" s="4"/>
      <c r="C152" s="9"/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47"/>
      <c r="P152" s="338"/>
      <c r="Q152" s="10"/>
      <c r="R152" s="63"/>
    </row>
    <row r="153" spans="1:18" x14ac:dyDescent="0.25">
      <c r="A153" s="3">
        <f t="shared" si="8"/>
        <v>152</v>
      </c>
      <c r="B153" s="4"/>
      <c r="C153" s="9"/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47"/>
      <c r="P153" s="338"/>
      <c r="Q153" s="10"/>
      <c r="R153" s="63"/>
    </row>
    <row r="154" spans="1:18" x14ac:dyDescent="0.25">
      <c r="A154" s="3">
        <f t="shared" si="8"/>
        <v>153</v>
      </c>
      <c r="B154" s="4"/>
      <c r="C154" s="9"/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47"/>
      <c r="P154" s="338"/>
      <c r="Q154" s="10"/>
      <c r="R154" s="63"/>
    </row>
    <row r="155" spans="1:18" x14ac:dyDescent="0.25">
      <c r="A155" s="3">
        <f t="shared" si="8"/>
        <v>154</v>
      </c>
      <c r="B155" s="4"/>
      <c r="C155" s="9"/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47"/>
      <c r="P155" s="338"/>
      <c r="Q155" s="10"/>
      <c r="R155" s="63"/>
    </row>
    <row r="156" spans="1:18" x14ac:dyDescent="0.25">
      <c r="A156" s="3">
        <f t="shared" si="8"/>
        <v>155</v>
      </c>
      <c r="B156" s="4"/>
      <c r="C156" s="9"/>
      <c r="D156" s="359"/>
      <c r="E156" s="478"/>
      <c r="F156" s="359"/>
      <c r="G156" s="478"/>
      <c r="H156" s="359"/>
      <c r="I156" s="478"/>
      <c r="J156" s="359"/>
      <c r="K156" s="478"/>
      <c r="L156" s="359"/>
      <c r="M156" s="478"/>
      <c r="N156" s="561"/>
      <c r="O156" s="47"/>
      <c r="P156" s="338"/>
      <c r="Q156" s="10"/>
      <c r="R156" s="63"/>
    </row>
    <row r="157" spans="1:18" x14ac:dyDescent="0.25">
      <c r="A157" s="3">
        <f t="shared" si="8"/>
        <v>156</v>
      </c>
      <c r="B157" s="4"/>
      <c r="C157" s="9"/>
      <c r="D157" s="359"/>
      <c r="E157" s="478"/>
      <c r="F157" s="359"/>
      <c r="G157" s="478"/>
      <c r="H157" s="359"/>
      <c r="I157" s="478"/>
      <c r="J157" s="359"/>
      <c r="K157" s="478"/>
      <c r="L157" s="359"/>
      <c r="M157" s="478"/>
      <c r="N157" s="561"/>
      <c r="O157" s="47"/>
      <c r="P157" s="338"/>
      <c r="Q157" s="10"/>
      <c r="R157" s="63"/>
    </row>
    <row r="158" spans="1:18" x14ac:dyDescent="0.25">
      <c r="A158" s="3">
        <f t="shared" si="8"/>
        <v>157</v>
      </c>
      <c r="B158" s="4"/>
      <c r="C158" s="9"/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47"/>
      <c r="P158" s="338"/>
      <c r="Q158" s="10"/>
      <c r="R158" s="63"/>
    </row>
    <row r="159" spans="1:18" x14ac:dyDescent="0.25">
      <c r="A159" s="3">
        <f t="shared" si="8"/>
        <v>158</v>
      </c>
      <c r="B159" s="4"/>
      <c r="C159" s="9"/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47"/>
      <c r="P159" s="338"/>
      <c r="Q159" s="10"/>
      <c r="R159" s="63"/>
    </row>
    <row r="160" spans="1:18" x14ac:dyDescent="0.25">
      <c r="A160" s="3">
        <f t="shared" si="8"/>
        <v>159</v>
      </c>
      <c r="B160" s="4"/>
      <c r="C160" s="8"/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47"/>
      <c r="P160" s="338"/>
      <c r="Q160" s="10"/>
      <c r="R160" s="63"/>
    </row>
    <row r="161" spans="1:18" x14ac:dyDescent="0.25">
      <c r="A161" s="3">
        <f t="shared" si="8"/>
        <v>160</v>
      </c>
      <c r="B161" s="4"/>
      <c r="C161" s="9"/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47"/>
      <c r="P161" s="338"/>
      <c r="Q161" s="10"/>
      <c r="R161" s="63"/>
    </row>
    <row r="162" spans="1:18" x14ac:dyDescent="0.25">
      <c r="A162" s="3">
        <f t="shared" si="8"/>
        <v>161</v>
      </c>
      <c r="B162" s="4"/>
      <c r="C162" s="8"/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47"/>
      <c r="P162" s="338"/>
      <c r="Q162" s="10"/>
      <c r="R162" s="63"/>
    </row>
    <row r="163" spans="1:18" x14ac:dyDescent="0.25">
      <c r="A163" s="3">
        <f t="shared" si="8"/>
        <v>162</v>
      </c>
      <c r="B163" s="4"/>
      <c r="C163" s="9"/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47"/>
      <c r="P163" s="338"/>
      <c r="Q163" s="10"/>
      <c r="R163" s="63"/>
    </row>
    <row r="164" spans="1:18" x14ac:dyDescent="0.25">
      <c r="A164" s="3">
        <f t="shared" si="8"/>
        <v>163</v>
      </c>
      <c r="B164" s="4"/>
      <c r="C164" s="9"/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47"/>
      <c r="P164" s="338"/>
      <c r="Q164" s="10"/>
      <c r="R164" s="63"/>
    </row>
    <row r="165" spans="1:18" x14ac:dyDescent="0.25">
      <c r="A165" s="3">
        <f t="shared" si="8"/>
        <v>164</v>
      </c>
      <c r="B165" s="4"/>
      <c r="C165" s="9"/>
      <c r="D165" s="359"/>
      <c r="E165" s="478"/>
      <c r="F165" s="359"/>
      <c r="G165" s="478"/>
      <c r="H165" s="359"/>
      <c r="I165" s="478"/>
      <c r="J165" s="359"/>
      <c r="K165" s="478"/>
      <c r="L165" s="359"/>
      <c r="M165" s="478"/>
      <c r="N165" s="561"/>
      <c r="O165" s="47"/>
      <c r="P165" s="338"/>
      <c r="Q165" s="10"/>
      <c r="R165" s="63"/>
    </row>
    <row r="166" spans="1:18" x14ac:dyDescent="0.25">
      <c r="A166" s="3">
        <f t="shared" si="8"/>
        <v>165</v>
      </c>
      <c r="B166" s="4"/>
      <c r="C166" s="9"/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47"/>
      <c r="P166" s="338"/>
      <c r="Q166" s="10"/>
      <c r="R166" s="63"/>
    </row>
    <row r="167" spans="1:18" x14ac:dyDescent="0.25">
      <c r="A167" s="3">
        <f t="shared" si="8"/>
        <v>166</v>
      </c>
      <c r="B167" s="4"/>
      <c r="C167" s="9"/>
      <c r="D167" s="359"/>
      <c r="E167" s="478"/>
      <c r="F167" s="359"/>
      <c r="G167" s="478"/>
      <c r="H167" s="359"/>
      <c r="I167" s="478"/>
      <c r="J167" s="359"/>
      <c r="K167" s="478"/>
      <c r="L167" s="359"/>
      <c r="M167" s="478"/>
      <c r="N167" s="561"/>
      <c r="O167" s="47"/>
      <c r="P167" s="338"/>
      <c r="Q167" s="10"/>
      <c r="R167" s="63"/>
    </row>
    <row r="168" spans="1:18" x14ac:dyDescent="0.25">
      <c r="A168" s="3">
        <f t="shared" si="8"/>
        <v>167</v>
      </c>
      <c r="B168" s="4"/>
      <c r="C168" s="8"/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47"/>
      <c r="P168" s="338"/>
      <c r="Q168" s="10"/>
      <c r="R168" s="63"/>
    </row>
    <row r="169" spans="1:18" x14ac:dyDescent="0.25">
      <c r="A169" s="3">
        <f t="shared" si="8"/>
        <v>168</v>
      </c>
      <c r="B169" s="4"/>
      <c r="C169" s="9"/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47"/>
      <c r="P169" s="338"/>
      <c r="Q169" s="10"/>
      <c r="R169" s="63"/>
    </row>
    <row r="170" spans="1:18" x14ac:dyDescent="0.25">
      <c r="A170" s="3">
        <f t="shared" ref="A170:A226" si="9">A169+1</f>
        <v>169</v>
      </c>
      <c r="B170" s="4"/>
      <c r="C170" s="8"/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47"/>
      <c r="P170" s="338"/>
      <c r="Q170" s="10"/>
      <c r="R170" s="63"/>
    </row>
    <row r="171" spans="1:18" x14ac:dyDescent="0.25">
      <c r="A171" s="3">
        <f t="shared" si="9"/>
        <v>170</v>
      </c>
      <c r="B171" s="4"/>
      <c r="C171" s="9"/>
      <c r="D171" s="359"/>
      <c r="E171" s="478"/>
      <c r="F171" s="359"/>
      <c r="G171" s="478"/>
      <c r="H171" s="359"/>
      <c r="I171" s="478"/>
      <c r="J171" s="359"/>
      <c r="K171" s="478"/>
      <c r="L171" s="359"/>
      <c r="M171" s="478"/>
      <c r="N171" s="561"/>
      <c r="O171" s="47"/>
      <c r="P171" s="338"/>
      <c r="Q171" s="10"/>
      <c r="R171" s="63"/>
    </row>
    <row r="172" spans="1:18" x14ac:dyDescent="0.25">
      <c r="A172" s="3">
        <f t="shared" si="9"/>
        <v>171</v>
      </c>
      <c r="B172" s="4"/>
      <c r="C172" s="9"/>
      <c r="D172" s="359"/>
      <c r="E172" s="478"/>
      <c r="F172" s="359"/>
      <c r="G172" s="478"/>
      <c r="H172" s="359"/>
      <c r="I172" s="478"/>
      <c r="J172" s="359"/>
      <c r="K172" s="478"/>
      <c r="L172" s="359"/>
      <c r="M172" s="478"/>
      <c r="N172" s="561"/>
      <c r="O172" s="47"/>
      <c r="P172" s="338"/>
      <c r="Q172" s="10"/>
      <c r="R172" s="63"/>
    </row>
    <row r="173" spans="1:18" x14ac:dyDescent="0.25">
      <c r="A173" s="3">
        <f t="shared" si="9"/>
        <v>172</v>
      </c>
      <c r="B173" s="4"/>
      <c r="C173" s="9"/>
      <c r="D173" s="359"/>
      <c r="E173" s="478"/>
      <c r="F173" s="359"/>
      <c r="G173" s="478"/>
      <c r="H173" s="359"/>
      <c r="I173" s="478"/>
      <c r="J173" s="359"/>
      <c r="K173" s="478"/>
      <c r="L173" s="359"/>
      <c r="M173" s="478"/>
      <c r="N173" s="561"/>
      <c r="O173" s="47"/>
      <c r="P173" s="338"/>
      <c r="Q173" s="10"/>
      <c r="R173" s="63"/>
    </row>
    <row r="174" spans="1:18" x14ac:dyDescent="0.25">
      <c r="A174" s="3">
        <f t="shared" si="9"/>
        <v>173</v>
      </c>
      <c r="B174" s="3"/>
      <c r="C174" s="8"/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47"/>
      <c r="P174" s="338"/>
      <c r="Q174" s="10"/>
      <c r="R174" s="63"/>
    </row>
    <row r="175" spans="1:18" x14ac:dyDescent="0.25">
      <c r="A175" s="3">
        <f t="shared" si="9"/>
        <v>174</v>
      </c>
      <c r="B175" s="4"/>
      <c r="C175" s="9"/>
      <c r="D175" s="359"/>
      <c r="E175" s="478"/>
      <c r="F175" s="359"/>
      <c r="G175" s="478"/>
      <c r="H175" s="359"/>
      <c r="I175" s="478"/>
      <c r="J175" s="359"/>
      <c r="K175" s="478"/>
      <c r="L175" s="359"/>
      <c r="M175" s="478"/>
      <c r="N175" s="561"/>
      <c r="O175" s="47"/>
      <c r="P175" s="338"/>
      <c r="Q175" s="10"/>
      <c r="R175" s="63"/>
    </row>
    <row r="176" spans="1:18" x14ac:dyDescent="0.25">
      <c r="A176" s="3">
        <f t="shared" si="9"/>
        <v>175</v>
      </c>
      <c r="B176" s="4"/>
      <c r="C176" s="9"/>
      <c r="D176" s="359"/>
      <c r="E176" s="478"/>
      <c r="F176" s="359"/>
      <c r="G176" s="478"/>
      <c r="H176" s="359"/>
      <c r="I176" s="478"/>
      <c r="J176" s="359"/>
      <c r="K176" s="478"/>
      <c r="L176" s="359"/>
      <c r="M176" s="478"/>
      <c r="N176" s="561"/>
      <c r="O176" s="47"/>
      <c r="P176" s="338"/>
      <c r="Q176" s="10"/>
      <c r="R176" s="63"/>
    </row>
    <row r="177" spans="1:18" x14ac:dyDescent="0.25">
      <c r="A177" s="3">
        <f t="shared" si="9"/>
        <v>176</v>
      </c>
      <c r="B177" s="4"/>
      <c r="C177" s="9"/>
      <c r="D177" s="359"/>
      <c r="E177" s="478"/>
      <c r="F177" s="359"/>
      <c r="G177" s="478"/>
      <c r="H177" s="359"/>
      <c r="I177" s="478"/>
      <c r="J177" s="359"/>
      <c r="K177" s="478"/>
      <c r="L177" s="359"/>
      <c r="M177" s="478"/>
      <c r="N177" s="561"/>
      <c r="O177" s="47"/>
      <c r="P177" s="338"/>
      <c r="Q177" s="10"/>
      <c r="R177" s="64"/>
    </row>
    <row r="178" spans="1:18" x14ac:dyDescent="0.25">
      <c r="A178" s="3">
        <f t="shared" si="9"/>
        <v>177</v>
      </c>
      <c r="B178" s="4"/>
      <c r="C178" s="9"/>
      <c r="D178" s="359"/>
      <c r="E178" s="478"/>
      <c r="F178" s="359"/>
      <c r="G178" s="478"/>
      <c r="H178" s="359"/>
      <c r="I178" s="478"/>
      <c r="J178" s="359"/>
      <c r="K178" s="478"/>
      <c r="L178" s="359"/>
      <c r="M178" s="478"/>
      <c r="N178" s="561"/>
      <c r="O178" s="47"/>
      <c r="P178" s="338"/>
      <c r="Q178" s="10"/>
      <c r="R178" s="63"/>
    </row>
    <row r="179" spans="1:18" x14ac:dyDescent="0.25">
      <c r="A179" s="3">
        <f t="shared" si="9"/>
        <v>178</v>
      </c>
      <c r="B179" s="4"/>
      <c r="C179" s="8"/>
      <c r="D179" s="359"/>
      <c r="E179" s="478"/>
      <c r="F179" s="359"/>
      <c r="G179" s="478"/>
      <c r="H179" s="359"/>
      <c r="I179" s="478"/>
      <c r="J179" s="359"/>
      <c r="K179" s="478"/>
      <c r="L179" s="359"/>
      <c r="M179" s="478"/>
      <c r="N179" s="561"/>
      <c r="O179" s="47"/>
      <c r="P179" s="338"/>
      <c r="Q179" s="10"/>
      <c r="R179" s="63"/>
    </row>
    <row r="180" spans="1:18" x14ac:dyDescent="0.25">
      <c r="A180" s="3">
        <f t="shared" si="9"/>
        <v>179</v>
      </c>
      <c r="B180" s="4"/>
      <c r="C180" s="9"/>
      <c r="D180" s="359"/>
      <c r="E180" s="478"/>
      <c r="F180" s="359"/>
      <c r="G180" s="478"/>
      <c r="H180" s="359"/>
      <c r="I180" s="478"/>
      <c r="J180" s="359"/>
      <c r="K180" s="478"/>
      <c r="L180" s="359"/>
      <c r="M180" s="478"/>
      <c r="N180" s="561"/>
      <c r="O180" s="47"/>
      <c r="P180" s="338"/>
      <c r="Q180" s="10"/>
      <c r="R180" s="63"/>
    </row>
    <row r="181" spans="1:18" x14ac:dyDescent="0.25">
      <c r="A181" s="3">
        <f t="shared" si="9"/>
        <v>180</v>
      </c>
      <c r="B181" s="4"/>
      <c r="C181" s="9"/>
      <c r="D181" s="359"/>
      <c r="E181" s="478"/>
      <c r="F181" s="359"/>
      <c r="G181" s="478"/>
      <c r="H181" s="359"/>
      <c r="I181" s="478"/>
      <c r="J181" s="359"/>
      <c r="K181" s="478"/>
      <c r="L181" s="359"/>
      <c r="M181" s="478"/>
      <c r="N181" s="561"/>
      <c r="O181" s="47"/>
      <c r="P181" s="338"/>
      <c r="Q181" s="10"/>
      <c r="R181" s="63"/>
    </row>
    <row r="182" spans="1:18" x14ac:dyDescent="0.25">
      <c r="A182" s="3">
        <f t="shared" si="9"/>
        <v>181</v>
      </c>
      <c r="B182" s="4"/>
      <c r="C182" s="8"/>
      <c r="D182" s="359"/>
      <c r="E182" s="478"/>
      <c r="F182" s="359"/>
      <c r="G182" s="478"/>
      <c r="H182" s="359"/>
      <c r="I182" s="478"/>
      <c r="J182" s="359"/>
      <c r="K182" s="478"/>
      <c r="L182" s="359"/>
      <c r="M182" s="478"/>
      <c r="N182" s="561"/>
      <c r="O182" s="47"/>
      <c r="P182" s="338"/>
      <c r="Q182" s="10"/>
      <c r="R182" s="63"/>
    </row>
    <row r="183" spans="1:18" x14ac:dyDescent="0.25">
      <c r="A183" s="3">
        <f t="shared" si="9"/>
        <v>182</v>
      </c>
      <c r="B183" s="4"/>
      <c r="C183" s="8"/>
      <c r="D183" s="359"/>
      <c r="E183" s="478"/>
      <c r="F183" s="359"/>
      <c r="G183" s="478"/>
      <c r="H183" s="359"/>
      <c r="I183" s="478"/>
      <c r="J183" s="359"/>
      <c r="K183" s="478"/>
      <c r="L183" s="359"/>
      <c r="M183" s="478"/>
      <c r="N183" s="561"/>
      <c r="O183" s="47"/>
      <c r="P183" s="338"/>
      <c r="Q183" s="10"/>
      <c r="R183" s="63"/>
    </row>
    <row r="184" spans="1:18" x14ac:dyDescent="0.25">
      <c r="A184" s="3">
        <f t="shared" si="9"/>
        <v>183</v>
      </c>
      <c r="B184" s="4"/>
      <c r="C184" s="9"/>
      <c r="D184" s="359"/>
      <c r="E184" s="478"/>
      <c r="F184" s="359"/>
      <c r="G184" s="478"/>
      <c r="H184" s="359"/>
      <c r="I184" s="478"/>
      <c r="J184" s="359"/>
      <c r="K184" s="478"/>
      <c r="L184" s="359"/>
      <c r="M184" s="478"/>
      <c r="N184" s="561"/>
      <c r="O184" s="47"/>
      <c r="P184" s="338"/>
      <c r="Q184" s="10"/>
      <c r="R184" s="63"/>
    </row>
    <row r="185" spans="1:18" x14ac:dyDescent="0.25">
      <c r="A185" s="3">
        <f t="shared" si="9"/>
        <v>184</v>
      </c>
      <c r="B185" s="4"/>
      <c r="C185" s="8"/>
      <c r="D185" s="359"/>
      <c r="E185" s="478"/>
      <c r="F185" s="359"/>
      <c r="G185" s="478"/>
      <c r="H185" s="359"/>
      <c r="I185" s="478"/>
      <c r="J185" s="359"/>
      <c r="K185" s="478"/>
      <c r="L185" s="359"/>
      <c r="M185" s="478"/>
      <c r="N185" s="561"/>
      <c r="O185" s="47"/>
      <c r="P185" s="338"/>
      <c r="Q185" s="10"/>
      <c r="R185" s="63"/>
    </row>
    <row r="186" spans="1:18" x14ac:dyDescent="0.25">
      <c r="A186" s="3">
        <f t="shared" si="9"/>
        <v>185</v>
      </c>
      <c r="B186" s="4"/>
      <c r="C186" s="9"/>
      <c r="D186" s="359"/>
      <c r="E186" s="478"/>
      <c r="F186" s="359"/>
      <c r="G186" s="478"/>
      <c r="H186" s="359"/>
      <c r="I186" s="478"/>
      <c r="J186" s="359"/>
      <c r="K186" s="478"/>
      <c r="L186" s="359"/>
      <c r="M186" s="478"/>
      <c r="N186" s="561"/>
      <c r="O186" s="47"/>
      <c r="P186" s="338"/>
      <c r="Q186" s="10"/>
      <c r="R186" s="63"/>
    </row>
    <row r="187" spans="1:18" x14ac:dyDescent="0.25">
      <c r="A187" s="3">
        <f t="shared" si="9"/>
        <v>186</v>
      </c>
      <c r="B187" s="4"/>
      <c r="C187" s="9"/>
      <c r="D187" s="359"/>
      <c r="E187" s="478"/>
      <c r="F187" s="359"/>
      <c r="G187" s="478"/>
      <c r="H187" s="359"/>
      <c r="I187" s="478"/>
      <c r="J187" s="359"/>
      <c r="K187" s="478"/>
      <c r="L187" s="359"/>
      <c r="M187" s="478"/>
      <c r="N187" s="561"/>
      <c r="O187" s="47"/>
      <c r="P187" s="338"/>
      <c r="Q187" s="10"/>
      <c r="R187" s="63"/>
    </row>
    <row r="188" spans="1:18" x14ac:dyDescent="0.25">
      <c r="A188" s="3">
        <f t="shared" si="9"/>
        <v>187</v>
      </c>
      <c r="B188" s="4"/>
      <c r="C188" s="9"/>
      <c r="D188" s="359"/>
      <c r="E188" s="478"/>
      <c r="F188" s="359"/>
      <c r="G188" s="478"/>
      <c r="H188" s="359"/>
      <c r="I188" s="478"/>
      <c r="J188" s="359"/>
      <c r="K188" s="478"/>
      <c r="L188" s="359"/>
      <c r="M188" s="478"/>
      <c r="N188" s="561"/>
      <c r="O188" s="47"/>
      <c r="P188" s="338"/>
      <c r="Q188" s="10"/>
      <c r="R188" s="63"/>
    </row>
    <row r="189" spans="1:18" x14ac:dyDescent="0.25">
      <c r="A189" s="3">
        <f t="shared" si="9"/>
        <v>188</v>
      </c>
      <c r="B189" s="4"/>
      <c r="C189" s="9"/>
      <c r="D189" s="359"/>
      <c r="E189" s="478"/>
      <c r="F189" s="359"/>
      <c r="G189" s="478"/>
      <c r="H189" s="359"/>
      <c r="I189" s="478"/>
      <c r="J189" s="359"/>
      <c r="K189" s="478"/>
      <c r="L189" s="359"/>
      <c r="M189" s="478"/>
      <c r="N189" s="561"/>
      <c r="O189" s="47"/>
      <c r="P189" s="338"/>
      <c r="Q189" s="10"/>
      <c r="R189" s="63"/>
    </row>
    <row r="190" spans="1:18" x14ac:dyDescent="0.25">
      <c r="A190" s="3">
        <f t="shared" si="9"/>
        <v>189</v>
      </c>
      <c r="B190" s="4"/>
      <c r="C190" s="9"/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47"/>
      <c r="P190" s="338"/>
      <c r="Q190" s="10"/>
      <c r="R190" s="63"/>
    </row>
    <row r="191" spans="1:18" x14ac:dyDescent="0.25">
      <c r="A191" s="3">
        <f t="shared" si="9"/>
        <v>190</v>
      </c>
      <c r="B191" s="4"/>
      <c r="C191" s="8"/>
      <c r="D191" s="359"/>
      <c r="E191" s="478"/>
      <c r="F191" s="359"/>
      <c r="G191" s="478"/>
      <c r="H191" s="359"/>
      <c r="I191" s="478"/>
      <c r="J191" s="359"/>
      <c r="K191" s="478"/>
      <c r="L191" s="359"/>
      <c r="M191" s="478"/>
      <c r="N191" s="561"/>
      <c r="O191" s="47"/>
      <c r="P191" s="338"/>
      <c r="Q191" s="10"/>
      <c r="R191" s="63"/>
    </row>
    <row r="192" spans="1:18" x14ac:dyDescent="0.25">
      <c r="A192" s="3">
        <f t="shared" si="9"/>
        <v>191</v>
      </c>
      <c r="B192" s="4"/>
      <c r="C192" s="9"/>
      <c r="D192" s="359"/>
      <c r="E192" s="478"/>
      <c r="F192" s="359"/>
      <c r="G192" s="478"/>
      <c r="H192" s="359"/>
      <c r="I192" s="478"/>
      <c r="J192" s="359"/>
      <c r="K192" s="478"/>
      <c r="L192" s="359"/>
      <c r="M192" s="478"/>
      <c r="N192" s="561"/>
      <c r="O192" s="47"/>
      <c r="P192" s="338"/>
      <c r="Q192" s="10"/>
      <c r="R192" s="63"/>
    </row>
    <row r="193" spans="1:18" x14ac:dyDescent="0.25">
      <c r="A193" s="3">
        <f t="shared" si="9"/>
        <v>192</v>
      </c>
      <c r="B193" s="4"/>
      <c r="C193" s="9"/>
      <c r="D193" s="359"/>
      <c r="E193" s="478"/>
      <c r="F193" s="359"/>
      <c r="G193" s="478"/>
      <c r="H193" s="359"/>
      <c r="I193" s="478"/>
      <c r="J193" s="359"/>
      <c r="K193" s="478"/>
      <c r="L193" s="359"/>
      <c r="M193" s="478"/>
      <c r="N193" s="561"/>
      <c r="O193" s="47"/>
      <c r="P193" s="338"/>
      <c r="Q193" s="10"/>
      <c r="R193" s="63"/>
    </row>
    <row r="194" spans="1:18" x14ac:dyDescent="0.25">
      <c r="A194" s="3">
        <f t="shared" si="9"/>
        <v>193</v>
      </c>
      <c r="B194" s="4"/>
      <c r="C194" s="9"/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47"/>
      <c r="P194" s="338"/>
      <c r="Q194" s="10"/>
      <c r="R194" s="63"/>
    </row>
    <row r="195" spans="1:18" x14ac:dyDescent="0.25">
      <c r="A195" s="3">
        <f t="shared" si="9"/>
        <v>194</v>
      </c>
      <c r="B195" s="3"/>
      <c r="C195" s="8"/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47"/>
      <c r="P195" s="338"/>
      <c r="Q195" s="10"/>
      <c r="R195" s="63"/>
    </row>
    <row r="196" spans="1:18" x14ac:dyDescent="0.25">
      <c r="A196" s="3">
        <f t="shared" si="9"/>
        <v>195</v>
      </c>
      <c r="B196" s="4"/>
      <c r="C196" s="9"/>
      <c r="D196" s="359"/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47"/>
      <c r="P196" s="338"/>
      <c r="Q196" s="10"/>
      <c r="R196" s="63"/>
    </row>
    <row r="197" spans="1:18" x14ac:dyDescent="0.25">
      <c r="A197" s="3">
        <f t="shared" si="9"/>
        <v>196</v>
      </c>
      <c r="B197" s="4"/>
      <c r="C197" s="9"/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47"/>
      <c r="P197" s="338"/>
      <c r="Q197" s="10"/>
      <c r="R197" s="63"/>
    </row>
    <row r="198" spans="1:18" x14ac:dyDescent="0.25">
      <c r="A198" s="3">
        <f t="shared" si="9"/>
        <v>197</v>
      </c>
      <c r="B198" s="4"/>
      <c r="C198" s="9"/>
      <c r="D198" s="359"/>
      <c r="E198" s="478"/>
      <c r="F198" s="359"/>
      <c r="G198" s="478"/>
      <c r="H198" s="359"/>
      <c r="I198" s="478"/>
      <c r="J198" s="359"/>
      <c r="K198" s="478"/>
      <c r="L198" s="359"/>
      <c r="M198" s="478"/>
      <c r="N198" s="561"/>
      <c r="O198" s="47"/>
      <c r="P198" s="338"/>
      <c r="Q198" s="10"/>
      <c r="R198" s="63"/>
    </row>
    <row r="199" spans="1:18" x14ac:dyDescent="0.25">
      <c r="A199" s="3">
        <f t="shared" si="9"/>
        <v>198</v>
      </c>
      <c r="B199" s="4"/>
      <c r="C199" s="9"/>
      <c r="D199" s="359"/>
      <c r="E199" s="478"/>
      <c r="F199" s="359"/>
      <c r="G199" s="478"/>
      <c r="H199" s="359"/>
      <c r="I199" s="478"/>
      <c r="J199" s="359"/>
      <c r="K199" s="478"/>
      <c r="L199" s="359"/>
      <c r="M199" s="478"/>
      <c r="N199" s="561"/>
      <c r="O199" s="47"/>
      <c r="P199" s="338"/>
      <c r="Q199" s="10"/>
      <c r="R199" s="63"/>
    </row>
    <row r="200" spans="1:18" x14ac:dyDescent="0.25">
      <c r="A200" s="3">
        <f t="shared" si="9"/>
        <v>199</v>
      </c>
      <c r="B200" s="4"/>
      <c r="C200" s="9"/>
      <c r="D200" s="359"/>
      <c r="E200" s="478"/>
      <c r="F200" s="359"/>
      <c r="G200" s="478"/>
      <c r="H200" s="359"/>
      <c r="I200" s="478"/>
      <c r="J200" s="359"/>
      <c r="K200" s="478"/>
      <c r="L200" s="359"/>
      <c r="M200" s="478"/>
      <c r="N200" s="561"/>
      <c r="O200" s="47"/>
      <c r="P200" s="338"/>
      <c r="Q200" s="10"/>
      <c r="R200" s="63"/>
    </row>
    <row r="201" spans="1:18" x14ac:dyDescent="0.25">
      <c r="A201" s="3">
        <f t="shared" si="9"/>
        <v>200</v>
      </c>
      <c r="B201" s="4"/>
      <c r="C201" s="9"/>
      <c r="D201" s="359"/>
      <c r="E201" s="478"/>
      <c r="F201" s="359"/>
      <c r="G201" s="478"/>
      <c r="H201" s="359"/>
      <c r="I201" s="478"/>
      <c r="J201" s="359"/>
      <c r="K201" s="478"/>
      <c r="L201" s="359"/>
      <c r="M201" s="478"/>
      <c r="N201" s="561"/>
      <c r="O201" s="47"/>
      <c r="P201" s="338"/>
      <c r="Q201" s="10"/>
      <c r="R201" s="63"/>
    </row>
    <row r="202" spans="1:18" x14ac:dyDescent="0.25">
      <c r="A202" s="3">
        <f t="shared" si="9"/>
        <v>201</v>
      </c>
      <c r="B202" s="4"/>
      <c r="C202" s="9"/>
      <c r="D202" s="359"/>
      <c r="E202" s="478"/>
      <c r="F202" s="359"/>
      <c r="G202" s="478"/>
      <c r="H202" s="359"/>
      <c r="I202" s="478"/>
      <c r="J202" s="359"/>
      <c r="K202" s="478"/>
      <c r="L202" s="359"/>
      <c r="M202" s="478"/>
      <c r="N202" s="561"/>
      <c r="O202" s="47"/>
      <c r="P202" s="338"/>
      <c r="Q202" s="10"/>
      <c r="R202" s="63"/>
    </row>
    <row r="203" spans="1:18" x14ac:dyDescent="0.25">
      <c r="A203" s="3">
        <f t="shared" si="9"/>
        <v>202</v>
      </c>
      <c r="B203" s="4"/>
      <c r="C203" s="8"/>
      <c r="D203" s="359"/>
      <c r="E203" s="478"/>
      <c r="F203" s="359"/>
      <c r="G203" s="478"/>
      <c r="H203" s="359"/>
      <c r="I203" s="478"/>
      <c r="J203" s="359"/>
      <c r="K203" s="478"/>
      <c r="L203" s="359"/>
      <c r="M203" s="478"/>
      <c r="N203" s="561"/>
      <c r="O203" s="47"/>
      <c r="P203" s="338"/>
      <c r="Q203" s="10"/>
      <c r="R203" s="63"/>
    </row>
    <row r="204" spans="1:18" x14ac:dyDescent="0.25">
      <c r="A204" s="3">
        <f t="shared" si="9"/>
        <v>203</v>
      </c>
      <c r="B204" s="4"/>
      <c r="C204" s="9"/>
      <c r="D204" s="359"/>
      <c r="E204" s="478"/>
      <c r="F204" s="359"/>
      <c r="G204" s="478"/>
      <c r="H204" s="359"/>
      <c r="I204" s="478"/>
      <c r="J204" s="359"/>
      <c r="K204" s="478"/>
      <c r="L204" s="359"/>
      <c r="M204" s="478"/>
      <c r="N204" s="561"/>
      <c r="O204" s="47"/>
      <c r="P204" s="338"/>
      <c r="Q204" s="10"/>
      <c r="R204" s="63"/>
    </row>
    <row r="205" spans="1:18" x14ac:dyDescent="0.25">
      <c r="A205" s="3">
        <f t="shared" si="9"/>
        <v>204</v>
      </c>
      <c r="B205" s="4"/>
      <c r="C205" s="9"/>
      <c r="D205" s="359"/>
      <c r="E205" s="478"/>
      <c r="F205" s="359"/>
      <c r="G205" s="478"/>
      <c r="H205" s="359"/>
      <c r="I205" s="478"/>
      <c r="J205" s="359"/>
      <c r="K205" s="478"/>
      <c r="L205" s="359"/>
      <c r="M205" s="478"/>
      <c r="N205" s="561"/>
      <c r="O205" s="47"/>
      <c r="P205" s="338"/>
      <c r="Q205" s="10"/>
      <c r="R205" s="64"/>
    </row>
    <row r="206" spans="1:18" x14ac:dyDescent="0.25">
      <c r="A206" s="3">
        <f t="shared" si="9"/>
        <v>205</v>
      </c>
      <c r="B206" s="4"/>
      <c r="C206" s="9"/>
      <c r="D206" s="359"/>
      <c r="E206" s="478"/>
      <c r="F206" s="359"/>
      <c r="G206" s="478"/>
      <c r="H206" s="359"/>
      <c r="I206" s="478"/>
      <c r="J206" s="359"/>
      <c r="K206" s="478"/>
      <c r="L206" s="359"/>
      <c r="M206" s="478"/>
      <c r="N206" s="561"/>
      <c r="O206" s="47"/>
      <c r="P206" s="338"/>
      <c r="Q206" s="10"/>
      <c r="R206" s="63"/>
    </row>
    <row r="207" spans="1:18" x14ac:dyDescent="0.25">
      <c r="A207" s="3">
        <f t="shared" si="9"/>
        <v>206</v>
      </c>
      <c r="B207" s="4"/>
      <c r="C207" s="9"/>
      <c r="D207" s="359"/>
      <c r="E207" s="478"/>
      <c r="F207" s="359"/>
      <c r="G207" s="478"/>
      <c r="H207" s="359"/>
      <c r="I207" s="478"/>
      <c r="J207" s="359"/>
      <c r="K207" s="478"/>
      <c r="L207" s="359"/>
      <c r="M207" s="478"/>
      <c r="N207" s="561"/>
      <c r="O207" s="47"/>
      <c r="P207" s="338"/>
      <c r="Q207" s="10"/>
      <c r="R207" s="63"/>
    </row>
    <row r="208" spans="1:18" x14ac:dyDescent="0.25">
      <c r="A208" s="3">
        <f t="shared" si="9"/>
        <v>207</v>
      </c>
      <c r="B208" s="4"/>
      <c r="C208" s="8"/>
      <c r="D208" s="359"/>
      <c r="E208" s="478"/>
      <c r="F208" s="359"/>
      <c r="G208" s="478"/>
      <c r="H208" s="359"/>
      <c r="I208" s="478"/>
      <c r="J208" s="359"/>
      <c r="K208" s="478"/>
      <c r="L208" s="359"/>
      <c r="M208" s="478"/>
      <c r="N208" s="561"/>
      <c r="O208" s="47"/>
      <c r="P208" s="338"/>
      <c r="Q208" s="10"/>
      <c r="R208" s="63"/>
    </row>
    <row r="209" spans="1:18" x14ac:dyDescent="0.25">
      <c r="A209" s="3">
        <f t="shared" si="9"/>
        <v>208</v>
      </c>
      <c r="B209" s="4"/>
      <c r="C209" s="9"/>
      <c r="D209" s="359"/>
      <c r="E209" s="478"/>
      <c r="F209" s="359"/>
      <c r="G209" s="478"/>
      <c r="H209" s="359"/>
      <c r="I209" s="478"/>
      <c r="J209" s="359"/>
      <c r="K209" s="478"/>
      <c r="L209" s="359"/>
      <c r="M209" s="478"/>
      <c r="N209" s="561"/>
      <c r="O209" s="47"/>
      <c r="P209" s="338"/>
      <c r="Q209" s="10"/>
      <c r="R209" s="63"/>
    </row>
    <row r="210" spans="1:18" x14ac:dyDescent="0.25">
      <c r="A210" s="3">
        <f t="shared" si="9"/>
        <v>209</v>
      </c>
      <c r="B210" s="4"/>
      <c r="C210" s="9"/>
      <c r="D210" s="359"/>
      <c r="E210" s="478"/>
      <c r="F210" s="359"/>
      <c r="G210" s="478"/>
      <c r="H210" s="359"/>
      <c r="I210" s="478"/>
      <c r="J210" s="359"/>
      <c r="K210" s="478"/>
      <c r="L210" s="359"/>
      <c r="M210" s="478"/>
      <c r="N210" s="561"/>
      <c r="O210" s="47"/>
      <c r="P210" s="338"/>
      <c r="Q210" s="10"/>
      <c r="R210" s="63"/>
    </row>
    <row r="211" spans="1:18" x14ac:dyDescent="0.25">
      <c r="A211" s="3">
        <f t="shared" si="9"/>
        <v>210</v>
      </c>
      <c r="B211" s="4"/>
      <c r="C211" s="9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47"/>
      <c r="P211" s="338"/>
      <c r="Q211" s="10"/>
      <c r="R211" s="63"/>
    </row>
    <row r="212" spans="1:18" x14ac:dyDescent="0.25">
      <c r="A212" s="3">
        <f t="shared" si="9"/>
        <v>211</v>
      </c>
      <c r="B212" s="4"/>
      <c r="C212" s="9"/>
      <c r="D212" s="359"/>
      <c r="E212" s="478"/>
      <c r="F212" s="359"/>
      <c r="G212" s="478"/>
      <c r="H212" s="359"/>
      <c r="I212" s="478"/>
      <c r="J212" s="359"/>
      <c r="K212" s="478"/>
      <c r="L212" s="359"/>
      <c r="M212" s="478"/>
      <c r="N212" s="561"/>
      <c r="O212" s="47"/>
      <c r="P212" s="338"/>
      <c r="Q212" s="10"/>
      <c r="R212" s="63"/>
    </row>
    <row r="213" spans="1:18" x14ac:dyDescent="0.25">
      <c r="A213" s="3">
        <f t="shared" si="9"/>
        <v>212</v>
      </c>
      <c r="B213" s="4"/>
      <c r="C213" s="9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47"/>
      <c r="P213" s="338"/>
      <c r="Q213" s="10"/>
      <c r="R213" s="63"/>
    </row>
    <row r="214" spans="1:18" x14ac:dyDescent="0.25">
      <c r="A214" s="3">
        <f t="shared" si="9"/>
        <v>213</v>
      </c>
      <c r="B214" s="4"/>
      <c r="C214" s="9"/>
      <c r="D214" s="359"/>
      <c r="E214" s="478"/>
      <c r="F214" s="359"/>
      <c r="G214" s="478"/>
      <c r="H214" s="359"/>
      <c r="I214" s="478"/>
      <c r="J214" s="359"/>
      <c r="K214" s="478"/>
      <c r="L214" s="359"/>
      <c r="M214" s="478"/>
      <c r="N214" s="561"/>
      <c r="O214" s="47"/>
      <c r="P214" s="338"/>
      <c r="Q214" s="10"/>
      <c r="R214" s="63"/>
    </row>
    <row r="215" spans="1:18" x14ac:dyDescent="0.25">
      <c r="A215" s="3">
        <f t="shared" si="9"/>
        <v>214</v>
      </c>
      <c r="B215" s="4"/>
      <c r="C215" s="8"/>
      <c r="D215" s="359"/>
      <c r="E215" s="478"/>
      <c r="F215" s="359"/>
      <c r="G215" s="478"/>
      <c r="H215" s="359"/>
      <c r="I215" s="478"/>
      <c r="J215" s="359"/>
      <c r="K215" s="478"/>
      <c r="L215" s="359"/>
      <c r="M215" s="478"/>
      <c r="N215" s="561"/>
      <c r="O215" s="47"/>
      <c r="P215" s="338"/>
      <c r="Q215" s="10"/>
      <c r="R215" s="63"/>
    </row>
    <row r="216" spans="1:18" x14ac:dyDescent="0.25">
      <c r="A216" s="3">
        <f t="shared" si="9"/>
        <v>215</v>
      </c>
      <c r="B216" s="4"/>
      <c r="C216" s="9"/>
      <c r="D216" s="359"/>
      <c r="E216" s="478"/>
      <c r="F216" s="359"/>
      <c r="G216" s="478"/>
      <c r="H216" s="359"/>
      <c r="I216" s="478"/>
      <c r="J216" s="359"/>
      <c r="K216" s="478"/>
      <c r="L216" s="359"/>
      <c r="M216" s="478"/>
      <c r="N216" s="561"/>
      <c r="O216" s="47"/>
      <c r="P216" s="338"/>
      <c r="Q216" s="10"/>
      <c r="R216" s="63"/>
    </row>
    <row r="217" spans="1:18" x14ac:dyDescent="0.25">
      <c r="A217" s="3">
        <f t="shared" si="9"/>
        <v>216</v>
      </c>
      <c r="B217" s="4"/>
      <c r="C217" s="9"/>
      <c r="D217" s="359"/>
      <c r="E217" s="478"/>
      <c r="F217" s="359"/>
      <c r="G217" s="478"/>
      <c r="H217" s="359"/>
      <c r="I217" s="478"/>
      <c r="J217" s="359"/>
      <c r="K217" s="478"/>
      <c r="L217" s="359"/>
      <c r="M217" s="478"/>
      <c r="N217" s="561"/>
      <c r="O217" s="47"/>
      <c r="P217" s="338"/>
      <c r="Q217" s="10"/>
      <c r="R217" s="63"/>
    </row>
    <row r="218" spans="1:18" x14ac:dyDescent="0.25">
      <c r="A218" s="3">
        <f t="shared" si="9"/>
        <v>217</v>
      </c>
      <c r="B218" s="4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47"/>
      <c r="P218" s="338"/>
      <c r="Q218" s="10"/>
      <c r="R218" s="63"/>
    </row>
    <row r="219" spans="1:18" x14ac:dyDescent="0.25">
      <c r="A219" s="3">
        <f t="shared" si="9"/>
        <v>218</v>
      </c>
      <c r="B219" s="4"/>
      <c r="C219" s="9"/>
      <c r="D219" s="359"/>
      <c r="E219" s="478"/>
      <c r="F219" s="359"/>
      <c r="G219" s="478"/>
      <c r="H219" s="359"/>
      <c r="I219" s="478"/>
      <c r="J219" s="359"/>
      <c r="K219" s="478"/>
      <c r="L219" s="359"/>
      <c r="M219" s="478"/>
      <c r="N219" s="561"/>
      <c r="O219" s="47"/>
      <c r="P219" s="338"/>
      <c r="Q219" s="10"/>
      <c r="R219" s="63"/>
    </row>
    <row r="220" spans="1:18" x14ac:dyDescent="0.25">
      <c r="A220" s="3">
        <f t="shared" si="9"/>
        <v>219</v>
      </c>
      <c r="B220" s="4"/>
      <c r="C220" s="9"/>
      <c r="D220" s="359"/>
      <c r="E220" s="478"/>
      <c r="F220" s="359"/>
      <c r="G220" s="478"/>
      <c r="H220" s="359"/>
      <c r="I220" s="478"/>
      <c r="J220" s="359"/>
      <c r="K220" s="478"/>
      <c r="L220" s="359"/>
      <c r="M220" s="478"/>
      <c r="N220" s="561"/>
      <c r="O220" s="47"/>
      <c r="P220" s="338"/>
      <c r="Q220" s="10"/>
      <c r="R220" s="63"/>
    </row>
    <row r="221" spans="1:18" x14ac:dyDescent="0.25">
      <c r="A221" s="3">
        <f t="shared" si="9"/>
        <v>220</v>
      </c>
      <c r="B221" s="4"/>
      <c r="C221" s="9"/>
      <c r="D221" s="359"/>
      <c r="E221" s="478"/>
      <c r="F221" s="359"/>
      <c r="G221" s="478"/>
      <c r="H221" s="359"/>
      <c r="I221" s="478"/>
      <c r="J221" s="359"/>
      <c r="K221" s="478"/>
      <c r="L221" s="359"/>
      <c r="M221" s="478"/>
      <c r="N221" s="561"/>
      <c r="O221" s="47"/>
      <c r="P221" s="338"/>
      <c r="Q221" s="10"/>
      <c r="R221" s="63"/>
    </row>
    <row r="222" spans="1:18" x14ac:dyDescent="0.25">
      <c r="A222" s="3">
        <f t="shared" si="9"/>
        <v>221</v>
      </c>
      <c r="B222" s="4"/>
      <c r="C222" s="9"/>
      <c r="D222" s="359"/>
      <c r="E222" s="478"/>
      <c r="F222" s="359"/>
      <c r="G222" s="478"/>
      <c r="H222" s="359"/>
      <c r="I222" s="478"/>
      <c r="J222" s="359"/>
      <c r="K222" s="478"/>
      <c r="L222" s="359"/>
      <c r="M222" s="478"/>
      <c r="N222" s="561"/>
      <c r="O222" s="47"/>
      <c r="P222" s="338"/>
      <c r="Q222" s="10"/>
      <c r="R222" s="63"/>
    </row>
    <row r="223" spans="1:18" x14ac:dyDescent="0.25">
      <c r="A223" s="3">
        <f t="shared" si="9"/>
        <v>222</v>
      </c>
      <c r="B223" s="4"/>
      <c r="C223" s="9"/>
      <c r="D223" s="359"/>
      <c r="E223" s="478"/>
      <c r="F223" s="359"/>
      <c r="G223" s="478"/>
      <c r="H223" s="359"/>
      <c r="I223" s="478"/>
      <c r="J223" s="359"/>
      <c r="K223" s="478"/>
      <c r="L223" s="359"/>
      <c r="M223" s="478"/>
      <c r="N223" s="561"/>
      <c r="O223" s="47"/>
      <c r="P223" s="338"/>
      <c r="Q223" s="10"/>
      <c r="R223" s="63"/>
    </row>
    <row r="224" spans="1:18" x14ac:dyDescent="0.25">
      <c r="A224" s="3">
        <f t="shared" si="9"/>
        <v>223</v>
      </c>
      <c r="B224" s="4"/>
      <c r="C224" s="8"/>
      <c r="D224" s="359"/>
      <c r="E224" s="478"/>
      <c r="F224" s="359"/>
      <c r="G224" s="478"/>
      <c r="H224" s="359"/>
      <c r="I224" s="478"/>
      <c r="J224" s="359"/>
      <c r="K224" s="478"/>
      <c r="L224" s="359"/>
      <c r="M224" s="478"/>
      <c r="N224" s="561"/>
      <c r="O224" s="47"/>
      <c r="P224" s="338"/>
      <c r="Q224" s="10"/>
      <c r="R224" s="63"/>
    </row>
    <row r="225" spans="1:18" x14ac:dyDescent="0.25">
      <c r="A225" s="3">
        <f t="shared" si="9"/>
        <v>224</v>
      </c>
      <c r="B225" s="4"/>
      <c r="C225" s="9"/>
      <c r="D225" s="359"/>
      <c r="E225" s="478"/>
      <c r="F225" s="359"/>
      <c r="G225" s="478"/>
      <c r="H225" s="359"/>
      <c r="I225" s="478"/>
      <c r="J225" s="359"/>
      <c r="K225" s="478"/>
      <c r="L225" s="359"/>
      <c r="M225" s="478"/>
      <c r="N225" s="561"/>
      <c r="O225" s="47"/>
      <c r="P225" s="338"/>
      <c r="R225" s="63"/>
    </row>
    <row r="226" spans="1:18" x14ac:dyDescent="0.25">
      <c r="A226" s="3">
        <f t="shared" si="9"/>
        <v>225</v>
      </c>
      <c r="B226" s="4"/>
      <c r="C226" s="9"/>
      <c r="D226" s="359"/>
      <c r="E226" s="478"/>
      <c r="F226" s="359"/>
      <c r="G226" s="478"/>
      <c r="H226" s="359"/>
      <c r="I226" s="478"/>
      <c r="J226" s="359"/>
      <c r="K226" s="478"/>
      <c r="L226" s="359"/>
      <c r="M226" s="478"/>
      <c r="N226" s="561"/>
      <c r="O226" s="8"/>
      <c r="P226" s="338"/>
      <c r="R226" s="63"/>
    </row>
    <row r="227" spans="1:18" x14ac:dyDescent="0.25">
      <c r="A227" s="3"/>
      <c r="B227" s="4"/>
      <c r="C227" s="9"/>
      <c r="D227" s="369"/>
      <c r="E227" s="481"/>
      <c r="F227" s="369"/>
      <c r="G227" s="481"/>
      <c r="H227" s="369"/>
      <c r="I227" s="481"/>
      <c r="J227" s="369"/>
      <c r="K227" s="481"/>
      <c r="L227" s="369"/>
      <c r="M227" s="481"/>
      <c r="N227" s="565"/>
      <c r="O227" s="8"/>
      <c r="P227" s="338"/>
      <c r="R227" s="63"/>
    </row>
    <row r="228" spans="1:18" x14ac:dyDescent="0.25">
      <c r="A228" s="3"/>
      <c r="B228" s="4"/>
      <c r="C228" s="9"/>
      <c r="D228" s="359"/>
      <c r="E228" s="478"/>
      <c r="F228" s="359"/>
      <c r="G228" s="478"/>
      <c r="H228" s="359"/>
      <c r="I228" s="478"/>
      <c r="J228" s="359"/>
      <c r="K228" s="478"/>
      <c r="L228" s="359"/>
      <c r="M228" s="478"/>
      <c r="N228" s="561"/>
      <c r="O228" s="8"/>
      <c r="P228" s="338"/>
      <c r="R228" s="63"/>
    </row>
    <row r="229" spans="1:18" x14ac:dyDescent="0.25">
      <c r="A229" s="13">
        <v>1</v>
      </c>
      <c r="B229" s="4"/>
      <c r="C229" s="8"/>
      <c r="D229" s="369"/>
      <c r="E229" s="481"/>
      <c r="F229" s="369"/>
      <c r="G229" s="481"/>
      <c r="H229" s="369"/>
      <c r="I229" s="481"/>
      <c r="J229" s="369"/>
      <c r="K229" s="481"/>
      <c r="L229" s="369"/>
      <c r="M229" s="481"/>
      <c r="N229" s="565"/>
      <c r="O229" s="8"/>
      <c r="P229" s="338"/>
      <c r="Q229" s="10"/>
      <c r="R229" s="63"/>
    </row>
    <row r="230" spans="1:18" x14ac:dyDescent="0.25">
      <c r="A230" s="13">
        <f t="shared" ref="A230:A293" si="10">A229+1</f>
        <v>2</v>
      </c>
      <c r="B230" s="4"/>
      <c r="C230" s="8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8"/>
      <c r="P230" s="338"/>
      <c r="Q230" s="10"/>
      <c r="R230" s="63"/>
    </row>
    <row r="231" spans="1:18" x14ac:dyDescent="0.25">
      <c r="A231" s="13">
        <f t="shared" si="10"/>
        <v>3</v>
      </c>
      <c r="B231" s="4"/>
      <c r="C231" s="8"/>
      <c r="D231" s="359"/>
      <c r="E231" s="478"/>
      <c r="F231" s="359"/>
      <c r="G231" s="478"/>
      <c r="H231" s="359"/>
      <c r="I231" s="478"/>
      <c r="J231" s="359"/>
      <c r="K231" s="478"/>
      <c r="L231" s="359"/>
      <c r="M231" s="478"/>
      <c r="N231" s="561"/>
      <c r="O231" s="8"/>
      <c r="P231" s="338"/>
      <c r="Q231" s="10"/>
      <c r="R231" s="63"/>
    </row>
    <row r="232" spans="1:18" x14ac:dyDescent="0.25">
      <c r="A232" s="13">
        <f t="shared" si="10"/>
        <v>4</v>
      </c>
      <c r="B232" s="4"/>
      <c r="C232" s="8"/>
      <c r="D232" s="359"/>
      <c r="E232" s="478"/>
      <c r="F232" s="359"/>
      <c r="G232" s="478"/>
      <c r="H232" s="359"/>
      <c r="I232" s="478"/>
      <c r="J232" s="359"/>
      <c r="K232" s="478"/>
      <c r="L232" s="359"/>
      <c r="M232" s="478"/>
      <c r="N232" s="561"/>
      <c r="O232" s="8"/>
      <c r="P232" s="338"/>
      <c r="Q232" s="10"/>
      <c r="R232" s="63"/>
    </row>
    <row r="233" spans="1:18" x14ac:dyDescent="0.25">
      <c r="A233" s="13">
        <f t="shared" si="10"/>
        <v>5</v>
      </c>
      <c r="B233" s="4"/>
      <c r="C233" s="9"/>
      <c r="D233" s="369"/>
      <c r="E233" s="481"/>
      <c r="F233" s="369"/>
      <c r="G233" s="481"/>
      <c r="H233" s="369"/>
      <c r="I233" s="481"/>
      <c r="J233" s="369"/>
      <c r="K233" s="481"/>
      <c r="L233" s="369"/>
      <c r="M233" s="481"/>
      <c r="N233" s="565"/>
      <c r="O233" s="8"/>
      <c r="P233" s="338"/>
      <c r="Q233" s="10"/>
      <c r="R233" s="63"/>
    </row>
    <row r="234" spans="1:18" x14ac:dyDescent="0.25">
      <c r="A234" s="13">
        <f t="shared" si="10"/>
        <v>6</v>
      </c>
      <c r="B234" s="4"/>
      <c r="C234" s="9"/>
      <c r="D234" s="369"/>
      <c r="E234" s="481"/>
      <c r="F234" s="369"/>
      <c r="G234" s="481"/>
      <c r="H234" s="369"/>
      <c r="I234" s="481"/>
      <c r="J234" s="369"/>
      <c r="K234" s="481"/>
      <c r="L234" s="369"/>
      <c r="M234" s="481"/>
      <c r="N234" s="565"/>
      <c r="O234" s="8"/>
      <c r="P234" s="338"/>
      <c r="Q234" s="10"/>
      <c r="R234" s="63"/>
    </row>
    <row r="235" spans="1:18" x14ac:dyDescent="0.25">
      <c r="A235" s="13">
        <f t="shared" si="10"/>
        <v>7</v>
      </c>
      <c r="B235" s="4"/>
      <c r="C235" s="8"/>
      <c r="D235" s="369"/>
      <c r="E235" s="481"/>
      <c r="F235" s="369"/>
      <c r="G235" s="481"/>
      <c r="H235" s="369"/>
      <c r="I235" s="481"/>
      <c r="J235" s="369"/>
      <c r="K235" s="481"/>
      <c r="L235" s="369"/>
      <c r="M235" s="481"/>
      <c r="N235" s="565"/>
      <c r="O235" s="8"/>
      <c r="P235" s="338"/>
      <c r="Q235" s="10"/>
      <c r="R235" s="63"/>
    </row>
    <row r="236" spans="1:18" x14ac:dyDescent="0.25">
      <c r="A236" s="13">
        <f t="shared" si="10"/>
        <v>8</v>
      </c>
      <c r="B236" s="4"/>
      <c r="C236" s="8"/>
      <c r="D236" s="359"/>
      <c r="E236" s="478"/>
      <c r="F236" s="359"/>
      <c r="G236" s="478"/>
      <c r="H236" s="359"/>
      <c r="I236" s="478"/>
      <c r="J236" s="359"/>
      <c r="K236" s="478"/>
      <c r="L236" s="359"/>
      <c r="M236" s="478"/>
      <c r="N236" s="561"/>
      <c r="O236" s="8"/>
      <c r="P236" s="338"/>
      <c r="Q236" s="10"/>
      <c r="R236" s="63"/>
    </row>
    <row r="237" spans="1:18" x14ac:dyDescent="0.25">
      <c r="A237" s="13">
        <f t="shared" si="10"/>
        <v>9</v>
      </c>
      <c r="B237" s="4"/>
      <c r="C237" s="9"/>
      <c r="D237" s="369"/>
      <c r="E237" s="481"/>
      <c r="F237" s="369"/>
      <c r="G237" s="481"/>
      <c r="H237" s="369"/>
      <c r="I237" s="481"/>
      <c r="J237" s="369"/>
      <c r="K237" s="481"/>
      <c r="L237" s="369"/>
      <c r="M237" s="481"/>
      <c r="N237" s="565"/>
      <c r="O237" s="8"/>
      <c r="P237" s="338"/>
      <c r="Q237" s="10"/>
      <c r="R237" s="63"/>
    </row>
    <row r="238" spans="1:18" x14ac:dyDescent="0.25">
      <c r="A238" s="13">
        <f t="shared" si="10"/>
        <v>10</v>
      </c>
      <c r="B238" s="4"/>
      <c r="C238" s="9"/>
      <c r="D238" s="369"/>
      <c r="E238" s="481"/>
      <c r="F238" s="369"/>
      <c r="G238" s="481"/>
      <c r="H238" s="369"/>
      <c r="I238" s="481"/>
      <c r="J238" s="369"/>
      <c r="K238" s="481"/>
      <c r="L238" s="369"/>
      <c r="M238" s="481"/>
      <c r="N238" s="565"/>
      <c r="O238" s="8"/>
      <c r="P238" s="338"/>
      <c r="Q238" s="10"/>
      <c r="R238" s="64"/>
    </row>
    <row r="239" spans="1:18" x14ac:dyDescent="0.25">
      <c r="A239" s="13">
        <f t="shared" si="10"/>
        <v>11</v>
      </c>
      <c r="B239" s="4"/>
      <c r="C239" s="9"/>
      <c r="D239" s="369"/>
      <c r="E239" s="481"/>
      <c r="F239" s="369"/>
      <c r="G239" s="481"/>
      <c r="H239" s="369"/>
      <c r="I239" s="481"/>
      <c r="J239" s="369"/>
      <c r="K239" s="481"/>
      <c r="L239" s="369"/>
      <c r="M239" s="481"/>
      <c r="N239" s="565"/>
      <c r="O239" s="8"/>
      <c r="P239" s="338"/>
      <c r="Q239" s="10"/>
      <c r="R239" s="63"/>
    </row>
    <row r="240" spans="1:18" x14ac:dyDescent="0.25">
      <c r="A240" s="13">
        <f t="shared" si="10"/>
        <v>12</v>
      </c>
      <c r="B240" s="4"/>
      <c r="C240" s="9"/>
      <c r="D240" s="369"/>
      <c r="E240" s="481"/>
      <c r="F240" s="369"/>
      <c r="G240" s="481"/>
      <c r="H240" s="369"/>
      <c r="I240" s="481"/>
      <c r="J240" s="369"/>
      <c r="K240" s="481"/>
      <c r="L240" s="369"/>
      <c r="M240" s="481"/>
      <c r="N240" s="565"/>
      <c r="O240" s="8"/>
      <c r="P240" s="338"/>
      <c r="Q240" s="10"/>
      <c r="R240" s="63"/>
    </row>
    <row r="241" spans="1:18" x14ac:dyDescent="0.25">
      <c r="A241" s="13">
        <f t="shared" si="10"/>
        <v>13</v>
      </c>
      <c r="B241" s="4"/>
      <c r="C241" s="9"/>
      <c r="D241" s="359"/>
      <c r="E241" s="478"/>
      <c r="F241" s="359"/>
      <c r="G241" s="478"/>
      <c r="H241" s="359"/>
      <c r="I241" s="478"/>
      <c r="J241" s="359"/>
      <c r="K241" s="478"/>
      <c r="L241" s="359"/>
      <c r="M241" s="478"/>
      <c r="N241" s="561"/>
      <c r="O241" s="8"/>
      <c r="P241" s="338"/>
      <c r="Q241" s="10"/>
      <c r="R241" s="63"/>
    </row>
    <row r="242" spans="1:18" x14ac:dyDescent="0.25">
      <c r="A242" s="13">
        <f t="shared" si="10"/>
        <v>14</v>
      </c>
      <c r="B242" s="4"/>
      <c r="C242" s="8"/>
      <c r="D242" s="369"/>
      <c r="E242" s="481"/>
      <c r="F242" s="369"/>
      <c r="G242" s="481"/>
      <c r="H242" s="369"/>
      <c r="I242" s="481"/>
      <c r="J242" s="369"/>
      <c r="K242" s="481"/>
      <c r="L242" s="369"/>
      <c r="M242" s="481"/>
      <c r="N242" s="565"/>
      <c r="O242" s="8"/>
      <c r="P242" s="338"/>
      <c r="Q242" s="10"/>
      <c r="R242" s="63"/>
    </row>
    <row r="243" spans="1:18" x14ac:dyDescent="0.25">
      <c r="A243" s="13">
        <f t="shared" si="10"/>
        <v>15</v>
      </c>
      <c r="B243" s="4"/>
      <c r="C243" s="9"/>
      <c r="D243" s="359"/>
      <c r="E243" s="478"/>
      <c r="F243" s="359"/>
      <c r="G243" s="478"/>
      <c r="H243" s="359"/>
      <c r="I243" s="478"/>
      <c r="J243" s="359"/>
      <c r="K243" s="478"/>
      <c r="L243" s="359"/>
      <c r="M243" s="478"/>
      <c r="N243" s="561"/>
      <c r="O243" s="8"/>
      <c r="P243" s="338"/>
      <c r="Q243" s="10"/>
      <c r="R243" s="63"/>
    </row>
    <row r="244" spans="1:18" x14ac:dyDescent="0.25">
      <c r="A244" s="13">
        <f t="shared" si="10"/>
        <v>16</v>
      </c>
      <c r="B244" s="4"/>
      <c r="C244" s="9"/>
      <c r="D244" s="369"/>
      <c r="E244" s="481"/>
      <c r="F244" s="369"/>
      <c r="G244" s="481"/>
      <c r="H244" s="369"/>
      <c r="I244" s="481"/>
      <c r="J244" s="369"/>
      <c r="K244" s="481"/>
      <c r="L244" s="369"/>
      <c r="M244" s="481"/>
      <c r="N244" s="565"/>
      <c r="O244" s="8"/>
      <c r="P244" s="338"/>
      <c r="Q244" s="10"/>
      <c r="R244" s="63"/>
    </row>
    <row r="245" spans="1:18" x14ac:dyDescent="0.25">
      <c r="A245" s="13">
        <f t="shared" si="10"/>
        <v>17</v>
      </c>
      <c r="B245" s="4"/>
      <c r="C245" s="9"/>
      <c r="D245" s="369"/>
      <c r="E245" s="481"/>
      <c r="F245" s="369"/>
      <c r="G245" s="481"/>
      <c r="H245" s="369"/>
      <c r="I245" s="481"/>
      <c r="J245" s="369"/>
      <c r="K245" s="481"/>
      <c r="L245" s="369"/>
      <c r="M245" s="481"/>
      <c r="N245" s="565"/>
      <c r="O245" s="8"/>
      <c r="P245" s="338"/>
      <c r="Q245" s="10"/>
      <c r="R245" s="63"/>
    </row>
    <row r="246" spans="1:18" x14ac:dyDescent="0.25">
      <c r="A246" s="13">
        <f t="shared" si="10"/>
        <v>18</v>
      </c>
      <c r="B246" s="4"/>
      <c r="C246" s="9"/>
      <c r="D246" s="369"/>
      <c r="E246" s="481"/>
      <c r="F246" s="369"/>
      <c r="G246" s="481"/>
      <c r="H246" s="369"/>
      <c r="I246" s="481"/>
      <c r="J246" s="369"/>
      <c r="K246" s="481"/>
      <c r="L246" s="369"/>
      <c r="M246" s="481"/>
      <c r="N246" s="565"/>
      <c r="O246" s="8"/>
      <c r="P246" s="338"/>
      <c r="Q246" s="10"/>
      <c r="R246" s="63"/>
    </row>
    <row r="247" spans="1:18" x14ac:dyDescent="0.25">
      <c r="A247" s="13">
        <f t="shared" si="10"/>
        <v>19</v>
      </c>
      <c r="B247" s="4"/>
      <c r="C247" s="9"/>
      <c r="D247" s="369"/>
      <c r="E247" s="481"/>
      <c r="F247" s="369"/>
      <c r="G247" s="481"/>
      <c r="H247" s="369"/>
      <c r="I247" s="481"/>
      <c r="J247" s="369"/>
      <c r="K247" s="481"/>
      <c r="L247" s="369"/>
      <c r="M247" s="481"/>
      <c r="N247" s="565"/>
      <c r="O247" s="8"/>
      <c r="P247" s="338"/>
      <c r="Q247" s="10"/>
      <c r="R247" s="63"/>
    </row>
    <row r="248" spans="1:18" x14ac:dyDescent="0.25">
      <c r="A248" s="13">
        <f t="shared" si="10"/>
        <v>20</v>
      </c>
      <c r="B248" s="4"/>
      <c r="C248" s="9"/>
      <c r="D248" s="369"/>
      <c r="E248" s="481"/>
      <c r="F248" s="369"/>
      <c r="G248" s="481"/>
      <c r="H248" s="369"/>
      <c r="I248" s="481"/>
      <c r="J248" s="369"/>
      <c r="K248" s="481"/>
      <c r="L248" s="369"/>
      <c r="M248" s="481"/>
      <c r="N248" s="565"/>
      <c r="O248" s="8"/>
      <c r="P248" s="338"/>
      <c r="Q248" s="10"/>
      <c r="R248" s="63"/>
    </row>
    <row r="249" spans="1:18" x14ac:dyDescent="0.25">
      <c r="A249" s="13">
        <f t="shared" si="10"/>
        <v>21</v>
      </c>
      <c r="B249" s="4"/>
      <c r="C249" s="9"/>
      <c r="D249" s="359"/>
      <c r="E249" s="478"/>
      <c r="F249" s="359"/>
      <c r="G249" s="478"/>
      <c r="H249" s="359"/>
      <c r="I249" s="478"/>
      <c r="J249" s="359"/>
      <c r="K249" s="478"/>
      <c r="L249" s="359"/>
      <c r="M249" s="478"/>
      <c r="N249" s="561"/>
      <c r="O249" s="8"/>
      <c r="P249" s="338"/>
      <c r="Q249" s="10"/>
      <c r="R249" s="63"/>
    </row>
    <row r="250" spans="1:18" x14ac:dyDescent="0.25">
      <c r="A250" s="13">
        <f t="shared" si="10"/>
        <v>22</v>
      </c>
      <c r="B250" s="4"/>
      <c r="C250" s="9"/>
      <c r="D250" s="369"/>
      <c r="E250" s="481"/>
      <c r="F250" s="369"/>
      <c r="G250" s="481"/>
      <c r="H250" s="369"/>
      <c r="I250" s="481"/>
      <c r="J250" s="369"/>
      <c r="K250" s="481"/>
      <c r="L250" s="369"/>
      <c r="M250" s="481"/>
      <c r="N250" s="565"/>
      <c r="O250" s="8"/>
      <c r="P250" s="338"/>
      <c r="Q250" s="10"/>
      <c r="R250" s="63"/>
    </row>
    <row r="251" spans="1:18" x14ac:dyDescent="0.25">
      <c r="A251" s="13">
        <f t="shared" si="10"/>
        <v>23</v>
      </c>
      <c r="B251" s="4"/>
      <c r="C251" s="9"/>
      <c r="D251" s="369"/>
      <c r="E251" s="481"/>
      <c r="F251" s="369"/>
      <c r="G251" s="481"/>
      <c r="H251" s="369"/>
      <c r="I251" s="481"/>
      <c r="J251" s="369"/>
      <c r="K251" s="481"/>
      <c r="L251" s="369"/>
      <c r="M251" s="481"/>
      <c r="N251" s="565"/>
      <c r="O251" s="8"/>
      <c r="P251" s="338"/>
      <c r="Q251" s="10"/>
      <c r="R251" s="63"/>
    </row>
    <row r="252" spans="1:18" x14ac:dyDescent="0.25">
      <c r="A252" s="13">
        <f t="shared" si="10"/>
        <v>24</v>
      </c>
      <c r="B252" s="4"/>
      <c r="C252" s="9"/>
      <c r="D252" s="369"/>
      <c r="E252" s="481"/>
      <c r="F252" s="369"/>
      <c r="G252" s="481"/>
      <c r="H252" s="369"/>
      <c r="I252" s="481"/>
      <c r="J252" s="369"/>
      <c r="K252" s="481"/>
      <c r="L252" s="369"/>
      <c r="M252" s="481"/>
      <c r="N252" s="565"/>
      <c r="O252" s="8"/>
      <c r="P252" s="338"/>
      <c r="Q252" s="10"/>
      <c r="R252" s="63"/>
    </row>
    <row r="253" spans="1:18" x14ac:dyDescent="0.25">
      <c r="A253" s="13">
        <f t="shared" si="10"/>
        <v>25</v>
      </c>
      <c r="B253" s="4"/>
      <c r="C253" s="8"/>
      <c r="D253" s="369"/>
      <c r="E253" s="481"/>
      <c r="F253" s="369"/>
      <c r="G253" s="481"/>
      <c r="H253" s="369"/>
      <c r="I253" s="481"/>
      <c r="J253" s="369"/>
      <c r="K253" s="481"/>
      <c r="L253" s="369"/>
      <c r="M253" s="481"/>
      <c r="N253" s="565"/>
      <c r="O253" s="8"/>
      <c r="P253" s="338"/>
      <c r="Q253" s="10"/>
      <c r="R253" s="63"/>
    </row>
    <row r="254" spans="1:18" x14ac:dyDescent="0.25">
      <c r="A254" s="13">
        <f t="shared" si="10"/>
        <v>26</v>
      </c>
      <c r="B254" s="4"/>
      <c r="C254" s="8"/>
      <c r="D254" s="359"/>
      <c r="E254" s="478"/>
      <c r="F254" s="359"/>
      <c r="G254" s="478"/>
      <c r="H254" s="359"/>
      <c r="I254" s="478"/>
      <c r="J254" s="359"/>
      <c r="K254" s="478"/>
      <c r="L254" s="359"/>
      <c r="M254" s="478"/>
      <c r="N254" s="561"/>
      <c r="O254" s="8"/>
      <c r="P254" s="338"/>
      <c r="Q254" s="10"/>
      <c r="R254" s="63"/>
    </row>
    <row r="255" spans="1:18" x14ac:dyDescent="0.25">
      <c r="A255" s="13">
        <f t="shared" si="10"/>
        <v>27</v>
      </c>
      <c r="B255" s="4"/>
      <c r="C255" s="8"/>
      <c r="D255" s="369"/>
      <c r="E255" s="481"/>
      <c r="F255" s="369"/>
      <c r="G255" s="481"/>
      <c r="H255" s="369"/>
      <c r="I255" s="481"/>
      <c r="J255" s="369"/>
      <c r="K255" s="481"/>
      <c r="L255" s="369"/>
      <c r="M255" s="481"/>
      <c r="N255" s="565"/>
      <c r="O255" s="8"/>
      <c r="P255" s="338"/>
      <c r="Q255" s="10"/>
      <c r="R255" s="63"/>
    </row>
    <row r="256" spans="1:18" x14ac:dyDescent="0.25">
      <c r="A256" s="13">
        <f t="shared" si="10"/>
        <v>28</v>
      </c>
      <c r="B256" s="4"/>
      <c r="C256" s="9"/>
      <c r="D256" s="369"/>
      <c r="E256" s="481"/>
      <c r="F256" s="369"/>
      <c r="G256" s="481"/>
      <c r="H256" s="369"/>
      <c r="I256" s="481"/>
      <c r="J256" s="369"/>
      <c r="K256" s="481"/>
      <c r="L256" s="369"/>
      <c r="M256" s="481"/>
      <c r="N256" s="565"/>
      <c r="O256" s="8"/>
      <c r="P256" s="338"/>
      <c r="Q256" s="10"/>
      <c r="R256" s="63"/>
    </row>
    <row r="257" spans="1:18" x14ac:dyDescent="0.25">
      <c r="A257" s="13">
        <f t="shared" si="10"/>
        <v>29</v>
      </c>
      <c r="B257" s="4"/>
      <c r="C257" s="9"/>
      <c r="D257" s="359"/>
      <c r="E257" s="478"/>
      <c r="F257" s="359"/>
      <c r="G257" s="478"/>
      <c r="H257" s="359"/>
      <c r="I257" s="478"/>
      <c r="J257" s="359"/>
      <c r="K257" s="478"/>
      <c r="L257" s="359"/>
      <c r="M257" s="478"/>
      <c r="N257" s="561"/>
      <c r="O257" s="8"/>
      <c r="P257" s="338"/>
      <c r="Q257" s="10"/>
      <c r="R257" s="63"/>
    </row>
    <row r="258" spans="1:18" x14ac:dyDescent="0.25">
      <c r="A258" s="13">
        <f t="shared" si="10"/>
        <v>30</v>
      </c>
      <c r="B258" s="4"/>
      <c r="C258" s="8"/>
      <c r="D258" s="369"/>
      <c r="E258" s="481"/>
      <c r="F258" s="369"/>
      <c r="G258" s="481"/>
      <c r="H258" s="369"/>
      <c r="I258" s="481"/>
      <c r="J258" s="369"/>
      <c r="K258" s="481"/>
      <c r="L258" s="369"/>
      <c r="M258" s="481"/>
      <c r="N258" s="565"/>
      <c r="O258" s="8"/>
      <c r="P258" s="338"/>
      <c r="Q258" s="10"/>
      <c r="R258" s="63"/>
    </row>
    <row r="259" spans="1:18" x14ac:dyDescent="0.25">
      <c r="A259" s="13">
        <f t="shared" si="10"/>
        <v>31</v>
      </c>
      <c r="B259" s="4"/>
      <c r="C259" s="9"/>
      <c r="D259" s="369"/>
      <c r="E259" s="481"/>
      <c r="F259" s="369"/>
      <c r="G259" s="481"/>
      <c r="H259" s="369"/>
      <c r="I259" s="481"/>
      <c r="J259" s="369"/>
      <c r="K259" s="481"/>
      <c r="L259" s="369"/>
      <c r="M259" s="481"/>
      <c r="N259" s="565"/>
      <c r="O259" s="8"/>
      <c r="P259" s="338"/>
      <c r="Q259" s="10"/>
      <c r="R259" s="63"/>
    </row>
    <row r="260" spans="1:18" x14ac:dyDescent="0.25">
      <c r="A260" s="13">
        <f t="shared" si="10"/>
        <v>32</v>
      </c>
      <c r="B260" s="4"/>
      <c r="C260" s="9"/>
      <c r="D260" s="359"/>
      <c r="E260" s="478"/>
      <c r="F260" s="359"/>
      <c r="G260" s="478"/>
      <c r="H260" s="359"/>
      <c r="I260" s="478"/>
      <c r="J260" s="359"/>
      <c r="K260" s="478"/>
      <c r="L260" s="359"/>
      <c r="M260" s="478"/>
      <c r="N260" s="561"/>
      <c r="O260" s="8"/>
      <c r="P260" s="338"/>
      <c r="Q260" s="10"/>
      <c r="R260" s="63"/>
    </row>
    <row r="261" spans="1:18" x14ac:dyDescent="0.25">
      <c r="A261" s="13">
        <f t="shared" si="10"/>
        <v>33</v>
      </c>
      <c r="B261" s="4"/>
      <c r="C261" s="9"/>
      <c r="D261" s="369"/>
      <c r="E261" s="481"/>
      <c r="F261" s="369"/>
      <c r="G261" s="481"/>
      <c r="H261" s="369"/>
      <c r="I261" s="481"/>
      <c r="J261" s="369"/>
      <c r="K261" s="481"/>
      <c r="L261" s="369"/>
      <c r="M261" s="481"/>
      <c r="N261" s="565"/>
      <c r="O261" s="8"/>
      <c r="P261" s="338"/>
      <c r="Q261" s="10"/>
      <c r="R261" s="63"/>
    </row>
    <row r="262" spans="1:18" x14ac:dyDescent="0.25">
      <c r="A262" s="13">
        <f t="shared" si="10"/>
        <v>34</v>
      </c>
      <c r="B262" s="4"/>
      <c r="C262" s="9"/>
      <c r="D262" s="369"/>
      <c r="E262" s="481"/>
      <c r="F262" s="369"/>
      <c r="G262" s="481"/>
      <c r="H262" s="369"/>
      <c r="I262" s="481"/>
      <c r="J262" s="369"/>
      <c r="K262" s="481"/>
      <c r="L262" s="369"/>
      <c r="M262" s="481"/>
      <c r="N262" s="565"/>
      <c r="O262" s="8"/>
      <c r="P262" s="338"/>
      <c r="Q262" s="10"/>
      <c r="R262" s="63"/>
    </row>
    <row r="263" spans="1:18" x14ac:dyDescent="0.25">
      <c r="A263" s="13">
        <f t="shared" si="10"/>
        <v>35</v>
      </c>
      <c r="B263" s="4"/>
      <c r="C263" s="9"/>
      <c r="D263" s="369"/>
      <c r="E263" s="481"/>
      <c r="F263" s="369"/>
      <c r="G263" s="481"/>
      <c r="H263" s="369"/>
      <c r="I263" s="481"/>
      <c r="J263" s="369"/>
      <c r="K263" s="481"/>
      <c r="L263" s="369"/>
      <c r="M263" s="481"/>
      <c r="N263" s="565"/>
      <c r="O263" s="8"/>
      <c r="P263" s="338"/>
      <c r="Q263" s="10"/>
      <c r="R263" s="63"/>
    </row>
    <row r="264" spans="1:18" x14ac:dyDescent="0.25">
      <c r="A264" s="13">
        <f t="shared" si="10"/>
        <v>36</v>
      </c>
      <c r="B264" s="4"/>
      <c r="C264" s="8"/>
      <c r="D264" s="369"/>
      <c r="E264" s="481"/>
      <c r="F264" s="369"/>
      <c r="G264" s="481"/>
      <c r="H264" s="369"/>
      <c r="I264" s="481"/>
      <c r="J264" s="369"/>
      <c r="K264" s="481"/>
      <c r="L264" s="369"/>
      <c r="M264" s="481"/>
      <c r="N264" s="565"/>
      <c r="O264" s="8"/>
      <c r="P264" s="338"/>
      <c r="Q264" s="10"/>
      <c r="R264" s="63"/>
    </row>
    <row r="265" spans="1:18" x14ac:dyDescent="0.25">
      <c r="A265" s="13">
        <f t="shared" si="10"/>
        <v>37</v>
      </c>
      <c r="B265" s="4"/>
      <c r="C265" s="9"/>
      <c r="D265" s="359"/>
      <c r="E265" s="478"/>
      <c r="F265" s="359"/>
      <c r="G265" s="478"/>
      <c r="H265" s="359"/>
      <c r="I265" s="478"/>
      <c r="J265" s="359"/>
      <c r="K265" s="478"/>
      <c r="L265" s="359"/>
      <c r="M265" s="478"/>
      <c r="N265" s="561"/>
      <c r="O265" s="8"/>
      <c r="P265" s="338"/>
      <c r="Q265" s="10"/>
      <c r="R265" s="63"/>
    </row>
    <row r="266" spans="1:18" x14ac:dyDescent="0.25">
      <c r="A266" s="13">
        <f t="shared" si="10"/>
        <v>38</v>
      </c>
      <c r="B266" s="4"/>
      <c r="C266" s="9"/>
      <c r="D266" s="369"/>
      <c r="E266" s="481"/>
      <c r="F266" s="369"/>
      <c r="G266" s="481"/>
      <c r="H266" s="369"/>
      <c r="I266" s="481"/>
      <c r="J266" s="369"/>
      <c r="K266" s="481"/>
      <c r="L266" s="369"/>
      <c r="M266" s="481"/>
      <c r="N266" s="565"/>
      <c r="O266" s="8"/>
      <c r="P266" s="338"/>
      <c r="Q266" s="10"/>
      <c r="R266" s="63"/>
    </row>
    <row r="267" spans="1:18" x14ac:dyDescent="0.25">
      <c r="A267" s="13">
        <f t="shared" si="10"/>
        <v>39</v>
      </c>
      <c r="B267" s="4"/>
      <c r="C267" s="9"/>
      <c r="D267" s="369"/>
      <c r="E267" s="481"/>
      <c r="F267" s="369"/>
      <c r="G267" s="481"/>
      <c r="H267" s="369"/>
      <c r="I267" s="481"/>
      <c r="J267" s="369"/>
      <c r="K267" s="481"/>
      <c r="L267" s="369"/>
      <c r="M267" s="481"/>
      <c r="N267" s="565"/>
      <c r="O267" s="8"/>
      <c r="P267" s="338"/>
      <c r="Q267" s="10"/>
      <c r="R267" s="63"/>
    </row>
    <row r="268" spans="1:18" x14ac:dyDescent="0.25">
      <c r="A268" s="13">
        <f t="shared" si="10"/>
        <v>40</v>
      </c>
      <c r="B268" s="4"/>
      <c r="C268" s="9"/>
      <c r="D268" s="369"/>
      <c r="E268" s="481"/>
      <c r="F268" s="369"/>
      <c r="G268" s="481"/>
      <c r="H268" s="369"/>
      <c r="I268" s="481"/>
      <c r="J268" s="369"/>
      <c r="K268" s="481"/>
      <c r="L268" s="369"/>
      <c r="M268" s="481"/>
      <c r="N268" s="565"/>
      <c r="O268" s="8"/>
      <c r="P268" s="338"/>
      <c r="Q268" s="10"/>
      <c r="R268" s="63"/>
    </row>
    <row r="269" spans="1:18" x14ac:dyDescent="0.25">
      <c r="A269" s="13">
        <f t="shared" si="10"/>
        <v>41</v>
      </c>
      <c r="B269" s="4"/>
      <c r="C269" s="9"/>
      <c r="D269" s="369"/>
      <c r="E269" s="481"/>
      <c r="F269" s="369"/>
      <c r="G269" s="481"/>
      <c r="H269" s="369"/>
      <c r="I269" s="481"/>
      <c r="J269" s="369"/>
      <c r="K269" s="481"/>
      <c r="L269" s="369"/>
      <c r="M269" s="481"/>
      <c r="N269" s="565"/>
      <c r="O269" s="8"/>
      <c r="P269" s="338"/>
      <c r="Q269" s="10"/>
      <c r="R269" s="63"/>
    </row>
    <row r="270" spans="1:18" x14ac:dyDescent="0.25">
      <c r="A270" s="13">
        <f t="shared" si="10"/>
        <v>42</v>
      </c>
      <c r="B270" s="4"/>
      <c r="C270" s="9"/>
      <c r="D270" s="359"/>
      <c r="E270" s="478"/>
      <c r="F270" s="359"/>
      <c r="G270" s="478"/>
      <c r="H270" s="359"/>
      <c r="I270" s="478"/>
      <c r="J270" s="359"/>
      <c r="K270" s="478"/>
      <c r="L270" s="359"/>
      <c r="M270" s="478"/>
      <c r="N270" s="561"/>
      <c r="O270" s="8"/>
      <c r="P270" s="338"/>
      <c r="Q270" s="10"/>
      <c r="R270" s="63"/>
    </row>
    <row r="271" spans="1:18" x14ac:dyDescent="0.25">
      <c r="A271" s="13">
        <f t="shared" si="10"/>
        <v>43</v>
      </c>
      <c r="B271" s="4"/>
      <c r="C271" s="9"/>
      <c r="D271" s="369"/>
      <c r="E271" s="481"/>
      <c r="F271" s="369"/>
      <c r="G271" s="481"/>
      <c r="H271" s="369"/>
      <c r="I271" s="481"/>
      <c r="J271" s="369"/>
      <c r="K271" s="481"/>
      <c r="L271" s="369"/>
      <c r="M271" s="481"/>
      <c r="N271" s="565"/>
      <c r="O271" s="8"/>
      <c r="P271" s="338"/>
      <c r="Q271" s="10"/>
      <c r="R271" s="63"/>
    </row>
    <row r="272" spans="1:18" x14ac:dyDescent="0.25">
      <c r="A272" s="13">
        <f t="shared" si="10"/>
        <v>44</v>
      </c>
      <c r="B272" s="4"/>
      <c r="C272" s="9"/>
      <c r="D272" s="369"/>
      <c r="E272" s="481"/>
      <c r="F272" s="369"/>
      <c r="G272" s="481"/>
      <c r="H272" s="369"/>
      <c r="I272" s="481"/>
      <c r="J272" s="369"/>
      <c r="K272" s="481"/>
      <c r="L272" s="369"/>
      <c r="M272" s="481"/>
      <c r="N272" s="565"/>
      <c r="O272" s="8"/>
      <c r="P272" s="338"/>
      <c r="Q272" s="10"/>
      <c r="R272" s="63"/>
    </row>
    <row r="273" spans="1:18" x14ac:dyDescent="0.25">
      <c r="A273" s="13">
        <f t="shared" si="10"/>
        <v>45</v>
      </c>
      <c r="B273" s="4"/>
      <c r="C273" s="9"/>
      <c r="D273" s="359"/>
      <c r="E273" s="478"/>
      <c r="F273" s="359"/>
      <c r="G273" s="478"/>
      <c r="H273" s="359"/>
      <c r="I273" s="478"/>
      <c r="J273" s="359"/>
      <c r="K273" s="478"/>
      <c r="L273" s="359"/>
      <c r="M273" s="478"/>
      <c r="N273" s="561"/>
      <c r="O273" s="8"/>
      <c r="P273" s="338"/>
      <c r="Q273" s="10"/>
      <c r="R273" s="63"/>
    </row>
    <row r="274" spans="1:18" x14ac:dyDescent="0.25">
      <c r="A274" s="13">
        <f t="shared" si="10"/>
        <v>46</v>
      </c>
      <c r="B274" s="4"/>
      <c r="C274" s="8"/>
      <c r="D274" s="369"/>
      <c r="E274" s="481"/>
      <c r="F274" s="369"/>
      <c r="G274" s="481"/>
      <c r="H274" s="369"/>
      <c r="I274" s="481"/>
      <c r="J274" s="369"/>
      <c r="K274" s="481"/>
      <c r="L274" s="369"/>
      <c r="M274" s="481"/>
      <c r="N274" s="565"/>
      <c r="O274" s="8"/>
      <c r="P274" s="338"/>
      <c r="Q274" s="10"/>
      <c r="R274" s="63"/>
    </row>
    <row r="275" spans="1:18" x14ac:dyDescent="0.25">
      <c r="A275" s="13">
        <f t="shared" si="10"/>
        <v>47</v>
      </c>
      <c r="B275" s="4"/>
      <c r="C275" s="9"/>
      <c r="D275" s="369"/>
      <c r="E275" s="481"/>
      <c r="F275" s="369"/>
      <c r="G275" s="481"/>
      <c r="H275" s="369"/>
      <c r="I275" s="481"/>
      <c r="J275" s="369"/>
      <c r="K275" s="481"/>
      <c r="L275" s="369"/>
      <c r="M275" s="481"/>
      <c r="N275" s="565"/>
      <c r="O275" s="8"/>
      <c r="P275" s="338"/>
      <c r="Q275" s="10"/>
      <c r="R275" s="63"/>
    </row>
    <row r="276" spans="1:18" x14ac:dyDescent="0.25">
      <c r="A276" s="13">
        <f t="shared" si="10"/>
        <v>48</v>
      </c>
      <c r="B276" s="4"/>
      <c r="C276" s="9"/>
      <c r="D276" s="359"/>
      <c r="E276" s="478"/>
      <c r="F276" s="359"/>
      <c r="G276" s="478"/>
      <c r="H276" s="359"/>
      <c r="I276" s="478"/>
      <c r="J276" s="359"/>
      <c r="K276" s="478"/>
      <c r="L276" s="359"/>
      <c r="M276" s="478"/>
      <c r="N276" s="561"/>
      <c r="O276" s="8"/>
      <c r="P276" s="338"/>
      <c r="Q276" s="10"/>
      <c r="R276" s="63"/>
    </row>
    <row r="277" spans="1:18" x14ac:dyDescent="0.25">
      <c r="A277" s="13">
        <f t="shared" si="10"/>
        <v>49</v>
      </c>
      <c r="B277" s="4"/>
      <c r="C277" s="8"/>
      <c r="D277" s="369"/>
      <c r="E277" s="481"/>
      <c r="F277" s="369"/>
      <c r="G277" s="481"/>
      <c r="H277" s="369"/>
      <c r="I277" s="481"/>
      <c r="J277" s="369"/>
      <c r="K277" s="481"/>
      <c r="L277" s="369"/>
      <c r="M277" s="481"/>
      <c r="N277" s="565"/>
      <c r="O277" s="8"/>
      <c r="P277" s="338"/>
      <c r="Q277" s="10"/>
      <c r="R277" s="64"/>
    </row>
    <row r="278" spans="1:18" x14ac:dyDescent="0.25">
      <c r="A278" s="13">
        <f t="shared" si="10"/>
        <v>50</v>
      </c>
      <c r="B278" s="4"/>
      <c r="C278" s="8"/>
      <c r="D278" s="369"/>
      <c r="E278" s="481"/>
      <c r="F278" s="369"/>
      <c r="G278" s="481"/>
      <c r="H278" s="369"/>
      <c r="I278" s="481"/>
      <c r="J278" s="369"/>
      <c r="K278" s="481"/>
      <c r="L278" s="369"/>
      <c r="M278" s="481"/>
      <c r="N278" s="565"/>
      <c r="O278" s="8"/>
      <c r="P278" s="338"/>
      <c r="Q278" s="10"/>
      <c r="R278" s="63"/>
    </row>
    <row r="279" spans="1:18" x14ac:dyDescent="0.25">
      <c r="A279" s="13">
        <f t="shared" si="10"/>
        <v>51</v>
      </c>
      <c r="B279" s="4"/>
      <c r="C279" s="9"/>
      <c r="D279" s="369"/>
      <c r="E279" s="481"/>
      <c r="F279" s="369"/>
      <c r="G279" s="481"/>
      <c r="H279" s="369"/>
      <c r="I279" s="481"/>
      <c r="J279" s="369"/>
      <c r="K279" s="481"/>
      <c r="L279" s="369"/>
      <c r="M279" s="481"/>
      <c r="N279" s="565"/>
      <c r="O279" s="8"/>
      <c r="P279" s="338"/>
      <c r="Q279" s="10"/>
      <c r="R279" s="63"/>
    </row>
    <row r="280" spans="1:18" x14ac:dyDescent="0.25">
      <c r="A280" s="13">
        <f t="shared" si="10"/>
        <v>52</v>
      </c>
      <c r="B280" s="4"/>
      <c r="C280" s="9"/>
      <c r="D280" s="369"/>
      <c r="E280" s="481"/>
      <c r="F280" s="369"/>
      <c r="G280" s="481"/>
      <c r="H280" s="369"/>
      <c r="I280" s="481"/>
      <c r="J280" s="369"/>
      <c r="K280" s="481"/>
      <c r="L280" s="369"/>
      <c r="M280" s="481"/>
      <c r="N280" s="565"/>
      <c r="O280" s="8"/>
      <c r="P280" s="338"/>
      <c r="Q280" s="10"/>
      <c r="R280" s="63"/>
    </row>
    <row r="281" spans="1:18" x14ac:dyDescent="0.25">
      <c r="A281" s="13">
        <f t="shared" si="10"/>
        <v>53</v>
      </c>
      <c r="B281" s="4"/>
      <c r="C281" s="9"/>
      <c r="D281" s="369"/>
      <c r="E281" s="481"/>
      <c r="F281" s="369"/>
      <c r="G281" s="481"/>
      <c r="H281" s="369"/>
      <c r="I281" s="481"/>
      <c r="J281" s="369"/>
      <c r="K281" s="481"/>
      <c r="L281" s="369"/>
      <c r="M281" s="481"/>
      <c r="N281" s="565"/>
      <c r="O281" s="8"/>
      <c r="P281" s="338"/>
      <c r="Q281" s="10"/>
      <c r="R281" s="63"/>
    </row>
    <row r="282" spans="1:18" x14ac:dyDescent="0.25">
      <c r="A282" s="13">
        <f t="shared" si="10"/>
        <v>54</v>
      </c>
      <c r="B282" s="4"/>
      <c r="C282" s="9"/>
      <c r="D282" s="369"/>
      <c r="E282" s="481"/>
      <c r="F282" s="369"/>
      <c r="G282" s="481"/>
      <c r="H282" s="369"/>
      <c r="I282" s="481"/>
      <c r="J282" s="369"/>
      <c r="K282" s="481"/>
      <c r="L282" s="369"/>
      <c r="M282" s="481"/>
      <c r="N282" s="565"/>
      <c r="O282" s="8"/>
      <c r="P282" s="338"/>
      <c r="Q282" s="10"/>
      <c r="R282" s="63"/>
    </row>
    <row r="283" spans="1:18" x14ac:dyDescent="0.25">
      <c r="A283" s="13">
        <f t="shared" si="10"/>
        <v>55</v>
      </c>
      <c r="B283" s="4"/>
      <c r="C283" s="8"/>
      <c r="D283" s="369"/>
      <c r="E283" s="481"/>
      <c r="F283" s="369"/>
      <c r="G283" s="481"/>
      <c r="H283" s="369"/>
      <c r="I283" s="481"/>
      <c r="J283" s="369"/>
      <c r="K283" s="481"/>
      <c r="L283" s="369"/>
      <c r="M283" s="481"/>
      <c r="N283" s="565"/>
      <c r="O283" s="8"/>
      <c r="P283" s="338"/>
      <c r="Q283" s="10"/>
      <c r="R283" s="63"/>
    </row>
    <row r="284" spans="1:18" x14ac:dyDescent="0.25">
      <c r="A284" s="13">
        <f t="shared" si="10"/>
        <v>56</v>
      </c>
      <c r="B284" s="4"/>
      <c r="C284" s="9"/>
      <c r="D284" s="369"/>
      <c r="E284" s="481"/>
      <c r="F284" s="369"/>
      <c r="G284" s="481"/>
      <c r="H284" s="369"/>
      <c r="I284" s="481"/>
      <c r="J284" s="369"/>
      <c r="K284" s="481"/>
      <c r="L284" s="369"/>
      <c r="M284" s="481"/>
      <c r="N284" s="565"/>
      <c r="O284" s="8"/>
      <c r="P284" s="338"/>
      <c r="Q284" s="10"/>
      <c r="R284" s="63"/>
    </row>
    <row r="285" spans="1:18" x14ac:dyDescent="0.25">
      <c r="A285" s="13">
        <f t="shared" si="10"/>
        <v>57</v>
      </c>
      <c r="B285" s="4"/>
      <c r="C285" s="9"/>
      <c r="D285" s="369"/>
      <c r="E285" s="481"/>
      <c r="F285" s="369"/>
      <c r="G285" s="481"/>
      <c r="H285" s="369"/>
      <c r="I285" s="481"/>
      <c r="J285" s="369"/>
      <c r="K285" s="481"/>
      <c r="L285" s="369"/>
      <c r="M285" s="481"/>
      <c r="N285" s="565"/>
      <c r="O285" s="8"/>
      <c r="P285" s="338"/>
      <c r="Q285" s="10"/>
      <c r="R285" s="63"/>
    </row>
    <row r="286" spans="1:18" x14ac:dyDescent="0.25">
      <c r="A286" s="13">
        <f t="shared" si="10"/>
        <v>58</v>
      </c>
      <c r="B286" s="4"/>
      <c r="C286" s="8"/>
      <c r="D286" s="359"/>
      <c r="E286" s="478"/>
      <c r="F286" s="359"/>
      <c r="G286" s="478"/>
      <c r="H286" s="359"/>
      <c r="I286" s="478"/>
      <c r="J286" s="359"/>
      <c r="K286" s="478"/>
      <c r="L286" s="359"/>
      <c r="M286" s="478"/>
      <c r="N286" s="561"/>
      <c r="O286" s="8"/>
      <c r="P286" s="338"/>
      <c r="Q286" s="10"/>
      <c r="R286" s="63"/>
    </row>
    <row r="287" spans="1:18" x14ac:dyDescent="0.25">
      <c r="A287" s="13">
        <f t="shared" si="10"/>
        <v>59</v>
      </c>
      <c r="B287" s="4"/>
      <c r="C287" s="9"/>
      <c r="D287" s="369"/>
      <c r="E287" s="481"/>
      <c r="F287" s="369"/>
      <c r="G287" s="481"/>
      <c r="H287" s="369"/>
      <c r="I287" s="481"/>
      <c r="J287" s="369"/>
      <c r="K287" s="481"/>
      <c r="L287" s="369"/>
      <c r="M287" s="481"/>
      <c r="N287" s="565"/>
      <c r="O287" s="8"/>
      <c r="P287" s="338"/>
      <c r="Q287" s="10"/>
      <c r="R287" s="63"/>
    </row>
    <row r="288" spans="1:18" x14ac:dyDescent="0.25">
      <c r="A288" s="13">
        <f t="shared" si="10"/>
        <v>60</v>
      </c>
      <c r="B288" s="4"/>
      <c r="C288" s="9"/>
      <c r="D288" s="369"/>
      <c r="E288" s="481"/>
      <c r="F288" s="369"/>
      <c r="G288" s="481"/>
      <c r="H288" s="369"/>
      <c r="I288" s="481"/>
      <c r="J288" s="369"/>
      <c r="K288" s="481"/>
      <c r="L288" s="369"/>
      <c r="M288" s="481"/>
      <c r="N288" s="565"/>
      <c r="O288" s="8"/>
      <c r="P288" s="338"/>
      <c r="Q288" s="10"/>
      <c r="R288" s="63"/>
    </row>
    <row r="289" spans="1:18" x14ac:dyDescent="0.25">
      <c r="A289" s="13">
        <f t="shared" si="10"/>
        <v>61</v>
      </c>
      <c r="B289" s="4"/>
      <c r="C289" s="8"/>
      <c r="D289" s="369"/>
      <c r="E289" s="481"/>
      <c r="F289" s="369"/>
      <c r="G289" s="481"/>
      <c r="H289" s="369"/>
      <c r="I289" s="481"/>
      <c r="J289" s="369"/>
      <c r="K289" s="481"/>
      <c r="L289" s="369"/>
      <c r="M289" s="481"/>
      <c r="N289" s="565"/>
      <c r="O289" s="8"/>
      <c r="P289" s="338"/>
      <c r="Q289" s="10"/>
      <c r="R289" s="63"/>
    </row>
    <row r="290" spans="1:18" x14ac:dyDescent="0.25">
      <c r="A290" s="13">
        <f t="shared" si="10"/>
        <v>62</v>
      </c>
      <c r="B290" s="4"/>
      <c r="C290" s="9"/>
      <c r="D290" s="369"/>
      <c r="E290" s="481"/>
      <c r="F290" s="369"/>
      <c r="G290" s="481"/>
      <c r="H290" s="369"/>
      <c r="I290" s="481"/>
      <c r="J290" s="369"/>
      <c r="K290" s="481"/>
      <c r="L290" s="369"/>
      <c r="M290" s="481"/>
      <c r="N290" s="565"/>
      <c r="O290" s="8"/>
      <c r="P290" s="338"/>
      <c r="Q290" s="10"/>
      <c r="R290" s="63"/>
    </row>
    <row r="291" spans="1:18" x14ac:dyDescent="0.25">
      <c r="A291" s="13">
        <f t="shared" si="10"/>
        <v>63</v>
      </c>
      <c r="B291" s="4"/>
      <c r="C291" s="9"/>
      <c r="D291" s="369"/>
      <c r="E291" s="481"/>
      <c r="F291" s="369"/>
      <c r="G291" s="481"/>
      <c r="H291" s="369"/>
      <c r="I291" s="481"/>
      <c r="J291" s="369"/>
      <c r="K291" s="481"/>
      <c r="L291" s="369"/>
      <c r="M291" s="481"/>
      <c r="N291" s="565"/>
      <c r="O291" s="8"/>
      <c r="P291" s="338"/>
      <c r="Q291" s="10"/>
      <c r="R291" s="63"/>
    </row>
    <row r="292" spans="1:18" x14ac:dyDescent="0.25">
      <c r="A292" s="13">
        <f t="shared" si="10"/>
        <v>64</v>
      </c>
      <c r="B292" s="4"/>
      <c r="C292" s="8"/>
      <c r="D292" s="369"/>
      <c r="E292" s="481"/>
      <c r="F292" s="369"/>
      <c r="G292" s="481"/>
      <c r="H292" s="369"/>
      <c r="I292" s="481"/>
      <c r="J292" s="369"/>
      <c r="K292" s="481"/>
      <c r="L292" s="369"/>
      <c r="M292" s="481"/>
      <c r="N292" s="565"/>
      <c r="O292" s="8"/>
      <c r="P292" s="338"/>
      <c r="Q292" s="10"/>
      <c r="R292" s="63"/>
    </row>
    <row r="293" spans="1:18" x14ac:dyDescent="0.25">
      <c r="A293" s="13">
        <f t="shared" si="10"/>
        <v>65</v>
      </c>
      <c r="B293" s="4"/>
      <c r="C293" s="9"/>
      <c r="D293" s="359"/>
      <c r="E293" s="478"/>
      <c r="F293" s="359"/>
      <c r="G293" s="478"/>
      <c r="H293" s="359"/>
      <c r="I293" s="478"/>
      <c r="J293" s="359"/>
      <c r="K293" s="478"/>
      <c r="L293" s="359"/>
      <c r="M293" s="478"/>
      <c r="N293" s="561"/>
      <c r="O293" s="8"/>
      <c r="P293" s="338"/>
      <c r="Q293" s="10"/>
      <c r="R293" s="63"/>
    </row>
    <row r="294" spans="1:18" x14ac:dyDescent="0.25">
      <c r="A294" s="13">
        <f t="shared" ref="A294:A331" si="11">A293+1</f>
        <v>66</v>
      </c>
      <c r="B294" s="4"/>
      <c r="C294" s="9"/>
      <c r="D294" s="369"/>
      <c r="E294" s="481"/>
      <c r="F294" s="369"/>
      <c r="G294" s="481"/>
      <c r="H294" s="369"/>
      <c r="I294" s="481"/>
      <c r="J294" s="369"/>
      <c r="K294" s="481"/>
      <c r="L294" s="369"/>
      <c r="M294" s="481"/>
      <c r="N294" s="565"/>
      <c r="O294" s="8"/>
      <c r="P294" s="338"/>
      <c r="Q294" s="10"/>
      <c r="R294" s="63"/>
    </row>
    <row r="295" spans="1:18" x14ac:dyDescent="0.25">
      <c r="A295" s="13">
        <f t="shared" si="11"/>
        <v>67</v>
      </c>
      <c r="B295" s="4"/>
      <c r="C295" s="9"/>
      <c r="D295" s="369"/>
      <c r="E295" s="481"/>
      <c r="F295" s="369"/>
      <c r="G295" s="481"/>
      <c r="H295" s="369"/>
      <c r="I295" s="481"/>
      <c r="J295" s="369"/>
      <c r="K295" s="481"/>
      <c r="L295" s="369"/>
      <c r="M295" s="481"/>
      <c r="N295" s="565"/>
      <c r="O295" s="8"/>
      <c r="P295" s="338"/>
      <c r="Q295" s="10"/>
      <c r="R295" s="63"/>
    </row>
    <row r="296" spans="1:18" x14ac:dyDescent="0.25">
      <c r="A296" s="13">
        <f t="shared" si="11"/>
        <v>68</v>
      </c>
      <c r="B296" s="4"/>
      <c r="C296" s="8"/>
      <c r="D296" s="369"/>
      <c r="E296" s="481"/>
      <c r="F296" s="369"/>
      <c r="G296" s="481"/>
      <c r="H296" s="369"/>
      <c r="I296" s="481"/>
      <c r="J296" s="369"/>
      <c r="K296" s="481"/>
      <c r="L296" s="369"/>
      <c r="M296" s="481"/>
      <c r="N296" s="565"/>
      <c r="O296" s="8"/>
      <c r="P296" s="338"/>
      <c r="Q296" s="10"/>
      <c r="R296" s="63"/>
    </row>
    <row r="297" spans="1:18" x14ac:dyDescent="0.25">
      <c r="A297" s="13">
        <f t="shared" si="11"/>
        <v>69</v>
      </c>
      <c r="B297" s="4"/>
      <c r="C297" s="9"/>
      <c r="D297" s="369"/>
      <c r="E297" s="481"/>
      <c r="F297" s="369"/>
      <c r="G297" s="481"/>
      <c r="H297" s="369"/>
      <c r="I297" s="481"/>
      <c r="J297" s="369"/>
      <c r="K297" s="481"/>
      <c r="L297" s="369"/>
      <c r="M297" s="481"/>
      <c r="N297" s="565"/>
      <c r="O297" s="8"/>
      <c r="P297" s="338"/>
      <c r="Q297" s="10"/>
      <c r="R297" s="63"/>
    </row>
    <row r="298" spans="1:18" x14ac:dyDescent="0.25">
      <c r="A298" s="13">
        <f t="shared" si="11"/>
        <v>70</v>
      </c>
      <c r="B298" s="4"/>
      <c r="C298" s="9"/>
      <c r="D298" s="369"/>
      <c r="E298" s="481"/>
      <c r="F298" s="369"/>
      <c r="G298" s="481"/>
      <c r="H298" s="369"/>
      <c r="I298" s="481"/>
      <c r="J298" s="369"/>
      <c r="K298" s="481"/>
      <c r="L298" s="369"/>
      <c r="M298" s="481"/>
      <c r="N298" s="565"/>
      <c r="O298" s="8"/>
      <c r="P298" s="338"/>
      <c r="Q298" s="10"/>
      <c r="R298" s="63"/>
    </row>
    <row r="299" spans="1:18" x14ac:dyDescent="0.25">
      <c r="A299" s="13">
        <f t="shared" si="11"/>
        <v>71</v>
      </c>
      <c r="B299" s="4"/>
      <c r="C299" s="9"/>
      <c r="D299" s="369"/>
      <c r="E299" s="481"/>
      <c r="F299" s="369"/>
      <c r="G299" s="481"/>
      <c r="H299" s="369"/>
      <c r="I299" s="481"/>
      <c r="J299" s="369"/>
      <c r="K299" s="481"/>
      <c r="L299" s="369"/>
      <c r="M299" s="481"/>
      <c r="N299" s="565"/>
      <c r="O299" s="8"/>
      <c r="P299" s="338"/>
      <c r="Q299" s="10"/>
      <c r="R299" s="63"/>
    </row>
    <row r="300" spans="1:18" x14ac:dyDescent="0.25">
      <c r="A300" s="13">
        <f t="shared" si="11"/>
        <v>72</v>
      </c>
      <c r="B300" s="4"/>
      <c r="C300" s="9"/>
      <c r="D300" s="369"/>
      <c r="E300" s="481"/>
      <c r="F300" s="369"/>
      <c r="G300" s="481"/>
      <c r="H300" s="369"/>
      <c r="I300" s="481"/>
      <c r="J300" s="369"/>
      <c r="K300" s="481"/>
      <c r="L300" s="369"/>
      <c r="M300" s="481"/>
      <c r="N300" s="565"/>
      <c r="O300" s="8"/>
      <c r="P300" s="338"/>
      <c r="Q300" s="10"/>
      <c r="R300" s="63"/>
    </row>
    <row r="301" spans="1:18" x14ac:dyDescent="0.25">
      <c r="A301" s="13">
        <f t="shared" si="11"/>
        <v>73</v>
      </c>
      <c r="B301" s="4"/>
      <c r="C301" s="9"/>
      <c r="D301" s="369"/>
      <c r="E301" s="481"/>
      <c r="F301" s="369"/>
      <c r="G301" s="481"/>
      <c r="H301" s="369"/>
      <c r="I301" s="481"/>
      <c r="J301" s="369"/>
      <c r="K301" s="481"/>
      <c r="L301" s="369"/>
      <c r="M301" s="481"/>
      <c r="N301" s="565"/>
      <c r="O301" s="8"/>
      <c r="P301" s="338"/>
      <c r="Q301" s="10"/>
      <c r="R301" s="63"/>
    </row>
    <row r="302" spans="1:18" x14ac:dyDescent="0.25">
      <c r="A302" s="13">
        <f t="shared" si="11"/>
        <v>74</v>
      </c>
      <c r="B302" s="4"/>
      <c r="C302" s="9"/>
      <c r="D302" s="369"/>
      <c r="E302" s="481"/>
      <c r="F302" s="369"/>
      <c r="G302" s="481"/>
      <c r="H302" s="369"/>
      <c r="I302" s="481"/>
      <c r="J302" s="369"/>
      <c r="K302" s="481"/>
      <c r="L302" s="369"/>
      <c r="M302" s="481"/>
      <c r="N302" s="565"/>
      <c r="O302" s="8"/>
      <c r="P302" s="338"/>
      <c r="Q302" s="10"/>
      <c r="R302" s="63"/>
    </row>
    <row r="303" spans="1:18" x14ac:dyDescent="0.25">
      <c r="A303" s="13">
        <f t="shared" si="11"/>
        <v>75</v>
      </c>
      <c r="B303" s="4"/>
      <c r="C303" s="9"/>
      <c r="D303" s="369"/>
      <c r="E303" s="481"/>
      <c r="F303" s="369"/>
      <c r="G303" s="481"/>
      <c r="H303" s="369"/>
      <c r="I303" s="481"/>
      <c r="J303" s="369"/>
      <c r="K303" s="481"/>
      <c r="L303" s="369"/>
      <c r="M303" s="481"/>
      <c r="N303" s="565"/>
      <c r="O303" s="8"/>
      <c r="P303" s="338"/>
      <c r="Q303" s="10"/>
      <c r="R303" s="63"/>
    </row>
    <row r="304" spans="1:18" x14ac:dyDescent="0.25">
      <c r="A304" s="13">
        <f t="shared" si="11"/>
        <v>76</v>
      </c>
      <c r="B304" s="4"/>
      <c r="C304" s="9"/>
      <c r="D304" s="369"/>
      <c r="E304" s="481"/>
      <c r="F304" s="369"/>
      <c r="G304" s="481"/>
      <c r="H304" s="369"/>
      <c r="I304" s="481"/>
      <c r="J304" s="369"/>
      <c r="K304" s="481"/>
      <c r="L304" s="369"/>
      <c r="M304" s="481"/>
      <c r="N304" s="565"/>
      <c r="O304" s="8"/>
      <c r="P304" s="338"/>
      <c r="Q304" s="10"/>
      <c r="R304" s="63"/>
    </row>
    <row r="305" spans="1:18" x14ac:dyDescent="0.25">
      <c r="A305" s="13">
        <f t="shared" si="11"/>
        <v>77</v>
      </c>
      <c r="B305" s="4"/>
      <c r="C305" s="9"/>
      <c r="D305" s="369"/>
      <c r="E305" s="481"/>
      <c r="F305" s="369"/>
      <c r="G305" s="481"/>
      <c r="H305" s="369"/>
      <c r="I305" s="481"/>
      <c r="J305" s="369"/>
      <c r="K305" s="481"/>
      <c r="L305" s="369"/>
      <c r="M305" s="481"/>
      <c r="N305" s="565"/>
      <c r="O305" s="8"/>
      <c r="P305" s="338"/>
      <c r="Q305" s="10"/>
      <c r="R305" s="63"/>
    </row>
    <row r="306" spans="1:18" x14ac:dyDescent="0.25">
      <c r="A306" s="13">
        <f t="shared" si="11"/>
        <v>78</v>
      </c>
      <c r="B306" s="4"/>
      <c r="C306" s="9"/>
      <c r="D306" s="369"/>
      <c r="E306" s="481"/>
      <c r="F306" s="369"/>
      <c r="G306" s="481"/>
      <c r="H306" s="369"/>
      <c r="I306" s="481"/>
      <c r="J306" s="369"/>
      <c r="K306" s="481"/>
      <c r="L306" s="369"/>
      <c r="M306" s="481"/>
      <c r="N306" s="565"/>
      <c r="O306" s="8"/>
      <c r="P306" s="338"/>
      <c r="Q306" s="10"/>
      <c r="R306" s="63"/>
    </row>
    <row r="307" spans="1:18" x14ac:dyDescent="0.25">
      <c r="A307" s="13">
        <f t="shared" si="11"/>
        <v>79</v>
      </c>
      <c r="B307" s="4"/>
      <c r="C307" s="8"/>
      <c r="D307" s="359"/>
      <c r="E307" s="478"/>
      <c r="F307" s="359"/>
      <c r="G307" s="478"/>
      <c r="H307" s="359"/>
      <c r="I307" s="478"/>
      <c r="J307" s="359"/>
      <c r="K307" s="478"/>
      <c r="L307" s="359"/>
      <c r="M307" s="478"/>
      <c r="N307" s="561"/>
      <c r="O307" s="8"/>
      <c r="P307" s="338"/>
      <c r="Q307" s="10"/>
      <c r="R307" s="63"/>
    </row>
    <row r="308" spans="1:18" x14ac:dyDescent="0.25">
      <c r="A308" s="13">
        <f t="shared" si="11"/>
        <v>80</v>
      </c>
      <c r="B308" s="4"/>
      <c r="C308" s="9"/>
      <c r="D308" s="369"/>
      <c r="E308" s="481"/>
      <c r="F308" s="369"/>
      <c r="G308" s="481"/>
      <c r="H308" s="369"/>
      <c r="I308" s="481"/>
      <c r="J308" s="369"/>
      <c r="K308" s="481"/>
      <c r="L308" s="369"/>
      <c r="M308" s="481"/>
      <c r="N308" s="565"/>
      <c r="O308" s="8"/>
      <c r="P308" s="338"/>
      <c r="Q308" s="10"/>
      <c r="R308" s="63"/>
    </row>
    <row r="309" spans="1:18" x14ac:dyDescent="0.25">
      <c r="A309" s="13">
        <f t="shared" si="11"/>
        <v>81</v>
      </c>
      <c r="B309" s="4"/>
      <c r="C309" s="9"/>
      <c r="D309" s="359"/>
      <c r="E309" s="478"/>
      <c r="F309" s="359"/>
      <c r="G309" s="478"/>
      <c r="H309" s="359"/>
      <c r="I309" s="478"/>
      <c r="J309" s="359"/>
      <c r="K309" s="478"/>
      <c r="L309" s="359"/>
      <c r="M309" s="478"/>
      <c r="N309" s="561"/>
      <c r="O309" s="8"/>
      <c r="P309" s="338"/>
      <c r="Q309" s="10"/>
      <c r="R309" s="63"/>
    </row>
    <row r="310" spans="1:18" x14ac:dyDescent="0.25">
      <c r="A310" s="13">
        <f t="shared" si="11"/>
        <v>82</v>
      </c>
      <c r="B310" s="4"/>
      <c r="C310" s="9"/>
      <c r="D310" s="369"/>
      <c r="E310" s="481"/>
      <c r="F310" s="369"/>
      <c r="G310" s="481"/>
      <c r="H310" s="369"/>
      <c r="I310" s="481"/>
      <c r="J310" s="369"/>
      <c r="K310" s="481"/>
      <c r="L310" s="369"/>
      <c r="M310" s="481"/>
      <c r="N310" s="565"/>
      <c r="O310" s="8"/>
      <c r="P310" s="338"/>
      <c r="Q310" s="10"/>
      <c r="R310" s="63"/>
    </row>
    <row r="311" spans="1:18" x14ac:dyDescent="0.25">
      <c r="A311" s="13">
        <f t="shared" si="11"/>
        <v>83</v>
      </c>
      <c r="B311" s="4"/>
      <c r="C311" s="9"/>
      <c r="D311" s="369"/>
      <c r="E311" s="481"/>
      <c r="F311" s="369"/>
      <c r="G311" s="481"/>
      <c r="H311" s="369"/>
      <c r="I311" s="481"/>
      <c r="J311" s="369"/>
      <c r="K311" s="481"/>
      <c r="L311" s="369"/>
      <c r="M311" s="481"/>
      <c r="N311" s="565"/>
      <c r="O311" s="8"/>
      <c r="P311" s="338"/>
      <c r="Q311" s="10"/>
      <c r="R311" s="63"/>
    </row>
    <row r="312" spans="1:18" x14ac:dyDescent="0.25">
      <c r="A312" s="13">
        <f t="shared" si="11"/>
        <v>84</v>
      </c>
      <c r="B312" s="4"/>
      <c r="C312" s="8"/>
      <c r="D312" s="369"/>
      <c r="E312" s="481"/>
      <c r="F312" s="369"/>
      <c r="G312" s="481"/>
      <c r="H312" s="369"/>
      <c r="I312" s="481"/>
      <c r="J312" s="369"/>
      <c r="K312" s="481"/>
      <c r="L312" s="369"/>
      <c r="M312" s="481"/>
      <c r="N312" s="565"/>
      <c r="O312" s="8"/>
      <c r="P312" s="338"/>
      <c r="Q312" s="10"/>
      <c r="R312" s="63"/>
    </row>
    <row r="313" spans="1:18" x14ac:dyDescent="0.25">
      <c r="A313" s="13">
        <f t="shared" si="11"/>
        <v>85</v>
      </c>
      <c r="B313" s="4"/>
      <c r="C313" s="9"/>
      <c r="D313" s="369"/>
      <c r="E313" s="481"/>
      <c r="F313" s="369"/>
      <c r="G313" s="481"/>
      <c r="H313" s="369"/>
      <c r="I313" s="481"/>
      <c r="J313" s="369"/>
      <c r="K313" s="481"/>
      <c r="L313" s="369"/>
      <c r="M313" s="481"/>
      <c r="N313" s="565"/>
      <c r="O313" s="8"/>
      <c r="P313" s="338"/>
      <c r="Q313" s="10"/>
      <c r="R313" s="63"/>
    </row>
    <row r="314" spans="1:18" x14ac:dyDescent="0.25">
      <c r="A314" s="13">
        <f t="shared" si="11"/>
        <v>86</v>
      </c>
      <c r="B314" s="4"/>
      <c r="C314" s="9"/>
      <c r="D314" s="359"/>
      <c r="E314" s="478"/>
      <c r="F314" s="359"/>
      <c r="G314" s="478"/>
      <c r="H314" s="359"/>
      <c r="I314" s="478"/>
      <c r="J314" s="359"/>
      <c r="K314" s="478"/>
      <c r="L314" s="359"/>
      <c r="M314" s="478"/>
      <c r="N314" s="561"/>
      <c r="O314" s="8"/>
      <c r="P314" s="338"/>
      <c r="Q314" s="10"/>
      <c r="R314" s="63"/>
    </row>
    <row r="315" spans="1:18" x14ac:dyDescent="0.25">
      <c r="A315" s="13">
        <f t="shared" si="11"/>
        <v>87</v>
      </c>
      <c r="B315" s="4"/>
      <c r="C315" s="9"/>
      <c r="D315" s="369"/>
      <c r="E315" s="481"/>
      <c r="F315" s="369"/>
      <c r="G315" s="481"/>
      <c r="H315" s="369"/>
      <c r="I315" s="481"/>
      <c r="J315" s="369"/>
      <c r="K315" s="481"/>
      <c r="L315" s="369"/>
      <c r="M315" s="481"/>
      <c r="N315" s="565"/>
      <c r="O315" s="8"/>
      <c r="P315" s="338"/>
      <c r="Q315" s="10"/>
      <c r="R315" s="63"/>
    </row>
    <row r="316" spans="1:18" x14ac:dyDescent="0.25">
      <c r="A316" s="13">
        <f t="shared" si="11"/>
        <v>88</v>
      </c>
      <c r="B316" s="4"/>
      <c r="C316" s="8"/>
      <c r="D316" s="369"/>
      <c r="E316" s="481"/>
      <c r="F316" s="369"/>
      <c r="G316" s="481"/>
      <c r="H316" s="369"/>
      <c r="I316" s="481"/>
      <c r="J316" s="369"/>
      <c r="K316" s="481"/>
      <c r="L316" s="369"/>
      <c r="M316" s="481"/>
      <c r="N316" s="565"/>
      <c r="O316" s="8"/>
      <c r="P316" s="338"/>
      <c r="Q316" s="10"/>
      <c r="R316" s="63"/>
    </row>
    <row r="317" spans="1:18" x14ac:dyDescent="0.25">
      <c r="A317" s="13">
        <f t="shared" si="11"/>
        <v>89</v>
      </c>
      <c r="B317" s="4"/>
      <c r="C317" s="9"/>
      <c r="D317" s="369"/>
      <c r="E317" s="481"/>
      <c r="F317" s="369"/>
      <c r="G317" s="481"/>
      <c r="H317" s="369"/>
      <c r="I317" s="481"/>
      <c r="J317" s="369"/>
      <c r="K317" s="481"/>
      <c r="L317" s="369"/>
      <c r="M317" s="481"/>
      <c r="N317" s="565"/>
      <c r="O317" s="8"/>
      <c r="P317" s="338"/>
      <c r="Q317" s="10"/>
      <c r="R317" s="63"/>
    </row>
    <row r="318" spans="1:18" x14ac:dyDescent="0.25">
      <c r="A318" s="13">
        <f t="shared" si="11"/>
        <v>90</v>
      </c>
      <c r="B318" s="4"/>
      <c r="C318" s="9"/>
      <c r="D318" s="369"/>
      <c r="E318" s="481"/>
      <c r="F318" s="369"/>
      <c r="G318" s="481"/>
      <c r="H318" s="369"/>
      <c r="I318" s="481"/>
      <c r="J318" s="369"/>
      <c r="K318" s="481"/>
      <c r="L318" s="369"/>
      <c r="M318" s="481"/>
      <c r="N318" s="565"/>
      <c r="O318" s="8"/>
      <c r="P318" s="338"/>
      <c r="Q318" s="10"/>
      <c r="R318" s="63"/>
    </row>
    <row r="319" spans="1:18" x14ac:dyDescent="0.25">
      <c r="A319" s="13">
        <f t="shared" si="11"/>
        <v>91</v>
      </c>
      <c r="B319" s="4"/>
      <c r="C319" s="9"/>
      <c r="D319" s="369"/>
      <c r="E319" s="481"/>
      <c r="F319" s="369"/>
      <c r="G319" s="481"/>
      <c r="H319" s="369"/>
      <c r="I319" s="481"/>
      <c r="J319" s="369"/>
      <c r="K319" s="481"/>
      <c r="L319" s="369"/>
      <c r="M319" s="481"/>
      <c r="N319" s="565"/>
      <c r="O319" s="8"/>
      <c r="P319" s="338"/>
      <c r="Q319" s="10"/>
      <c r="R319" s="63"/>
    </row>
    <row r="320" spans="1:18" x14ac:dyDescent="0.25">
      <c r="A320" s="13">
        <f t="shared" si="11"/>
        <v>92</v>
      </c>
      <c r="B320" s="4"/>
      <c r="C320" s="9"/>
      <c r="D320" s="369"/>
      <c r="E320" s="481"/>
      <c r="F320" s="369"/>
      <c r="G320" s="481"/>
      <c r="H320" s="369"/>
      <c r="I320" s="481"/>
      <c r="J320" s="369"/>
      <c r="K320" s="481"/>
      <c r="L320" s="369"/>
      <c r="M320" s="481"/>
      <c r="N320" s="565"/>
      <c r="O320" s="8"/>
      <c r="P320" s="338"/>
      <c r="Q320" s="10"/>
      <c r="R320" s="63"/>
    </row>
    <row r="321" spans="1:18" x14ac:dyDescent="0.25">
      <c r="A321" s="13">
        <f t="shared" si="11"/>
        <v>93</v>
      </c>
      <c r="B321" s="4"/>
      <c r="C321" s="9"/>
      <c r="D321" s="369"/>
      <c r="E321" s="481"/>
      <c r="F321" s="369"/>
      <c r="G321" s="481"/>
      <c r="H321" s="369"/>
      <c r="I321" s="481"/>
      <c r="J321" s="369"/>
      <c r="K321" s="481"/>
      <c r="L321" s="369"/>
      <c r="M321" s="481"/>
      <c r="N321" s="565"/>
      <c r="O321" s="8"/>
      <c r="P321" s="338"/>
      <c r="Q321" s="10"/>
      <c r="R321" s="63"/>
    </row>
    <row r="322" spans="1:18" x14ac:dyDescent="0.25">
      <c r="A322" s="13">
        <f t="shared" si="11"/>
        <v>94</v>
      </c>
      <c r="B322" s="4"/>
      <c r="C322" s="9"/>
      <c r="D322" s="369"/>
      <c r="E322" s="481"/>
      <c r="F322" s="369"/>
      <c r="G322" s="481"/>
      <c r="H322" s="369"/>
      <c r="I322" s="481"/>
      <c r="J322" s="369"/>
      <c r="K322" s="481"/>
      <c r="L322" s="369"/>
      <c r="M322" s="481"/>
      <c r="N322" s="565"/>
      <c r="O322" s="8"/>
      <c r="P322" s="338"/>
      <c r="Q322" s="10"/>
      <c r="R322" s="63"/>
    </row>
    <row r="323" spans="1:18" x14ac:dyDescent="0.25">
      <c r="A323" s="13">
        <f t="shared" si="11"/>
        <v>95</v>
      </c>
      <c r="B323" s="4"/>
      <c r="C323" s="9"/>
      <c r="D323" s="369"/>
      <c r="E323" s="481"/>
      <c r="F323" s="369"/>
      <c r="G323" s="481"/>
      <c r="H323" s="369"/>
      <c r="I323" s="481"/>
      <c r="J323" s="369"/>
      <c r="K323" s="481"/>
      <c r="L323" s="369"/>
      <c r="M323" s="481"/>
      <c r="N323" s="565"/>
      <c r="O323" s="8"/>
      <c r="P323" s="338"/>
      <c r="Q323" s="10"/>
      <c r="R323" s="63"/>
    </row>
    <row r="324" spans="1:18" x14ac:dyDescent="0.25">
      <c r="A324" s="13">
        <f t="shared" si="11"/>
        <v>96</v>
      </c>
      <c r="B324" s="4"/>
      <c r="C324" s="9"/>
      <c r="D324" s="369"/>
      <c r="E324" s="481"/>
      <c r="F324" s="369"/>
      <c r="G324" s="481"/>
      <c r="H324" s="369"/>
      <c r="I324" s="481"/>
      <c r="J324" s="369"/>
      <c r="K324" s="481"/>
      <c r="L324" s="369"/>
      <c r="M324" s="481"/>
      <c r="N324" s="565"/>
      <c r="O324" s="8"/>
      <c r="P324" s="338"/>
      <c r="Q324" s="10"/>
      <c r="R324" s="63"/>
    </row>
    <row r="325" spans="1:18" x14ac:dyDescent="0.25">
      <c r="A325" s="13">
        <f t="shared" si="11"/>
        <v>97</v>
      </c>
      <c r="B325" s="4"/>
      <c r="C325" s="9"/>
      <c r="D325" s="369"/>
      <c r="E325" s="481"/>
      <c r="F325" s="369"/>
      <c r="G325" s="481"/>
      <c r="H325" s="369"/>
      <c r="I325" s="481"/>
      <c r="J325" s="369"/>
      <c r="K325" s="481"/>
      <c r="L325" s="369"/>
      <c r="M325" s="481"/>
      <c r="N325" s="565"/>
      <c r="O325" s="8"/>
      <c r="P325" s="338"/>
      <c r="Q325" s="10"/>
      <c r="R325" s="63"/>
    </row>
    <row r="326" spans="1:18" x14ac:dyDescent="0.25">
      <c r="A326" s="13">
        <f t="shared" si="11"/>
        <v>98</v>
      </c>
      <c r="B326" s="4"/>
      <c r="C326" s="8"/>
      <c r="D326" s="359"/>
      <c r="E326" s="478"/>
      <c r="F326" s="359"/>
      <c r="G326" s="478"/>
      <c r="H326" s="359"/>
      <c r="I326" s="478"/>
      <c r="J326" s="359"/>
      <c r="K326" s="478"/>
      <c r="L326" s="359"/>
      <c r="M326" s="478"/>
      <c r="N326" s="561"/>
      <c r="O326" s="8"/>
      <c r="P326" s="338"/>
      <c r="Q326" s="10"/>
      <c r="R326" s="63"/>
    </row>
    <row r="327" spans="1:18" x14ac:dyDescent="0.25">
      <c r="A327" s="13">
        <f t="shared" si="11"/>
        <v>99</v>
      </c>
      <c r="B327" s="4"/>
      <c r="C327" s="9"/>
      <c r="D327" s="369"/>
      <c r="E327" s="481"/>
      <c r="F327" s="369"/>
      <c r="G327" s="481"/>
      <c r="H327" s="369"/>
      <c r="I327" s="481"/>
      <c r="J327" s="369"/>
      <c r="K327" s="481"/>
      <c r="L327" s="369"/>
      <c r="M327" s="481"/>
      <c r="N327" s="565"/>
      <c r="O327" s="8"/>
      <c r="P327" s="338"/>
      <c r="Q327" s="10"/>
      <c r="R327" s="63"/>
    </row>
    <row r="328" spans="1:18" x14ac:dyDescent="0.25">
      <c r="A328" s="13">
        <f t="shared" si="11"/>
        <v>100</v>
      </c>
      <c r="B328" s="4"/>
      <c r="C328" s="9"/>
      <c r="D328" s="369"/>
      <c r="E328" s="481"/>
      <c r="F328" s="369"/>
      <c r="G328" s="481"/>
      <c r="H328" s="369"/>
      <c r="I328" s="481"/>
      <c r="J328" s="369"/>
      <c r="K328" s="481"/>
      <c r="L328" s="369"/>
      <c r="M328" s="481"/>
      <c r="N328" s="565"/>
      <c r="O328" s="8"/>
      <c r="P328" s="338"/>
      <c r="Q328" s="10"/>
      <c r="R328" s="63"/>
    </row>
    <row r="329" spans="1:18" x14ac:dyDescent="0.25">
      <c r="A329" s="13">
        <f t="shared" si="11"/>
        <v>101</v>
      </c>
      <c r="B329" s="16"/>
      <c r="C329" s="17"/>
      <c r="D329" s="369"/>
      <c r="E329" s="481"/>
      <c r="F329" s="369"/>
      <c r="G329" s="481"/>
      <c r="H329" s="369"/>
      <c r="I329" s="481"/>
      <c r="J329" s="369"/>
      <c r="K329" s="481"/>
      <c r="L329" s="369"/>
      <c r="M329" s="481"/>
      <c r="N329" s="565"/>
      <c r="O329" s="8"/>
      <c r="P329" s="316"/>
      <c r="Q329" s="10"/>
      <c r="R329" s="63"/>
    </row>
    <row r="330" spans="1:18" x14ac:dyDescent="0.25">
      <c r="A330" s="13">
        <f t="shared" si="11"/>
        <v>102</v>
      </c>
      <c r="B330" s="16"/>
      <c r="C330" s="17"/>
      <c r="D330" s="369"/>
      <c r="E330" s="481"/>
      <c r="F330" s="369"/>
      <c r="G330" s="481"/>
      <c r="H330" s="369"/>
      <c r="I330" s="481"/>
      <c r="J330" s="369"/>
      <c r="K330" s="481"/>
      <c r="L330" s="369"/>
      <c r="M330" s="481"/>
      <c r="N330" s="565"/>
      <c r="O330" s="48"/>
      <c r="P330" s="316"/>
      <c r="Q330" s="10"/>
      <c r="R330" s="125"/>
    </row>
    <row r="331" spans="1:18" x14ac:dyDescent="0.25">
      <c r="A331" s="13">
        <f t="shared" si="11"/>
        <v>103</v>
      </c>
      <c r="B331" s="16"/>
      <c r="C331" s="17"/>
      <c r="D331" s="369"/>
      <c r="E331" s="481"/>
      <c r="F331" s="369"/>
      <c r="G331" s="481"/>
      <c r="H331" s="369"/>
      <c r="I331" s="481"/>
      <c r="J331" s="369"/>
      <c r="K331" s="481"/>
      <c r="L331" s="369"/>
      <c r="M331" s="481"/>
      <c r="N331" s="565"/>
      <c r="O331" s="48"/>
      <c r="P331" s="316"/>
      <c r="R331" s="125"/>
    </row>
    <row r="332" spans="1:18" x14ac:dyDescent="0.25">
      <c r="A332" s="13"/>
      <c r="B332" s="16"/>
      <c r="C332" s="17"/>
      <c r="D332" s="369"/>
      <c r="E332" s="481"/>
      <c r="F332" s="369"/>
      <c r="G332" s="481"/>
      <c r="H332" s="369"/>
      <c r="I332" s="481"/>
      <c r="J332" s="369"/>
      <c r="K332" s="481"/>
      <c r="L332" s="369"/>
      <c r="M332" s="481"/>
      <c r="N332" s="565"/>
      <c r="O332" s="48"/>
      <c r="P332" s="316"/>
      <c r="R332" s="125"/>
    </row>
    <row r="333" spans="1:18" x14ac:dyDescent="0.25">
      <c r="A333" s="13"/>
      <c r="B333" s="16"/>
      <c r="C333" s="17"/>
      <c r="D333" s="369"/>
      <c r="E333" s="481"/>
      <c r="F333" s="369"/>
      <c r="G333" s="481"/>
      <c r="H333" s="369"/>
      <c r="I333" s="481"/>
      <c r="J333" s="369"/>
      <c r="K333" s="481"/>
      <c r="L333" s="369"/>
      <c r="M333" s="481"/>
      <c r="N333" s="565"/>
      <c r="O333" s="48"/>
      <c r="P333" s="316"/>
      <c r="R333" s="125"/>
    </row>
    <row r="334" spans="1:18" x14ac:dyDescent="0.25">
      <c r="A334" s="13"/>
      <c r="B334" s="16"/>
      <c r="C334" s="17"/>
      <c r="D334" s="369"/>
      <c r="E334" s="481"/>
      <c r="F334" s="369"/>
      <c r="G334" s="481"/>
      <c r="H334" s="369"/>
      <c r="I334" s="481"/>
      <c r="J334" s="369"/>
      <c r="K334" s="481"/>
      <c r="L334" s="369"/>
      <c r="M334" s="481"/>
      <c r="N334" s="565"/>
      <c r="O334" s="48"/>
      <c r="P334" s="316"/>
      <c r="R334" s="125"/>
    </row>
    <row r="335" spans="1:18" x14ac:dyDescent="0.25">
      <c r="A335" s="13"/>
      <c r="B335" s="16"/>
      <c r="C335" s="17"/>
      <c r="D335" s="369"/>
      <c r="E335" s="481"/>
      <c r="F335" s="369"/>
      <c r="G335" s="481"/>
      <c r="H335" s="369"/>
      <c r="I335" s="481"/>
      <c r="J335" s="369"/>
      <c r="K335" s="481"/>
      <c r="L335" s="369"/>
      <c r="M335" s="481"/>
      <c r="N335" s="565"/>
      <c r="O335" s="48"/>
      <c r="P335" s="316"/>
      <c r="R335" s="125"/>
    </row>
    <row r="336" spans="1:18" x14ac:dyDescent="0.25">
      <c r="A336" s="13"/>
    </row>
    <row r="337" spans="1:1" x14ac:dyDescent="0.25">
      <c r="A337" s="13"/>
    </row>
  </sheetData>
  <autoFilter ref="A1:AD226"/>
  <sortState ref="B2:AD56">
    <sortCondition ref="B2"/>
  </sortState>
  <pageMargins left="0.7" right="0.7" top="0.75" bottom="0.75" header="0.3" footer="0.3"/>
  <pageSetup scale="80" orientation="portrait" horizontalDpi="4294967293" verticalDpi="30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M140"/>
  <sheetViews>
    <sheetView topLeftCell="A97" workbookViewId="0">
      <selection activeCell="H122" sqref="H122"/>
    </sheetView>
  </sheetViews>
  <sheetFormatPr baseColWidth="10" defaultRowHeight="15" x14ac:dyDescent="0.25"/>
  <cols>
    <col min="1" max="1" width="4" bestFit="1" customWidth="1"/>
    <col min="2" max="2" width="50.28515625" style="163" bestFit="1" customWidth="1"/>
    <col min="3" max="3" width="9.28515625" style="328" customWidth="1"/>
    <col min="4" max="5" width="11.42578125" style="213"/>
    <col min="7" max="7" width="14.42578125" bestFit="1" customWidth="1"/>
    <col min="8" max="8" width="11.7109375" customWidth="1"/>
  </cols>
  <sheetData>
    <row r="1" spans="1:9" ht="30" customHeight="1" x14ac:dyDescent="0.25">
      <c r="A1" s="42" t="s">
        <v>0</v>
      </c>
      <c r="B1" s="214" t="s">
        <v>707</v>
      </c>
      <c r="C1" s="188" t="s">
        <v>10</v>
      </c>
      <c r="D1" s="215" t="s">
        <v>9</v>
      </c>
      <c r="E1" s="212" t="s">
        <v>5</v>
      </c>
      <c r="F1" s="40" t="s">
        <v>8</v>
      </c>
      <c r="G1" s="170" t="s">
        <v>7</v>
      </c>
      <c r="H1" s="171" t="s">
        <v>6</v>
      </c>
      <c r="I1" s="97"/>
    </row>
    <row r="2" spans="1:9" ht="15.75" x14ac:dyDescent="0.25">
      <c r="A2" s="16">
        <v>1</v>
      </c>
      <c r="B2" s="164" t="s">
        <v>475</v>
      </c>
      <c r="C2" s="284">
        <v>2</v>
      </c>
      <c r="D2" s="169">
        <v>40</v>
      </c>
      <c r="E2" s="169">
        <v>65</v>
      </c>
      <c r="F2" s="244">
        <f>(E2-D2)/(E2)</f>
        <v>0.38461538461538464</v>
      </c>
      <c r="G2" s="245">
        <f>D2*C2</f>
        <v>80</v>
      </c>
      <c r="H2" s="246">
        <f>E2*C2</f>
        <v>130</v>
      </c>
      <c r="I2" s="8"/>
    </row>
    <row r="3" spans="1:9" ht="15.75" x14ac:dyDescent="0.25">
      <c r="A3" s="16">
        <f>A2+1</f>
        <v>2</v>
      </c>
      <c r="B3" s="164" t="s">
        <v>361</v>
      </c>
      <c r="C3" s="284">
        <v>3</v>
      </c>
      <c r="D3" s="101">
        <v>4.33</v>
      </c>
      <c r="E3" s="169">
        <v>9</v>
      </c>
      <c r="F3" s="244">
        <f t="shared" ref="F3:F34" si="0">(E3-D3)/(E3)</f>
        <v>0.51888888888888884</v>
      </c>
      <c r="G3" s="245">
        <f t="shared" ref="G3:G34" si="1">D3*C3</f>
        <v>12.99</v>
      </c>
      <c r="H3" s="246">
        <f t="shared" ref="H3:H34" si="2">E3*C3</f>
        <v>27</v>
      </c>
      <c r="I3" s="8"/>
    </row>
    <row r="4" spans="1:9" ht="15.75" x14ac:dyDescent="0.25">
      <c r="A4" s="16">
        <f t="shared" ref="A4:A67" si="3">A3+1</f>
        <v>3</v>
      </c>
      <c r="B4" s="164" t="s">
        <v>362</v>
      </c>
      <c r="C4" s="284">
        <v>4</v>
      </c>
      <c r="D4" s="169">
        <v>3</v>
      </c>
      <c r="E4" s="169">
        <v>5</v>
      </c>
      <c r="F4" s="244">
        <f t="shared" si="0"/>
        <v>0.4</v>
      </c>
      <c r="G4" s="245">
        <f t="shared" si="1"/>
        <v>12</v>
      </c>
      <c r="H4" s="246">
        <f t="shared" si="2"/>
        <v>20</v>
      </c>
      <c r="I4" s="8"/>
    </row>
    <row r="5" spans="1:9" ht="15.75" x14ac:dyDescent="0.25">
      <c r="A5" s="16">
        <f t="shared" si="3"/>
        <v>4</v>
      </c>
      <c r="B5" s="164" t="s">
        <v>363</v>
      </c>
      <c r="C5" s="284">
        <v>4</v>
      </c>
      <c r="D5" s="101">
        <v>4.6500000000000004</v>
      </c>
      <c r="E5" s="169">
        <v>10</v>
      </c>
      <c r="F5" s="244">
        <f t="shared" si="0"/>
        <v>0.53499999999999992</v>
      </c>
      <c r="G5" s="245">
        <f t="shared" si="1"/>
        <v>18.600000000000001</v>
      </c>
      <c r="H5" s="246">
        <f t="shared" si="2"/>
        <v>40</v>
      </c>
      <c r="I5" s="8"/>
    </row>
    <row r="6" spans="1:9" ht="15.75" x14ac:dyDescent="0.25">
      <c r="A6" s="16">
        <f t="shared" si="3"/>
        <v>5</v>
      </c>
      <c r="B6" s="164" t="s">
        <v>365</v>
      </c>
      <c r="C6" s="284">
        <v>6</v>
      </c>
      <c r="D6" s="169">
        <v>6.16</v>
      </c>
      <c r="E6" s="169">
        <v>10</v>
      </c>
      <c r="F6" s="244">
        <f t="shared" si="0"/>
        <v>0.38400000000000001</v>
      </c>
      <c r="G6" s="245">
        <f t="shared" si="1"/>
        <v>36.96</v>
      </c>
      <c r="H6" s="246">
        <f t="shared" si="2"/>
        <v>60</v>
      </c>
      <c r="I6" s="8"/>
    </row>
    <row r="7" spans="1:9" ht="15.75" x14ac:dyDescent="0.25">
      <c r="A7" s="16">
        <f t="shared" si="3"/>
        <v>6</v>
      </c>
      <c r="B7" s="164" t="s">
        <v>366</v>
      </c>
      <c r="C7" s="284">
        <v>3</v>
      </c>
      <c r="D7" s="101">
        <v>5</v>
      </c>
      <c r="E7" s="169">
        <v>10</v>
      </c>
      <c r="F7" s="244">
        <f t="shared" si="0"/>
        <v>0.5</v>
      </c>
      <c r="G7" s="245">
        <f t="shared" si="1"/>
        <v>15</v>
      </c>
      <c r="H7" s="246">
        <f t="shared" si="2"/>
        <v>30</v>
      </c>
      <c r="I7" s="8"/>
    </row>
    <row r="8" spans="1:9" ht="15.75" x14ac:dyDescent="0.25">
      <c r="A8" s="16">
        <f t="shared" si="3"/>
        <v>7</v>
      </c>
      <c r="B8" s="164" t="s">
        <v>576</v>
      </c>
      <c r="C8" s="284">
        <v>6</v>
      </c>
      <c r="D8" s="169">
        <v>3.34</v>
      </c>
      <c r="E8" s="169">
        <v>5.5</v>
      </c>
      <c r="F8" s="244">
        <f t="shared" si="0"/>
        <v>0.39272727272727276</v>
      </c>
      <c r="G8" s="245">
        <f t="shared" si="1"/>
        <v>20.04</v>
      </c>
      <c r="H8" s="246">
        <f t="shared" si="2"/>
        <v>33</v>
      </c>
      <c r="I8" s="8"/>
    </row>
    <row r="9" spans="1:9" ht="15.75" x14ac:dyDescent="0.25">
      <c r="A9" s="16">
        <f t="shared" si="3"/>
        <v>8</v>
      </c>
      <c r="B9" s="164" t="s">
        <v>998</v>
      </c>
      <c r="C9" s="284">
        <v>6</v>
      </c>
      <c r="D9" s="169">
        <v>2.5</v>
      </c>
      <c r="E9" s="169">
        <v>5.5</v>
      </c>
      <c r="F9" s="244">
        <f t="shared" si="0"/>
        <v>0.54545454545454541</v>
      </c>
      <c r="G9" s="245">
        <f t="shared" si="1"/>
        <v>15</v>
      </c>
      <c r="H9" s="246">
        <f t="shared" si="2"/>
        <v>33</v>
      </c>
      <c r="I9" s="8"/>
    </row>
    <row r="10" spans="1:9" ht="15.75" x14ac:dyDescent="0.25">
      <c r="A10" s="16">
        <f t="shared" si="3"/>
        <v>9</v>
      </c>
      <c r="B10" s="164" t="s">
        <v>800</v>
      </c>
      <c r="C10" s="284">
        <v>1</v>
      </c>
      <c r="D10" s="101">
        <v>47.5</v>
      </c>
      <c r="E10" s="169">
        <v>80</v>
      </c>
      <c r="F10" s="244">
        <f t="shared" si="0"/>
        <v>0.40625</v>
      </c>
      <c r="G10" s="245">
        <f t="shared" si="1"/>
        <v>47.5</v>
      </c>
      <c r="H10" s="246">
        <f t="shared" si="2"/>
        <v>80</v>
      </c>
      <c r="I10" s="8"/>
    </row>
    <row r="11" spans="1:9" ht="15.75" x14ac:dyDescent="0.25">
      <c r="A11" s="16">
        <f t="shared" si="3"/>
        <v>10</v>
      </c>
      <c r="B11" s="164" t="s">
        <v>574</v>
      </c>
      <c r="C11" s="284">
        <v>3</v>
      </c>
      <c r="D11" s="169">
        <v>17</v>
      </c>
      <c r="E11" s="169">
        <v>30</v>
      </c>
      <c r="F11" s="244">
        <f t="shared" si="0"/>
        <v>0.43333333333333335</v>
      </c>
      <c r="G11" s="245">
        <f t="shared" si="1"/>
        <v>51</v>
      </c>
      <c r="H11" s="246">
        <f t="shared" si="2"/>
        <v>90</v>
      </c>
      <c r="I11" s="8"/>
    </row>
    <row r="12" spans="1:9" ht="15.75" x14ac:dyDescent="0.25">
      <c r="A12" s="16">
        <f t="shared" si="3"/>
        <v>11</v>
      </c>
      <c r="B12" s="164" t="s">
        <v>573</v>
      </c>
      <c r="C12" s="284">
        <v>8</v>
      </c>
      <c r="D12" s="101">
        <v>5.45</v>
      </c>
      <c r="E12" s="169">
        <v>10</v>
      </c>
      <c r="F12" s="244">
        <f t="shared" si="0"/>
        <v>0.45499999999999996</v>
      </c>
      <c r="G12" s="245">
        <f t="shared" si="1"/>
        <v>43.6</v>
      </c>
      <c r="H12" s="246">
        <f t="shared" si="2"/>
        <v>80</v>
      </c>
      <c r="I12" s="10"/>
    </row>
    <row r="13" spans="1:9" ht="15.75" x14ac:dyDescent="0.25">
      <c r="A13" s="16">
        <f t="shared" si="3"/>
        <v>12</v>
      </c>
      <c r="B13" s="164" t="s">
        <v>487</v>
      </c>
      <c r="C13" s="284">
        <v>2</v>
      </c>
      <c r="D13" s="169">
        <v>8.32</v>
      </c>
      <c r="E13" s="169">
        <v>14</v>
      </c>
      <c r="F13" s="244">
        <f t="shared" si="0"/>
        <v>0.40571428571428569</v>
      </c>
      <c r="G13" s="245">
        <f t="shared" si="1"/>
        <v>16.64</v>
      </c>
      <c r="H13" s="246">
        <f t="shared" si="2"/>
        <v>28</v>
      </c>
      <c r="I13" s="8"/>
    </row>
    <row r="14" spans="1:9" ht="15.75" x14ac:dyDescent="0.25">
      <c r="A14" s="16">
        <f t="shared" si="3"/>
        <v>13</v>
      </c>
      <c r="B14" s="164" t="s">
        <v>370</v>
      </c>
      <c r="C14" s="284">
        <v>4</v>
      </c>
      <c r="D14" s="101">
        <v>6</v>
      </c>
      <c r="E14" s="169">
        <v>12</v>
      </c>
      <c r="F14" s="244">
        <f t="shared" si="0"/>
        <v>0.5</v>
      </c>
      <c r="G14" s="245">
        <f t="shared" si="1"/>
        <v>24</v>
      </c>
      <c r="H14" s="246">
        <f t="shared" si="2"/>
        <v>48</v>
      </c>
      <c r="I14" s="8"/>
    </row>
    <row r="15" spans="1:9" ht="15.75" x14ac:dyDescent="0.25">
      <c r="A15" s="16">
        <f t="shared" si="3"/>
        <v>14</v>
      </c>
      <c r="B15" s="164" t="s">
        <v>92</v>
      </c>
      <c r="C15" s="284">
        <v>19</v>
      </c>
      <c r="D15" s="169">
        <v>1.01</v>
      </c>
      <c r="E15" s="169">
        <v>1.5</v>
      </c>
      <c r="F15" s="244">
        <f t="shared" si="0"/>
        <v>0.32666666666666666</v>
      </c>
      <c r="G15" s="245">
        <f t="shared" si="1"/>
        <v>19.190000000000001</v>
      </c>
      <c r="H15" s="246">
        <f t="shared" si="2"/>
        <v>28.5</v>
      </c>
      <c r="I15" s="8"/>
    </row>
    <row r="16" spans="1:9" ht="15.75" x14ac:dyDescent="0.25">
      <c r="A16" s="16">
        <f t="shared" si="3"/>
        <v>15</v>
      </c>
      <c r="B16" s="164" t="s">
        <v>634</v>
      </c>
      <c r="C16" s="284">
        <v>4</v>
      </c>
      <c r="D16" s="169">
        <v>3.33</v>
      </c>
      <c r="E16" s="169">
        <v>5</v>
      </c>
      <c r="F16" s="244">
        <f t="shared" si="0"/>
        <v>0.33399999999999996</v>
      </c>
      <c r="G16" s="245">
        <f t="shared" si="1"/>
        <v>13.32</v>
      </c>
      <c r="H16" s="246">
        <f t="shared" si="2"/>
        <v>20</v>
      </c>
      <c r="I16" s="8"/>
    </row>
    <row r="17" spans="1:9" ht="15.75" x14ac:dyDescent="0.25">
      <c r="A17" s="16">
        <f t="shared" si="3"/>
        <v>16</v>
      </c>
      <c r="B17" s="164" t="s">
        <v>1318</v>
      </c>
      <c r="C17" s="284">
        <v>8</v>
      </c>
      <c r="D17" s="101">
        <v>3.08</v>
      </c>
      <c r="E17" s="169">
        <v>16</v>
      </c>
      <c r="F17" s="244">
        <f t="shared" si="0"/>
        <v>0.8075</v>
      </c>
      <c r="G17" s="245">
        <f t="shared" si="1"/>
        <v>24.64</v>
      </c>
      <c r="H17" s="246">
        <f t="shared" si="2"/>
        <v>128</v>
      </c>
      <c r="I17" s="8"/>
    </row>
    <row r="18" spans="1:9" ht="15.75" x14ac:dyDescent="0.25">
      <c r="A18" s="16">
        <f t="shared" si="3"/>
        <v>17</v>
      </c>
      <c r="B18" s="164" t="s">
        <v>770</v>
      </c>
      <c r="C18" s="284">
        <v>1</v>
      </c>
      <c r="D18" s="101">
        <v>8.75</v>
      </c>
      <c r="E18" s="169">
        <v>14</v>
      </c>
      <c r="F18" s="244">
        <f t="shared" si="0"/>
        <v>0.375</v>
      </c>
      <c r="G18" s="245">
        <f t="shared" si="1"/>
        <v>8.75</v>
      </c>
      <c r="H18" s="246">
        <f t="shared" si="2"/>
        <v>14</v>
      </c>
      <c r="I18" s="8"/>
    </row>
    <row r="19" spans="1:9" ht="15.75" x14ac:dyDescent="0.25">
      <c r="A19" s="16">
        <f t="shared" si="3"/>
        <v>18</v>
      </c>
      <c r="B19" s="164" t="s">
        <v>1419</v>
      </c>
      <c r="C19" s="667">
        <v>1</v>
      </c>
      <c r="D19" s="101">
        <v>60</v>
      </c>
      <c r="E19" s="169">
        <v>98</v>
      </c>
      <c r="F19" s="244">
        <f t="shared" si="0"/>
        <v>0.38775510204081631</v>
      </c>
      <c r="G19" s="245">
        <f t="shared" si="1"/>
        <v>60</v>
      </c>
      <c r="H19" s="246">
        <f t="shared" si="2"/>
        <v>98</v>
      </c>
      <c r="I19" s="8"/>
    </row>
    <row r="20" spans="1:9" ht="15.75" x14ac:dyDescent="0.25">
      <c r="A20" s="16">
        <f t="shared" si="3"/>
        <v>19</v>
      </c>
      <c r="B20" s="105" t="s">
        <v>1426</v>
      </c>
      <c r="C20" s="284">
        <v>0</v>
      </c>
      <c r="D20" s="169">
        <v>40</v>
      </c>
      <c r="E20" s="169">
        <v>68</v>
      </c>
      <c r="F20" s="244">
        <f t="shared" si="0"/>
        <v>0.41176470588235292</v>
      </c>
      <c r="G20" s="245">
        <f t="shared" si="1"/>
        <v>0</v>
      </c>
      <c r="H20" s="246">
        <f t="shared" si="2"/>
        <v>0</v>
      </c>
      <c r="I20" s="10"/>
    </row>
    <row r="21" spans="1:9" ht="15.75" x14ac:dyDescent="0.25">
      <c r="A21" s="16">
        <f t="shared" si="3"/>
        <v>20</v>
      </c>
      <c r="B21" s="164" t="s">
        <v>1422</v>
      </c>
      <c r="C21" s="284">
        <v>0</v>
      </c>
      <c r="D21" s="169">
        <v>45</v>
      </c>
      <c r="E21" s="169">
        <v>73</v>
      </c>
      <c r="F21" s="244">
        <f t="shared" si="0"/>
        <v>0.38356164383561642</v>
      </c>
      <c r="G21" s="245">
        <f t="shared" si="1"/>
        <v>0</v>
      </c>
      <c r="H21" s="246">
        <f t="shared" si="2"/>
        <v>0</v>
      </c>
      <c r="I21" s="8"/>
    </row>
    <row r="22" spans="1:9" ht="15.75" x14ac:dyDescent="0.25">
      <c r="A22" s="16">
        <f t="shared" si="3"/>
        <v>21</v>
      </c>
      <c r="B22" s="105" t="s">
        <v>1427</v>
      </c>
      <c r="C22" s="284">
        <v>1</v>
      </c>
      <c r="D22" s="169">
        <v>40</v>
      </c>
      <c r="E22" s="169">
        <v>68</v>
      </c>
      <c r="F22" s="244">
        <f t="shared" si="0"/>
        <v>0.41176470588235292</v>
      </c>
      <c r="G22" s="245">
        <f t="shared" si="1"/>
        <v>40</v>
      </c>
      <c r="H22" s="246">
        <f t="shared" si="2"/>
        <v>68</v>
      </c>
      <c r="I22" s="8"/>
    </row>
    <row r="23" spans="1:9" ht="15.75" x14ac:dyDescent="0.25">
      <c r="A23" s="16">
        <f t="shared" si="3"/>
        <v>22</v>
      </c>
      <c r="B23" s="105" t="s">
        <v>1424</v>
      </c>
      <c r="C23" s="284">
        <v>1</v>
      </c>
      <c r="D23" s="169">
        <v>40</v>
      </c>
      <c r="E23" s="169">
        <v>68</v>
      </c>
      <c r="F23" s="244">
        <f t="shared" si="0"/>
        <v>0.41176470588235292</v>
      </c>
      <c r="G23" s="245">
        <f t="shared" si="1"/>
        <v>40</v>
      </c>
      <c r="H23" s="246">
        <f t="shared" si="2"/>
        <v>68</v>
      </c>
      <c r="I23" s="8"/>
    </row>
    <row r="24" spans="1:9" ht="15.75" x14ac:dyDescent="0.25">
      <c r="A24" s="16">
        <f t="shared" si="3"/>
        <v>23</v>
      </c>
      <c r="B24" s="105" t="s">
        <v>1425</v>
      </c>
      <c r="C24" s="284">
        <v>0</v>
      </c>
      <c r="D24" s="169">
        <v>40</v>
      </c>
      <c r="E24" s="169">
        <v>68</v>
      </c>
      <c r="F24" s="244">
        <f t="shared" si="0"/>
        <v>0.41176470588235292</v>
      </c>
      <c r="G24" s="245">
        <f t="shared" si="1"/>
        <v>0</v>
      </c>
      <c r="H24" s="246">
        <f t="shared" si="2"/>
        <v>0</v>
      </c>
      <c r="I24" s="8"/>
    </row>
    <row r="25" spans="1:9" ht="15.75" x14ac:dyDescent="0.25">
      <c r="A25" s="16">
        <f t="shared" si="3"/>
        <v>24</v>
      </c>
      <c r="B25" s="164" t="s">
        <v>371</v>
      </c>
      <c r="C25" s="284">
        <v>1</v>
      </c>
      <c r="D25" s="169">
        <v>30</v>
      </c>
      <c r="E25" s="169">
        <v>58</v>
      </c>
      <c r="F25" s="244">
        <f t="shared" si="0"/>
        <v>0.48275862068965519</v>
      </c>
      <c r="G25" s="245">
        <f t="shared" si="1"/>
        <v>30</v>
      </c>
      <c r="H25" s="246">
        <f t="shared" si="2"/>
        <v>58</v>
      </c>
      <c r="I25" s="8"/>
    </row>
    <row r="26" spans="1:9" ht="15.75" x14ac:dyDescent="0.25">
      <c r="A26" s="16">
        <f t="shared" si="3"/>
        <v>25</v>
      </c>
      <c r="B26" s="164" t="s">
        <v>372</v>
      </c>
      <c r="C26" s="284">
        <v>1</v>
      </c>
      <c r="D26" s="101">
        <v>40</v>
      </c>
      <c r="E26" s="169">
        <v>63</v>
      </c>
      <c r="F26" s="244">
        <f t="shared" si="0"/>
        <v>0.36507936507936506</v>
      </c>
      <c r="G26" s="245">
        <f t="shared" si="1"/>
        <v>40</v>
      </c>
      <c r="H26" s="246">
        <f t="shared" si="2"/>
        <v>63</v>
      </c>
      <c r="I26" s="8"/>
    </row>
    <row r="27" spans="1:9" ht="15.75" x14ac:dyDescent="0.25">
      <c r="A27" s="16">
        <f t="shared" si="3"/>
        <v>26</v>
      </c>
      <c r="B27" s="164" t="s">
        <v>373</v>
      </c>
      <c r="C27" s="284">
        <v>1</v>
      </c>
      <c r="D27" s="169">
        <v>42</v>
      </c>
      <c r="E27" s="169">
        <v>69</v>
      </c>
      <c r="F27" s="244">
        <f t="shared" si="0"/>
        <v>0.39130434782608697</v>
      </c>
      <c r="G27" s="245">
        <f t="shared" si="1"/>
        <v>42</v>
      </c>
      <c r="H27" s="246">
        <f t="shared" si="2"/>
        <v>69</v>
      </c>
      <c r="I27" s="8"/>
    </row>
    <row r="28" spans="1:9" ht="15.75" x14ac:dyDescent="0.25">
      <c r="A28" s="16">
        <f t="shared" si="3"/>
        <v>27</v>
      </c>
      <c r="B28" s="164" t="s">
        <v>1421</v>
      </c>
      <c r="C28" s="284">
        <v>1</v>
      </c>
      <c r="D28" s="101">
        <v>35</v>
      </c>
      <c r="E28" s="169">
        <v>58</v>
      </c>
      <c r="F28" s="244">
        <f t="shared" si="0"/>
        <v>0.39655172413793105</v>
      </c>
      <c r="G28" s="245">
        <f t="shared" si="1"/>
        <v>35</v>
      </c>
      <c r="H28" s="246">
        <f t="shared" si="2"/>
        <v>58</v>
      </c>
      <c r="I28" s="8"/>
    </row>
    <row r="29" spans="1:9" ht="15.75" x14ac:dyDescent="0.25">
      <c r="A29" s="16">
        <f t="shared" si="3"/>
        <v>28</v>
      </c>
      <c r="B29" s="164" t="s">
        <v>374</v>
      </c>
      <c r="C29" s="284">
        <v>1</v>
      </c>
      <c r="D29" s="101">
        <v>30</v>
      </c>
      <c r="E29" s="169">
        <v>58</v>
      </c>
      <c r="F29" s="244">
        <f t="shared" si="0"/>
        <v>0.48275862068965519</v>
      </c>
      <c r="G29" s="245">
        <f t="shared" si="1"/>
        <v>30</v>
      </c>
      <c r="H29" s="246">
        <f t="shared" si="2"/>
        <v>58</v>
      </c>
      <c r="I29" s="8"/>
    </row>
    <row r="30" spans="1:9" ht="15.75" x14ac:dyDescent="0.25">
      <c r="A30" s="16">
        <f t="shared" si="3"/>
        <v>29</v>
      </c>
      <c r="B30" s="164" t="s">
        <v>1420</v>
      </c>
      <c r="C30" s="284">
        <v>1</v>
      </c>
      <c r="D30" s="101">
        <v>75</v>
      </c>
      <c r="E30" s="169">
        <v>121</v>
      </c>
      <c r="F30" s="244">
        <f t="shared" si="0"/>
        <v>0.38016528925619836</v>
      </c>
      <c r="G30" s="245">
        <f t="shared" si="1"/>
        <v>75</v>
      </c>
      <c r="H30" s="246">
        <f t="shared" si="2"/>
        <v>121</v>
      </c>
      <c r="I30" s="8"/>
    </row>
    <row r="31" spans="1:9" ht="15.75" x14ac:dyDescent="0.25">
      <c r="A31" s="16">
        <f t="shared" si="3"/>
        <v>30</v>
      </c>
      <c r="B31" s="164" t="s">
        <v>615</v>
      </c>
      <c r="C31" s="284">
        <v>1</v>
      </c>
      <c r="D31" s="101">
        <v>90</v>
      </c>
      <c r="E31" s="169">
        <v>137</v>
      </c>
      <c r="F31" s="244">
        <f t="shared" si="0"/>
        <v>0.34306569343065696</v>
      </c>
      <c r="G31" s="245">
        <f t="shared" si="1"/>
        <v>90</v>
      </c>
      <c r="H31" s="246">
        <f t="shared" si="2"/>
        <v>137</v>
      </c>
      <c r="I31" s="8"/>
    </row>
    <row r="32" spans="1:9" ht="15.75" x14ac:dyDescent="0.25">
      <c r="A32" s="16">
        <f t="shared" si="3"/>
        <v>31</v>
      </c>
      <c r="B32" s="164" t="s">
        <v>550</v>
      </c>
      <c r="C32" s="284">
        <v>1</v>
      </c>
      <c r="D32" s="169">
        <v>30</v>
      </c>
      <c r="E32" s="169">
        <v>49</v>
      </c>
      <c r="F32" s="244">
        <f t="shared" si="0"/>
        <v>0.38775510204081631</v>
      </c>
      <c r="G32" s="245">
        <f t="shared" si="1"/>
        <v>30</v>
      </c>
      <c r="H32" s="246">
        <f t="shared" si="2"/>
        <v>49</v>
      </c>
      <c r="I32" s="8"/>
    </row>
    <row r="33" spans="1:13" ht="15.75" x14ac:dyDescent="0.25">
      <c r="A33" s="16">
        <f t="shared" si="3"/>
        <v>32</v>
      </c>
      <c r="B33" s="164" t="s">
        <v>543</v>
      </c>
      <c r="C33" s="284">
        <v>1</v>
      </c>
      <c r="D33" s="10">
        <v>25</v>
      </c>
      <c r="E33" s="169">
        <v>42</v>
      </c>
      <c r="F33" s="244">
        <f t="shared" si="0"/>
        <v>0.40476190476190477</v>
      </c>
      <c r="G33" s="245">
        <f t="shared" si="1"/>
        <v>25</v>
      </c>
      <c r="H33" s="246">
        <f t="shared" si="2"/>
        <v>42</v>
      </c>
      <c r="I33" s="8"/>
    </row>
    <row r="34" spans="1:13" ht="15.75" x14ac:dyDescent="0.25">
      <c r="A34" s="16">
        <f t="shared" si="3"/>
        <v>33</v>
      </c>
      <c r="B34" s="164" t="s">
        <v>465</v>
      </c>
      <c r="C34" s="284">
        <v>1</v>
      </c>
      <c r="D34" s="169">
        <v>30</v>
      </c>
      <c r="E34" s="169">
        <v>49</v>
      </c>
      <c r="F34" s="244">
        <f t="shared" si="0"/>
        <v>0.38775510204081631</v>
      </c>
      <c r="G34" s="245">
        <f t="shared" si="1"/>
        <v>30</v>
      </c>
      <c r="H34" s="246">
        <f t="shared" si="2"/>
        <v>49</v>
      </c>
      <c r="I34" s="8"/>
    </row>
    <row r="35" spans="1:13" ht="15.75" x14ac:dyDescent="0.25">
      <c r="A35" s="16">
        <f t="shared" si="3"/>
        <v>34</v>
      </c>
      <c r="B35" s="164" t="s">
        <v>486</v>
      </c>
      <c r="C35" s="284">
        <v>12</v>
      </c>
      <c r="D35" s="169">
        <v>4.5</v>
      </c>
      <c r="E35" s="169">
        <v>8</v>
      </c>
      <c r="F35" s="244">
        <f t="shared" ref="F35:F66" si="4">(E35-D35)/(E35)</f>
        <v>0.4375</v>
      </c>
      <c r="G35" s="245">
        <f t="shared" ref="G35:G66" si="5">D35*C35</f>
        <v>54</v>
      </c>
      <c r="H35" s="246">
        <f t="shared" ref="H35:H66" si="6">E35*C35</f>
        <v>96</v>
      </c>
      <c r="I35" s="8"/>
    </row>
    <row r="36" spans="1:13" ht="15.75" x14ac:dyDescent="0.25">
      <c r="A36" s="16">
        <f t="shared" si="3"/>
        <v>35</v>
      </c>
      <c r="B36" s="314" t="s">
        <v>375</v>
      </c>
      <c r="C36" s="462">
        <v>1</v>
      </c>
      <c r="D36" s="101">
        <v>65</v>
      </c>
      <c r="E36" s="169">
        <v>98</v>
      </c>
      <c r="F36" s="244">
        <f t="shared" si="4"/>
        <v>0.33673469387755101</v>
      </c>
      <c r="G36" s="245">
        <f t="shared" si="5"/>
        <v>65</v>
      </c>
      <c r="H36" s="246">
        <f t="shared" si="6"/>
        <v>98</v>
      </c>
      <c r="I36" s="8"/>
    </row>
    <row r="37" spans="1:13" ht="15.75" x14ac:dyDescent="0.25">
      <c r="A37" s="16">
        <f t="shared" si="3"/>
        <v>36</v>
      </c>
      <c r="B37" s="164" t="s">
        <v>375</v>
      </c>
      <c r="C37" s="284">
        <v>1</v>
      </c>
      <c r="D37" s="101">
        <v>60</v>
      </c>
      <c r="E37" s="169">
        <v>88</v>
      </c>
      <c r="F37" s="244">
        <f t="shared" si="4"/>
        <v>0.31818181818181818</v>
      </c>
      <c r="G37" s="245">
        <f t="shared" si="5"/>
        <v>60</v>
      </c>
      <c r="H37" s="246">
        <f t="shared" si="6"/>
        <v>88</v>
      </c>
      <c r="I37" s="8"/>
    </row>
    <row r="38" spans="1:13" ht="15.75" x14ac:dyDescent="0.25">
      <c r="A38" s="16">
        <f t="shared" si="3"/>
        <v>37</v>
      </c>
      <c r="B38" s="164" t="s">
        <v>376</v>
      </c>
      <c r="C38" s="284">
        <v>2</v>
      </c>
      <c r="D38" s="169">
        <v>40.799999999999997</v>
      </c>
      <c r="E38" s="169">
        <v>65</v>
      </c>
      <c r="F38" s="244">
        <f t="shared" si="4"/>
        <v>0.37230769230769234</v>
      </c>
      <c r="G38" s="245">
        <f t="shared" si="5"/>
        <v>81.599999999999994</v>
      </c>
      <c r="H38" s="246">
        <f t="shared" si="6"/>
        <v>130</v>
      </c>
      <c r="I38" s="8"/>
    </row>
    <row r="39" spans="1:13" ht="15.75" x14ac:dyDescent="0.25">
      <c r="A39" s="16">
        <f t="shared" si="3"/>
        <v>38</v>
      </c>
      <c r="B39" s="164" t="s">
        <v>377</v>
      </c>
      <c r="C39" s="284">
        <v>3</v>
      </c>
      <c r="D39" s="101">
        <v>23.6</v>
      </c>
      <c r="E39" s="169">
        <v>35</v>
      </c>
      <c r="F39" s="244">
        <f t="shared" si="4"/>
        <v>0.32571428571428568</v>
      </c>
      <c r="G39" s="245">
        <f t="shared" si="5"/>
        <v>70.800000000000011</v>
      </c>
      <c r="H39" s="246">
        <f t="shared" si="6"/>
        <v>105</v>
      </c>
      <c r="I39" s="126"/>
    </row>
    <row r="40" spans="1:13" s="174" customFormat="1" ht="15.75" x14ac:dyDescent="0.25">
      <c r="A40" s="16">
        <f t="shared" si="3"/>
        <v>39</v>
      </c>
      <c r="B40" s="164" t="s">
        <v>378</v>
      </c>
      <c r="C40" s="284">
        <v>3</v>
      </c>
      <c r="D40" s="101">
        <v>19.600000000000001</v>
      </c>
      <c r="E40" s="169">
        <v>30</v>
      </c>
      <c r="F40" s="244">
        <f t="shared" si="4"/>
        <v>0.34666666666666662</v>
      </c>
      <c r="G40" s="245">
        <f t="shared" si="5"/>
        <v>58.800000000000004</v>
      </c>
      <c r="H40" s="246">
        <f t="shared" si="6"/>
        <v>90</v>
      </c>
      <c r="I40" s="8"/>
      <c r="J40" s="97"/>
      <c r="K40" s="97"/>
      <c r="L40" s="97"/>
      <c r="M40" s="97"/>
    </row>
    <row r="41" spans="1:13" ht="15.75" x14ac:dyDescent="0.25">
      <c r="A41" s="16">
        <f t="shared" si="3"/>
        <v>40</v>
      </c>
      <c r="B41" s="164" t="s">
        <v>379</v>
      </c>
      <c r="C41" s="345">
        <v>3</v>
      </c>
      <c r="D41" s="101">
        <v>22.5</v>
      </c>
      <c r="E41" s="169">
        <v>33</v>
      </c>
      <c r="F41" s="244">
        <f t="shared" si="4"/>
        <v>0.31818181818181818</v>
      </c>
      <c r="G41" s="245">
        <f t="shared" si="5"/>
        <v>67.5</v>
      </c>
      <c r="H41" s="246">
        <f t="shared" si="6"/>
        <v>99</v>
      </c>
      <c r="I41" s="8"/>
    </row>
    <row r="42" spans="1:13" ht="15.75" x14ac:dyDescent="0.25">
      <c r="A42" s="16">
        <f t="shared" si="3"/>
        <v>41</v>
      </c>
      <c r="B42" s="164" t="s">
        <v>974</v>
      </c>
      <c r="C42" s="345">
        <v>1</v>
      </c>
      <c r="D42" s="101">
        <v>21.75</v>
      </c>
      <c r="E42" s="169">
        <v>33</v>
      </c>
      <c r="F42" s="244">
        <f t="shared" si="4"/>
        <v>0.34090909090909088</v>
      </c>
      <c r="G42" s="245">
        <f t="shared" si="5"/>
        <v>21.75</v>
      </c>
      <c r="H42" s="246">
        <f t="shared" si="6"/>
        <v>33</v>
      </c>
      <c r="I42" s="8"/>
    </row>
    <row r="43" spans="1:13" ht="15.75" x14ac:dyDescent="0.25">
      <c r="A43" s="16">
        <f t="shared" si="3"/>
        <v>42</v>
      </c>
      <c r="B43" s="164" t="s">
        <v>975</v>
      </c>
      <c r="C43" s="345">
        <v>1</v>
      </c>
      <c r="D43" s="169">
        <v>21.75</v>
      </c>
      <c r="E43" s="169">
        <v>33</v>
      </c>
      <c r="F43" s="244">
        <f t="shared" si="4"/>
        <v>0.34090909090909088</v>
      </c>
      <c r="G43" s="245">
        <f t="shared" si="5"/>
        <v>21.75</v>
      </c>
      <c r="H43" s="246">
        <f t="shared" si="6"/>
        <v>33</v>
      </c>
      <c r="I43" s="8"/>
    </row>
    <row r="44" spans="1:13" ht="15.75" x14ac:dyDescent="0.25">
      <c r="A44" s="16">
        <f t="shared" si="3"/>
        <v>43</v>
      </c>
      <c r="B44" s="164" t="s">
        <v>976</v>
      </c>
      <c r="C44" s="667">
        <v>1</v>
      </c>
      <c r="D44" s="169">
        <v>22.5</v>
      </c>
      <c r="E44" s="169">
        <v>33</v>
      </c>
      <c r="F44" s="244">
        <f t="shared" si="4"/>
        <v>0.31818181818181818</v>
      </c>
      <c r="G44" s="245">
        <f t="shared" si="5"/>
        <v>22.5</v>
      </c>
      <c r="H44" s="246">
        <f t="shared" si="6"/>
        <v>33</v>
      </c>
      <c r="I44" s="8"/>
    </row>
    <row r="45" spans="1:13" ht="15.75" x14ac:dyDescent="0.25">
      <c r="A45" s="16">
        <f t="shared" si="3"/>
        <v>44</v>
      </c>
      <c r="B45" s="164" t="s">
        <v>1218</v>
      </c>
      <c r="C45" s="667">
        <v>1</v>
      </c>
      <c r="D45" s="169">
        <v>10.08</v>
      </c>
      <c r="E45" s="169">
        <v>16</v>
      </c>
      <c r="F45" s="244">
        <f t="shared" si="4"/>
        <v>0.37</v>
      </c>
      <c r="G45" s="245">
        <f t="shared" si="5"/>
        <v>10.08</v>
      </c>
      <c r="H45" s="246">
        <f t="shared" si="6"/>
        <v>16</v>
      </c>
      <c r="I45" s="8"/>
    </row>
    <row r="46" spans="1:13" ht="15.75" x14ac:dyDescent="0.25">
      <c r="A46" s="16">
        <f t="shared" si="3"/>
        <v>45</v>
      </c>
      <c r="B46" s="164" t="s">
        <v>1219</v>
      </c>
      <c r="C46" s="667">
        <v>1</v>
      </c>
      <c r="D46" s="101">
        <v>10.08</v>
      </c>
      <c r="E46" s="169">
        <v>16</v>
      </c>
      <c r="F46" s="244">
        <f t="shared" si="4"/>
        <v>0.37</v>
      </c>
      <c r="G46" s="245">
        <f t="shared" si="5"/>
        <v>10.08</v>
      </c>
      <c r="H46" s="246">
        <f t="shared" si="6"/>
        <v>16</v>
      </c>
      <c r="I46" s="8"/>
    </row>
    <row r="47" spans="1:13" ht="15.75" x14ac:dyDescent="0.25">
      <c r="A47" s="16">
        <f t="shared" si="3"/>
        <v>46</v>
      </c>
      <c r="B47" s="164" t="s">
        <v>1217</v>
      </c>
      <c r="C47" s="667">
        <v>1</v>
      </c>
      <c r="D47" s="101">
        <v>10.08</v>
      </c>
      <c r="E47" s="169">
        <v>16</v>
      </c>
      <c r="F47" s="244">
        <f t="shared" si="4"/>
        <v>0.37</v>
      </c>
      <c r="G47" s="245">
        <f t="shared" si="5"/>
        <v>10.08</v>
      </c>
      <c r="H47" s="246">
        <f t="shared" si="6"/>
        <v>16</v>
      </c>
      <c r="I47" s="8"/>
    </row>
    <row r="48" spans="1:13" ht="15.75" x14ac:dyDescent="0.25">
      <c r="A48" s="16">
        <f t="shared" si="3"/>
        <v>47</v>
      </c>
      <c r="B48" s="164" t="s">
        <v>889</v>
      </c>
      <c r="C48" s="284">
        <v>4</v>
      </c>
      <c r="D48" s="169">
        <v>25.5</v>
      </c>
      <c r="E48" s="169">
        <v>38</v>
      </c>
      <c r="F48" s="244">
        <f t="shared" si="4"/>
        <v>0.32894736842105265</v>
      </c>
      <c r="G48" s="245">
        <f t="shared" si="5"/>
        <v>102</v>
      </c>
      <c r="H48" s="246">
        <f t="shared" si="6"/>
        <v>152</v>
      </c>
      <c r="I48" s="8"/>
    </row>
    <row r="49" spans="1:9" ht="15.75" x14ac:dyDescent="0.25">
      <c r="A49" s="16">
        <f t="shared" si="3"/>
        <v>48</v>
      </c>
      <c r="B49" s="164" t="s">
        <v>380</v>
      </c>
      <c r="C49" s="667">
        <v>2</v>
      </c>
      <c r="D49" s="101">
        <v>20</v>
      </c>
      <c r="E49" s="169">
        <v>32</v>
      </c>
      <c r="F49" s="244">
        <f t="shared" si="4"/>
        <v>0.375</v>
      </c>
      <c r="G49" s="245">
        <f t="shared" si="5"/>
        <v>40</v>
      </c>
      <c r="H49" s="246">
        <f t="shared" si="6"/>
        <v>64</v>
      </c>
      <c r="I49" s="8"/>
    </row>
    <row r="50" spans="1:9" ht="15.75" x14ac:dyDescent="0.25">
      <c r="A50" s="16">
        <f t="shared" si="3"/>
        <v>49</v>
      </c>
      <c r="B50" s="164" t="s">
        <v>241</v>
      </c>
      <c r="C50" s="284">
        <v>3</v>
      </c>
      <c r="D50" s="101">
        <v>2.94</v>
      </c>
      <c r="E50" s="169">
        <v>5</v>
      </c>
      <c r="F50" s="244">
        <f t="shared" si="4"/>
        <v>0.41200000000000003</v>
      </c>
      <c r="G50" s="245">
        <f t="shared" si="5"/>
        <v>8.82</v>
      </c>
      <c r="H50" s="246">
        <f t="shared" si="6"/>
        <v>15</v>
      </c>
      <c r="I50" s="8"/>
    </row>
    <row r="51" spans="1:9" ht="15.75" x14ac:dyDescent="0.25">
      <c r="A51" s="16">
        <f t="shared" si="3"/>
        <v>50</v>
      </c>
      <c r="B51" s="164" t="s">
        <v>469</v>
      </c>
      <c r="C51" s="284">
        <v>3</v>
      </c>
      <c r="D51" s="101">
        <v>3.29</v>
      </c>
      <c r="E51" s="169">
        <v>5</v>
      </c>
      <c r="F51" s="244">
        <f t="shared" si="4"/>
        <v>0.34199999999999997</v>
      </c>
      <c r="G51" s="245">
        <f t="shared" si="5"/>
        <v>9.870000000000001</v>
      </c>
      <c r="H51" s="246">
        <f t="shared" si="6"/>
        <v>15</v>
      </c>
      <c r="I51" s="8"/>
    </row>
    <row r="52" spans="1:9" ht="15.75" x14ac:dyDescent="0.25">
      <c r="A52" s="16">
        <f t="shared" si="3"/>
        <v>51</v>
      </c>
      <c r="B52" s="164" t="s">
        <v>858</v>
      </c>
      <c r="C52" s="601">
        <v>4</v>
      </c>
      <c r="D52" s="101">
        <v>0.66</v>
      </c>
      <c r="E52" s="169">
        <v>1.5</v>
      </c>
      <c r="F52" s="244">
        <f t="shared" si="4"/>
        <v>0.55999999999999994</v>
      </c>
      <c r="G52" s="245">
        <f t="shared" si="5"/>
        <v>2.64</v>
      </c>
      <c r="H52" s="246">
        <f t="shared" si="6"/>
        <v>6</v>
      </c>
      <c r="I52" s="8"/>
    </row>
    <row r="53" spans="1:9" ht="15.75" x14ac:dyDescent="0.25">
      <c r="A53" s="16">
        <f t="shared" si="3"/>
        <v>52</v>
      </c>
      <c r="B53" s="315" t="s">
        <v>820</v>
      </c>
      <c r="C53" s="28">
        <v>4</v>
      </c>
      <c r="D53" s="169">
        <v>2.5</v>
      </c>
      <c r="E53" s="169">
        <v>5</v>
      </c>
      <c r="F53" s="244">
        <f t="shared" si="4"/>
        <v>0.5</v>
      </c>
      <c r="G53" s="245">
        <f t="shared" si="5"/>
        <v>10</v>
      </c>
      <c r="H53" s="246">
        <f t="shared" si="6"/>
        <v>20</v>
      </c>
      <c r="I53" s="8"/>
    </row>
    <row r="54" spans="1:9" ht="15.75" x14ac:dyDescent="0.25">
      <c r="A54" s="16">
        <f t="shared" si="3"/>
        <v>53</v>
      </c>
      <c r="B54" s="315" t="s">
        <v>816</v>
      </c>
      <c r="C54" s="28">
        <v>4</v>
      </c>
      <c r="D54" s="169">
        <v>2.5</v>
      </c>
      <c r="E54" s="169">
        <v>5</v>
      </c>
      <c r="F54" s="244">
        <f t="shared" si="4"/>
        <v>0.5</v>
      </c>
      <c r="G54" s="245">
        <f t="shared" si="5"/>
        <v>10</v>
      </c>
      <c r="H54" s="246">
        <f t="shared" si="6"/>
        <v>20</v>
      </c>
      <c r="I54" s="8"/>
    </row>
    <row r="55" spans="1:9" ht="15.75" x14ac:dyDescent="0.25">
      <c r="A55" s="16">
        <f t="shared" si="3"/>
        <v>54</v>
      </c>
      <c r="B55" s="315" t="s">
        <v>815</v>
      </c>
      <c r="C55" s="28">
        <v>3</v>
      </c>
      <c r="D55" s="169">
        <v>2.5</v>
      </c>
      <c r="E55" s="169">
        <v>5</v>
      </c>
      <c r="F55" s="244">
        <f t="shared" si="4"/>
        <v>0.5</v>
      </c>
      <c r="G55" s="245">
        <f t="shared" si="5"/>
        <v>7.5</v>
      </c>
      <c r="H55" s="246">
        <f t="shared" si="6"/>
        <v>15</v>
      </c>
      <c r="I55" s="8"/>
    </row>
    <row r="56" spans="1:9" ht="15.75" x14ac:dyDescent="0.25">
      <c r="A56" s="16">
        <f t="shared" si="3"/>
        <v>55</v>
      </c>
      <c r="B56" s="315" t="s">
        <v>814</v>
      </c>
      <c r="C56" s="28">
        <v>3</v>
      </c>
      <c r="D56" s="169">
        <v>2.5</v>
      </c>
      <c r="E56" s="169">
        <v>5</v>
      </c>
      <c r="F56" s="244">
        <f t="shared" si="4"/>
        <v>0.5</v>
      </c>
      <c r="G56" s="245">
        <f t="shared" si="5"/>
        <v>7.5</v>
      </c>
      <c r="H56" s="246">
        <f t="shared" si="6"/>
        <v>15</v>
      </c>
      <c r="I56" s="8"/>
    </row>
    <row r="57" spans="1:9" ht="15.75" x14ac:dyDescent="0.25">
      <c r="A57" s="16">
        <f t="shared" si="3"/>
        <v>56</v>
      </c>
      <c r="B57" s="315" t="s">
        <v>818</v>
      </c>
      <c r="C57" s="28">
        <v>4</v>
      </c>
      <c r="D57" s="169">
        <v>2.5</v>
      </c>
      <c r="E57" s="169">
        <v>5</v>
      </c>
      <c r="F57" s="244">
        <f t="shared" si="4"/>
        <v>0.5</v>
      </c>
      <c r="G57" s="245">
        <f t="shared" si="5"/>
        <v>10</v>
      </c>
      <c r="H57" s="246">
        <f t="shared" si="6"/>
        <v>20</v>
      </c>
      <c r="I57" s="13"/>
    </row>
    <row r="58" spans="1:9" ht="15.75" x14ac:dyDescent="0.25">
      <c r="A58" s="16">
        <f t="shared" si="3"/>
        <v>57</v>
      </c>
      <c r="B58" s="315" t="s">
        <v>819</v>
      </c>
      <c r="C58" s="28">
        <v>3</v>
      </c>
      <c r="D58" s="169">
        <v>2.5</v>
      </c>
      <c r="E58" s="169">
        <v>5</v>
      </c>
      <c r="F58" s="244">
        <f t="shared" si="4"/>
        <v>0.5</v>
      </c>
      <c r="G58" s="245">
        <f t="shared" si="5"/>
        <v>7.5</v>
      </c>
      <c r="H58" s="246">
        <f t="shared" si="6"/>
        <v>15</v>
      </c>
      <c r="I58" s="13"/>
    </row>
    <row r="59" spans="1:9" ht="15.75" x14ac:dyDescent="0.25">
      <c r="A59" s="16">
        <f t="shared" si="3"/>
        <v>58</v>
      </c>
      <c r="B59" s="315" t="s">
        <v>817</v>
      </c>
      <c r="C59" s="28">
        <v>4</v>
      </c>
      <c r="D59" s="169">
        <v>2.5</v>
      </c>
      <c r="E59" s="169">
        <v>5</v>
      </c>
      <c r="F59" s="244">
        <f t="shared" si="4"/>
        <v>0.5</v>
      </c>
      <c r="G59" s="245">
        <f t="shared" si="5"/>
        <v>10</v>
      </c>
      <c r="H59" s="246">
        <f t="shared" si="6"/>
        <v>20</v>
      </c>
      <c r="I59" s="8"/>
    </row>
    <row r="60" spans="1:9" ht="15.75" x14ac:dyDescent="0.25">
      <c r="A60" s="16">
        <f t="shared" si="3"/>
        <v>59</v>
      </c>
      <c r="B60" s="315" t="s">
        <v>813</v>
      </c>
      <c r="C60" s="28">
        <v>3</v>
      </c>
      <c r="D60" s="169">
        <v>2.5</v>
      </c>
      <c r="E60" s="169">
        <v>5</v>
      </c>
      <c r="F60" s="244">
        <f t="shared" si="4"/>
        <v>0.5</v>
      </c>
      <c r="G60" s="245">
        <f t="shared" si="5"/>
        <v>7.5</v>
      </c>
      <c r="H60" s="246">
        <f t="shared" si="6"/>
        <v>15</v>
      </c>
      <c r="I60" s="8"/>
    </row>
    <row r="61" spans="1:9" ht="15.75" x14ac:dyDescent="0.25">
      <c r="A61" s="16">
        <f t="shared" si="3"/>
        <v>60</v>
      </c>
      <c r="B61" s="315" t="s">
        <v>850</v>
      </c>
      <c r="C61" s="28">
        <v>4</v>
      </c>
      <c r="D61" s="169">
        <v>2.5</v>
      </c>
      <c r="E61" s="169">
        <v>5</v>
      </c>
      <c r="F61" s="244">
        <f t="shared" si="4"/>
        <v>0.5</v>
      </c>
      <c r="G61" s="245">
        <f t="shared" si="5"/>
        <v>10</v>
      </c>
      <c r="H61" s="246">
        <f t="shared" si="6"/>
        <v>20</v>
      </c>
      <c r="I61" s="8"/>
    </row>
    <row r="62" spans="1:9" ht="15.75" x14ac:dyDescent="0.25">
      <c r="A62" s="16">
        <f t="shared" si="3"/>
        <v>61</v>
      </c>
      <c r="B62" s="315" t="s">
        <v>860</v>
      </c>
      <c r="C62" s="28">
        <v>4</v>
      </c>
      <c r="D62" s="169">
        <v>2.5</v>
      </c>
      <c r="E62" s="169">
        <v>5</v>
      </c>
      <c r="F62" s="244">
        <f t="shared" si="4"/>
        <v>0.5</v>
      </c>
      <c r="G62" s="245">
        <f t="shared" si="5"/>
        <v>10</v>
      </c>
      <c r="H62" s="246">
        <f t="shared" si="6"/>
        <v>20</v>
      </c>
      <c r="I62" s="13"/>
    </row>
    <row r="63" spans="1:9" ht="15.75" x14ac:dyDescent="0.25">
      <c r="A63" s="16">
        <f t="shared" si="3"/>
        <v>62</v>
      </c>
      <c r="B63" s="164" t="s">
        <v>515</v>
      </c>
      <c r="C63" s="284">
        <v>2</v>
      </c>
      <c r="D63" s="101">
        <v>8.0299999999999994</v>
      </c>
      <c r="E63" s="169">
        <v>14</v>
      </c>
      <c r="F63" s="244">
        <f t="shared" si="4"/>
        <v>0.42642857142857149</v>
      </c>
      <c r="G63" s="245">
        <f t="shared" si="5"/>
        <v>16.059999999999999</v>
      </c>
      <c r="H63" s="246">
        <f t="shared" si="6"/>
        <v>28</v>
      </c>
      <c r="I63" s="315"/>
    </row>
    <row r="64" spans="1:9" ht="15.75" x14ac:dyDescent="0.25">
      <c r="A64" s="16">
        <f t="shared" si="3"/>
        <v>63</v>
      </c>
      <c r="B64" s="164" t="s">
        <v>709</v>
      </c>
      <c r="C64" s="284">
        <v>4</v>
      </c>
      <c r="D64" s="169">
        <v>3.06</v>
      </c>
      <c r="E64" s="169">
        <v>5</v>
      </c>
      <c r="F64" s="244">
        <f t="shared" si="4"/>
        <v>0.38800000000000001</v>
      </c>
      <c r="G64" s="245">
        <f t="shared" si="5"/>
        <v>12.24</v>
      </c>
      <c r="H64" s="246">
        <f t="shared" si="6"/>
        <v>20</v>
      </c>
      <c r="I64" s="8"/>
    </row>
    <row r="65" spans="1:9" ht="15.75" x14ac:dyDescent="0.25">
      <c r="A65" s="16">
        <f t="shared" si="3"/>
        <v>64</v>
      </c>
      <c r="B65" s="164" t="s">
        <v>522</v>
      </c>
      <c r="C65" s="667">
        <v>9</v>
      </c>
      <c r="D65" s="101">
        <v>2.25</v>
      </c>
      <c r="E65" s="169">
        <v>4</v>
      </c>
      <c r="F65" s="244">
        <f t="shared" si="4"/>
        <v>0.4375</v>
      </c>
      <c r="G65" s="245">
        <f t="shared" si="5"/>
        <v>20.25</v>
      </c>
      <c r="H65" s="246">
        <f t="shared" si="6"/>
        <v>36</v>
      </c>
      <c r="I65" s="8"/>
    </row>
    <row r="66" spans="1:9" ht="15.75" x14ac:dyDescent="0.25">
      <c r="A66" s="16">
        <f t="shared" si="3"/>
        <v>65</v>
      </c>
      <c r="B66" s="315" t="s">
        <v>549</v>
      </c>
      <c r="C66" s="284">
        <v>1</v>
      </c>
      <c r="D66" s="169">
        <v>16.670000000000002</v>
      </c>
      <c r="E66" s="169">
        <v>25</v>
      </c>
      <c r="F66" s="244">
        <f t="shared" si="4"/>
        <v>0.33319999999999994</v>
      </c>
      <c r="G66" s="245">
        <f t="shared" si="5"/>
        <v>16.670000000000002</v>
      </c>
      <c r="H66" s="246">
        <f t="shared" si="6"/>
        <v>25</v>
      </c>
      <c r="I66" s="8"/>
    </row>
    <row r="67" spans="1:9" ht="15.75" x14ac:dyDescent="0.25">
      <c r="A67" s="16">
        <f t="shared" si="3"/>
        <v>66</v>
      </c>
      <c r="B67" s="164" t="s">
        <v>1460</v>
      </c>
      <c r="C67" s="284">
        <v>8</v>
      </c>
      <c r="D67" s="101">
        <v>1.4</v>
      </c>
      <c r="E67" s="169">
        <v>5</v>
      </c>
      <c r="F67" s="244">
        <f t="shared" ref="F67:F98" si="7">(E67-D67)/(E67)</f>
        <v>0.72</v>
      </c>
      <c r="G67" s="245">
        <f t="shared" ref="G67:G98" si="8">D67*C67</f>
        <v>11.2</v>
      </c>
      <c r="H67" s="246">
        <f t="shared" ref="H67:H98" si="9">E67*C67</f>
        <v>40</v>
      </c>
      <c r="I67" s="8"/>
    </row>
    <row r="68" spans="1:9" ht="15.75" x14ac:dyDescent="0.25">
      <c r="A68" s="16">
        <f t="shared" ref="A68:A126" si="10">A67+1</f>
        <v>67</v>
      </c>
      <c r="B68" s="164" t="s">
        <v>381</v>
      </c>
      <c r="C68" s="284">
        <v>2</v>
      </c>
      <c r="D68" s="101">
        <v>10</v>
      </c>
      <c r="E68" s="169">
        <v>15</v>
      </c>
      <c r="F68" s="244">
        <f t="shared" si="7"/>
        <v>0.33333333333333331</v>
      </c>
      <c r="G68" s="245">
        <f t="shared" si="8"/>
        <v>20</v>
      </c>
      <c r="H68" s="246">
        <f t="shared" si="9"/>
        <v>30</v>
      </c>
      <c r="I68" s="8"/>
    </row>
    <row r="69" spans="1:9" ht="15.75" x14ac:dyDescent="0.25">
      <c r="A69" s="16">
        <f t="shared" si="10"/>
        <v>68</v>
      </c>
      <c r="B69" s="164" t="s">
        <v>506</v>
      </c>
      <c r="C69" s="284">
        <v>2</v>
      </c>
      <c r="D69" s="169">
        <v>15</v>
      </c>
      <c r="E69" s="169">
        <v>25</v>
      </c>
      <c r="F69" s="244">
        <f t="shared" si="7"/>
        <v>0.4</v>
      </c>
      <c r="G69" s="245">
        <f t="shared" si="8"/>
        <v>30</v>
      </c>
      <c r="H69" s="246">
        <f t="shared" si="9"/>
        <v>50</v>
      </c>
      <c r="I69" s="8"/>
    </row>
    <row r="70" spans="1:9" ht="15.75" x14ac:dyDescent="0.25">
      <c r="A70" s="16">
        <f t="shared" si="10"/>
        <v>69</v>
      </c>
      <c r="B70" s="314" t="s">
        <v>430</v>
      </c>
      <c r="C70" s="8">
        <v>13</v>
      </c>
      <c r="D70" s="169">
        <v>0.28999999999999998</v>
      </c>
      <c r="E70" s="133">
        <v>0.5</v>
      </c>
      <c r="F70" s="244">
        <f t="shared" si="7"/>
        <v>0.42000000000000004</v>
      </c>
      <c r="G70" s="245">
        <f t="shared" si="8"/>
        <v>3.7699999999999996</v>
      </c>
      <c r="H70" s="246">
        <f t="shared" si="9"/>
        <v>6.5</v>
      </c>
      <c r="I70" s="8"/>
    </row>
    <row r="71" spans="1:9" ht="15.75" x14ac:dyDescent="0.25">
      <c r="A71" s="16">
        <f t="shared" si="10"/>
        <v>70</v>
      </c>
      <c r="B71" s="164" t="s">
        <v>857</v>
      </c>
      <c r="C71" s="284">
        <v>14</v>
      </c>
      <c r="D71" s="101">
        <v>2</v>
      </c>
      <c r="E71" s="169">
        <v>3</v>
      </c>
      <c r="F71" s="244">
        <f t="shared" si="7"/>
        <v>0.33333333333333331</v>
      </c>
      <c r="G71" s="245">
        <f t="shared" si="8"/>
        <v>28</v>
      </c>
      <c r="H71" s="246">
        <f t="shared" si="9"/>
        <v>42</v>
      </c>
      <c r="I71" s="8"/>
    </row>
    <row r="72" spans="1:9" ht="15.75" x14ac:dyDescent="0.25">
      <c r="A72" s="16">
        <f t="shared" si="10"/>
        <v>71</v>
      </c>
      <c r="B72" s="164" t="s">
        <v>710</v>
      </c>
      <c r="C72" s="624">
        <v>17</v>
      </c>
      <c r="D72" s="101">
        <v>2.98</v>
      </c>
      <c r="E72" s="169">
        <v>5</v>
      </c>
      <c r="F72" s="244">
        <f t="shared" si="7"/>
        <v>0.40400000000000003</v>
      </c>
      <c r="G72" s="245">
        <f t="shared" si="8"/>
        <v>50.66</v>
      </c>
      <c r="H72" s="246">
        <f t="shared" si="9"/>
        <v>85</v>
      </c>
      <c r="I72" s="8"/>
    </row>
    <row r="73" spans="1:9" ht="15.75" x14ac:dyDescent="0.25">
      <c r="A73" s="16">
        <f t="shared" si="10"/>
        <v>72</v>
      </c>
      <c r="B73" s="164" t="s">
        <v>300</v>
      </c>
      <c r="C73" s="284">
        <v>16</v>
      </c>
      <c r="D73" s="101">
        <v>0.93</v>
      </c>
      <c r="E73" s="169">
        <v>2</v>
      </c>
      <c r="F73" s="244">
        <f t="shared" si="7"/>
        <v>0.53499999999999992</v>
      </c>
      <c r="G73" s="245">
        <f t="shared" si="8"/>
        <v>14.88</v>
      </c>
      <c r="H73" s="246">
        <f t="shared" si="9"/>
        <v>32</v>
      </c>
      <c r="I73" s="8"/>
    </row>
    <row r="74" spans="1:9" ht="15.75" x14ac:dyDescent="0.25">
      <c r="A74" s="16">
        <f t="shared" si="10"/>
        <v>73</v>
      </c>
      <c r="B74" s="164" t="s">
        <v>272</v>
      </c>
      <c r="C74" s="284">
        <v>22</v>
      </c>
      <c r="D74" s="101">
        <v>1.01</v>
      </c>
      <c r="E74" s="169">
        <v>2</v>
      </c>
      <c r="F74" s="244">
        <f t="shared" si="7"/>
        <v>0.495</v>
      </c>
      <c r="G74" s="245">
        <f t="shared" si="8"/>
        <v>22.22</v>
      </c>
      <c r="H74" s="246">
        <f t="shared" si="9"/>
        <v>44</v>
      </c>
      <c r="I74" s="8"/>
    </row>
    <row r="75" spans="1:9" ht="15.75" x14ac:dyDescent="0.25">
      <c r="A75" s="16">
        <f t="shared" si="10"/>
        <v>74</v>
      </c>
      <c r="B75" s="164" t="s">
        <v>382</v>
      </c>
      <c r="C75" s="284">
        <v>4</v>
      </c>
      <c r="D75" s="101">
        <v>5.5</v>
      </c>
      <c r="E75" s="169">
        <v>12</v>
      </c>
      <c r="F75" s="244">
        <f t="shared" si="7"/>
        <v>0.54166666666666663</v>
      </c>
      <c r="G75" s="245">
        <f t="shared" si="8"/>
        <v>22</v>
      </c>
      <c r="H75" s="246">
        <f t="shared" si="9"/>
        <v>48</v>
      </c>
      <c r="I75" s="8"/>
    </row>
    <row r="76" spans="1:9" ht="15.75" x14ac:dyDescent="0.25">
      <c r="A76" s="16">
        <f t="shared" si="10"/>
        <v>75</v>
      </c>
      <c r="B76" s="164" t="s">
        <v>547</v>
      </c>
      <c r="C76" s="284">
        <v>1</v>
      </c>
      <c r="D76" s="101">
        <v>8.34</v>
      </c>
      <c r="E76" s="169">
        <v>13</v>
      </c>
      <c r="F76" s="244">
        <f t="shared" si="7"/>
        <v>0.3584615384615385</v>
      </c>
      <c r="G76" s="245">
        <f t="shared" si="8"/>
        <v>8.34</v>
      </c>
      <c r="H76" s="246">
        <f t="shared" si="9"/>
        <v>13</v>
      </c>
      <c r="I76" s="8"/>
    </row>
    <row r="77" spans="1:9" ht="15.75" x14ac:dyDescent="0.25">
      <c r="A77" s="16">
        <f t="shared" si="10"/>
        <v>76</v>
      </c>
      <c r="B77" s="164" t="s">
        <v>1335</v>
      </c>
      <c r="C77" s="284">
        <v>2</v>
      </c>
      <c r="D77" s="101">
        <v>10.199999999999999</v>
      </c>
      <c r="E77" s="169">
        <v>17</v>
      </c>
      <c r="F77" s="244">
        <f t="shared" si="7"/>
        <v>0.4</v>
      </c>
      <c r="G77" s="245">
        <f t="shared" si="8"/>
        <v>20.399999999999999</v>
      </c>
      <c r="H77" s="246">
        <f t="shared" si="9"/>
        <v>34</v>
      </c>
      <c r="I77" s="8"/>
    </row>
    <row r="78" spans="1:9" ht="15.75" x14ac:dyDescent="0.25">
      <c r="A78" s="16">
        <f t="shared" si="10"/>
        <v>77</v>
      </c>
      <c r="B78" s="164" t="s">
        <v>548</v>
      </c>
      <c r="C78" s="284">
        <v>2</v>
      </c>
      <c r="D78" s="101">
        <v>11</v>
      </c>
      <c r="E78" s="169">
        <v>18</v>
      </c>
      <c r="F78" s="244">
        <f t="shared" si="7"/>
        <v>0.3888888888888889</v>
      </c>
      <c r="G78" s="245">
        <f t="shared" si="8"/>
        <v>22</v>
      </c>
      <c r="H78" s="246">
        <f t="shared" si="9"/>
        <v>36</v>
      </c>
      <c r="I78" s="8"/>
    </row>
    <row r="79" spans="1:9" ht="15.75" x14ac:dyDescent="0.25">
      <c r="A79" s="16">
        <f t="shared" si="10"/>
        <v>78</v>
      </c>
      <c r="B79" s="164" t="s">
        <v>628</v>
      </c>
      <c r="C79" s="210">
        <v>2</v>
      </c>
      <c r="D79" s="10">
        <v>10</v>
      </c>
      <c r="E79" s="133">
        <v>16</v>
      </c>
      <c r="F79" s="244">
        <f t="shared" si="7"/>
        <v>0.375</v>
      </c>
      <c r="G79" s="245">
        <f t="shared" si="8"/>
        <v>20</v>
      </c>
      <c r="H79" s="246">
        <f t="shared" si="9"/>
        <v>32</v>
      </c>
      <c r="I79" s="8"/>
    </row>
    <row r="80" spans="1:9" ht="15.75" x14ac:dyDescent="0.25">
      <c r="A80" s="16">
        <f t="shared" si="10"/>
        <v>79</v>
      </c>
      <c r="B80" s="164" t="s">
        <v>315</v>
      </c>
      <c r="C80" s="284">
        <v>1</v>
      </c>
      <c r="D80" s="169">
        <v>7.95</v>
      </c>
      <c r="E80" s="169">
        <v>13</v>
      </c>
      <c r="F80" s="244">
        <f t="shared" si="7"/>
        <v>0.38846153846153847</v>
      </c>
      <c r="G80" s="245">
        <f t="shared" si="8"/>
        <v>7.95</v>
      </c>
      <c r="H80" s="246">
        <f t="shared" si="9"/>
        <v>13</v>
      </c>
      <c r="I80" s="8"/>
    </row>
    <row r="81" spans="1:9" ht="15.75" x14ac:dyDescent="0.25">
      <c r="A81" s="16">
        <f t="shared" si="10"/>
        <v>80</v>
      </c>
      <c r="B81" s="164" t="s">
        <v>631</v>
      </c>
      <c r="C81" s="284">
        <v>1</v>
      </c>
      <c r="D81" s="101">
        <v>30</v>
      </c>
      <c r="E81" s="169">
        <v>53</v>
      </c>
      <c r="F81" s="244">
        <f t="shared" si="7"/>
        <v>0.43396226415094341</v>
      </c>
      <c r="G81" s="245">
        <f t="shared" si="8"/>
        <v>30</v>
      </c>
      <c r="H81" s="246">
        <f t="shared" si="9"/>
        <v>53</v>
      </c>
      <c r="I81" s="8"/>
    </row>
    <row r="82" spans="1:9" ht="15.75" x14ac:dyDescent="0.25">
      <c r="A82" s="16">
        <f t="shared" si="10"/>
        <v>81</v>
      </c>
      <c r="B82" s="164" t="s">
        <v>972</v>
      </c>
      <c r="C82" s="284">
        <v>1</v>
      </c>
      <c r="D82" s="101">
        <v>33</v>
      </c>
      <c r="E82" s="169">
        <v>53</v>
      </c>
      <c r="F82" s="244">
        <f t="shared" si="7"/>
        <v>0.37735849056603776</v>
      </c>
      <c r="G82" s="245">
        <f t="shared" si="8"/>
        <v>33</v>
      </c>
      <c r="H82" s="246">
        <f t="shared" si="9"/>
        <v>53</v>
      </c>
      <c r="I82" s="8"/>
    </row>
    <row r="83" spans="1:9" ht="15.75" x14ac:dyDescent="0.25">
      <c r="A83" s="16">
        <f t="shared" si="10"/>
        <v>82</v>
      </c>
      <c r="B83" s="164" t="s">
        <v>407</v>
      </c>
      <c r="C83" s="667">
        <v>1</v>
      </c>
      <c r="D83" s="101">
        <v>30</v>
      </c>
      <c r="E83" s="169">
        <v>60</v>
      </c>
      <c r="F83" s="244">
        <f t="shared" si="7"/>
        <v>0.5</v>
      </c>
      <c r="G83" s="245">
        <f t="shared" si="8"/>
        <v>30</v>
      </c>
      <c r="H83" s="246">
        <f t="shared" si="9"/>
        <v>60</v>
      </c>
      <c r="I83" s="8"/>
    </row>
    <row r="84" spans="1:9" ht="15.75" x14ac:dyDescent="0.25">
      <c r="A84" s="16">
        <f t="shared" si="10"/>
        <v>83</v>
      </c>
      <c r="B84" s="164" t="s">
        <v>186</v>
      </c>
      <c r="C84" s="284">
        <v>14</v>
      </c>
      <c r="D84" s="101">
        <v>0.4</v>
      </c>
      <c r="E84" s="169">
        <v>1</v>
      </c>
      <c r="F84" s="244">
        <f t="shared" si="7"/>
        <v>0.6</v>
      </c>
      <c r="G84" s="245">
        <f t="shared" si="8"/>
        <v>5.6000000000000005</v>
      </c>
      <c r="H84" s="246">
        <f t="shared" si="9"/>
        <v>14</v>
      </c>
      <c r="I84" s="8"/>
    </row>
    <row r="85" spans="1:9" ht="15.75" x14ac:dyDescent="0.25">
      <c r="A85" s="16">
        <f t="shared" si="10"/>
        <v>84</v>
      </c>
      <c r="B85" s="164" t="s">
        <v>880</v>
      </c>
      <c r="C85" s="284">
        <v>129</v>
      </c>
      <c r="D85" s="101">
        <v>0.4</v>
      </c>
      <c r="E85" s="169">
        <v>1</v>
      </c>
      <c r="F85" s="244">
        <f t="shared" si="7"/>
        <v>0.6</v>
      </c>
      <c r="G85" s="245">
        <f t="shared" si="8"/>
        <v>51.6</v>
      </c>
      <c r="H85" s="246">
        <f t="shared" si="9"/>
        <v>129</v>
      </c>
      <c r="I85" s="8"/>
    </row>
    <row r="86" spans="1:9" ht="15.75" x14ac:dyDescent="0.25">
      <c r="A86" s="16">
        <f t="shared" si="10"/>
        <v>85</v>
      </c>
      <c r="B86" s="164" t="s">
        <v>1319</v>
      </c>
      <c r="C86" s="284">
        <v>3</v>
      </c>
      <c r="D86" s="101">
        <v>7.31</v>
      </c>
      <c r="E86" s="169">
        <v>13</v>
      </c>
      <c r="F86" s="244">
        <f t="shared" si="7"/>
        <v>0.43769230769230771</v>
      </c>
      <c r="G86" s="245">
        <f t="shared" si="8"/>
        <v>21.93</v>
      </c>
      <c r="H86" s="246">
        <f t="shared" si="9"/>
        <v>39</v>
      </c>
      <c r="I86" s="8"/>
    </row>
    <row r="87" spans="1:9" ht="15.75" x14ac:dyDescent="0.25">
      <c r="A87" s="16">
        <f t="shared" si="10"/>
        <v>86</v>
      </c>
      <c r="B87" s="164" t="s">
        <v>864</v>
      </c>
      <c r="C87" s="284">
        <v>1</v>
      </c>
      <c r="D87" s="101">
        <v>1.75</v>
      </c>
      <c r="E87" s="169">
        <v>4</v>
      </c>
      <c r="F87" s="244">
        <f t="shared" si="7"/>
        <v>0.5625</v>
      </c>
      <c r="G87" s="245">
        <f t="shared" si="8"/>
        <v>1.75</v>
      </c>
      <c r="H87" s="246">
        <f t="shared" si="9"/>
        <v>4</v>
      </c>
      <c r="I87" s="8"/>
    </row>
    <row r="88" spans="1:9" ht="15.75" x14ac:dyDescent="0.25">
      <c r="A88" s="16">
        <f t="shared" si="10"/>
        <v>87</v>
      </c>
      <c r="B88" s="164" t="s">
        <v>383</v>
      </c>
      <c r="C88" s="284">
        <v>2</v>
      </c>
      <c r="D88" s="101">
        <v>7</v>
      </c>
      <c r="E88" s="169">
        <v>12</v>
      </c>
      <c r="F88" s="244">
        <f t="shared" si="7"/>
        <v>0.41666666666666669</v>
      </c>
      <c r="G88" s="245">
        <f t="shared" si="8"/>
        <v>14</v>
      </c>
      <c r="H88" s="246">
        <f t="shared" si="9"/>
        <v>24</v>
      </c>
      <c r="I88" s="8"/>
    </row>
    <row r="89" spans="1:9" ht="15.75" x14ac:dyDescent="0.25">
      <c r="A89" s="16">
        <f t="shared" si="10"/>
        <v>88</v>
      </c>
      <c r="B89" s="164" t="s">
        <v>384</v>
      </c>
      <c r="C89" s="284">
        <v>1</v>
      </c>
      <c r="D89" s="101">
        <v>7</v>
      </c>
      <c r="E89" s="169">
        <v>12</v>
      </c>
      <c r="F89" s="244">
        <f t="shared" si="7"/>
        <v>0.41666666666666669</v>
      </c>
      <c r="G89" s="245">
        <f t="shared" si="8"/>
        <v>7</v>
      </c>
      <c r="H89" s="246">
        <f t="shared" si="9"/>
        <v>12</v>
      </c>
      <c r="I89" s="8"/>
    </row>
    <row r="90" spans="1:9" ht="15.75" x14ac:dyDescent="0.25">
      <c r="A90" s="16">
        <f t="shared" si="10"/>
        <v>89</v>
      </c>
      <c r="B90" s="164" t="s">
        <v>385</v>
      </c>
      <c r="C90" s="284">
        <v>1</v>
      </c>
      <c r="D90" s="101">
        <v>11.67</v>
      </c>
      <c r="E90" s="169">
        <v>18</v>
      </c>
      <c r="F90" s="244">
        <f t="shared" si="7"/>
        <v>0.35166666666666668</v>
      </c>
      <c r="G90" s="245">
        <f t="shared" si="8"/>
        <v>11.67</v>
      </c>
      <c r="H90" s="246">
        <f t="shared" si="9"/>
        <v>18</v>
      </c>
      <c r="I90" s="8"/>
    </row>
    <row r="91" spans="1:9" ht="15.75" x14ac:dyDescent="0.25">
      <c r="A91" s="16">
        <f t="shared" si="10"/>
        <v>90</v>
      </c>
      <c r="B91" s="164" t="s">
        <v>1332</v>
      </c>
      <c r="C91" s="667">
        <v>38</v>
      </c>
      <c r="D91" s="101">
        <v>0.56000000000000005</v>
      </c>
      <c r="E91" s="169">
        <v>1</v>
      </c>
      <c r="F91" s="244">
        <f t="shared" si="7"/>
        <v>0.43999999999999995</v>
      </c>
      <c r="G91" s="245">
        <f t="shared" si="8"/>
        <v>21.28</v>
      </c>
      <c r="H91" s="246">
        <f t="shared" si="9"/>
        <v>38</v>
      </c>
      <c r="I91" s="8"/>
    </row>
    <row r="92" spans="1:9" ht="15.75" x14ac:dyDescent="0.25">
      <c r="A92" s="16">
        <f t="shared" si="10"/>
        <v>91</v>
      </c>
      <c r="B92" s="164" t="s">
        <v>1008</v>
      </c>
      <c r="C92" s="284">
        <v>1</v>
      </c>
      <c r="D92" s="101">
        <v>40</v>
      </c>
      <c r="E92" s="169">
        <v>65</v>
      </c>
      <c r="F92" s="244">
        <f t="shared" si="7"/>
        <v>0.38461538461538464</v>
      </c>
      <c r="G92" s="245">
        <f t="shared" si="8"/>
        <v>40</v>
      </c>
      <c r="H92" s="246">
        <f t="shared" si="9"/>
        <v>65</v>
      </c>
      <c r="I92" s="8"/>
    </row>
    <row r="93" spans="1:9" ht="15.75" x14ac:dyDescent="0.25">
      <c r="A93" s="16">
        <f t="shared" si="10"/>
        <v>92</v>
      </c>
      <c r="B93" s="164" t="s">
        <v>538</v>
      </c>
      <c r="C93" s="284">
        <v>1</v>
      </c>
      <c r="D93" s="169">
        <v>35</v>
      </c>
      <c r="E93" s="169">
        <v>50</v>
      </c>
      <c r="F93" s="244">
        <f t="shared" si="7"/>
        <v>0.3</v>
      </c>
      <c r="G93" s="245">
        <f t="shared" si="8"/>
        <v>35</v>
      </c>
      <c r="H93" s="246">
        <f t="shared" si="9"/>
        <v>50</v>
      </c>
      <c r="I93" s="8"/>
    </row>
    <row r="94" spans="1:9" ht="15.75" x14ac:dyDescent="0.25">
      <c r="A94" s="16">
        <f t="shared" si="10"/>
        <v>93</v>
      </c>
      <c r="B94" s="164" t="s">
        <v>386</v>
      </c>
      <c r="C94" s="284">
        <v>1</v>
      </c>
      <c r="D94" s="169">
        <v>44</v>
      </c>
      <c r="E94" s="169">
        <v>65</v>
      </c>
      <c r="F94" s="244">
        <f t="shared" si="7"/>
        <v>0.32307692307692309</v>
      </c>
      <c r="G94" s="245">
        <f t="shared" si="8"/>
        <v>44</v>
      </c>
      <c r="H94" s="246">
        <f t="shared" si="9"/>
        <v>65</v>
      </c>
      <c r="I94" s="8"/>
    </row>
    <row r="95" spans="1:9" ht="15.75" x14ac:dyDescent="0.25">
      <c r="A95" s="16">
        <f t="shared" si="10"/>
        <v>94</v>
      </c>
      <c r="B95" s="164" t="s">
        <v>286</v>
      </c>
      <c r="C95" s="284">
        <v>6</v>
      </c>
      <c r="D95" s="101">
        <v>3.08</v>
      </c>
      <c r="E95" s="169">
        <v>5</v>
      </c>
      <c r="F95" s="244">
        <f t="shared" si="7"/>
        <v>0.38400000000000001</v>
      </c>
      <c r="G95" s="245">
        <f t="shared" si="8"/>
        <v>18.48</v>
      </c>
      <c r="H95" s="246">
        <f t="shared" si="9"/>
        <v>30</v>
      </c>
      <c r="I95" s="8"/>
    </row>
    <row r="96" spans="1:9" ht="15.75" x14ac:dyDescent="0.25">
      <c r="A96" s="16">
        <f t="shared" si="10"/>
        <v>95</v>
      </c>
      <c r="B96" s="164" t="s">
        <v>387</v>
      </c>
      <c r="C96" s="284">
        <v>1</v>
      </c>
      <c r="D96" s="101">
        <v>20</v>
      </c>
      <c r="E96" s="169">
        <v>35</v>
      </c>
      <c r="F96" s="244">
        <f t="shared" si="7"/>
        <v>0.42857142857142855</v>
      </c>
      <c r="G96" s="245">
        <f t="shared" si="8"/>
        <v>20</v>
      </c>
      <c r="H96" s="246">
        <f t="shared" si="9"/>
        <v>35</v>
      </c>
      <c r="I96" s="315"/>
    </row>
    <row r="97" spans="1:9" ht="15.75" x14ac:dyDescent="0.25">
      <c r="A97" s="16">
        <f t="shared" si="10"/>
        <v>96</v>
      </c>
      <c r="B97" s="164" t="s">
        <v>504</v>
      </c>
      <c r="C97" s="284">
        <v>2</v>
      </c>
      <c r="D97" s="169">
        <v>33</v>
      </c>
      <c r="E97" s="169">
        <v>55</v>
      </c>
      <c r="F97" s="244">
        <f t="shared" si="7"/>
        <v>0.4</v>
      </c>
      <c r="G97" s="245">
        <f t="shared" si="8"/>
        <v>66</v>
      </c>
      <c r="H97" s="246">
        <f t="shared" si="9"/>
        <v>110</v>
      </c>
      <c r="I97" s="13"/>
    </row>
    <row r="98" spans="1:9" ht="15.75" x14ac:dyDescent="0.25">
      <c r="A98" s="16">
        <f t="shared" si="10"/>
        <v>97</v>
      </c>
      <c r="B98" s="164" t="s">
        <v>505</v>
      </c>
      <c r="C98" s="284">
        <v>0</v>
      </c>
      <c r="D98" s="101">
        <v>47.5</v>
      </c>
      <c r="E98" s="169">
        <v>72</v>
      </c>
      <c r="F98" s="244">
        <f t="shared" si="7"/>
        <v>0.34027777777777779</v>
      </c>
      <c r="G98" s="245">
        <f t="shared" si="8"/>
        <v>0</v>
      </c>
      <c r="H98" s="246">
        <f t="shared" si="9"/>
        <v>0</v>
      </c>
      <c r="I98" s="13"/>
    </row>
    <row r="99" spans="1:9" ht="15.75" x14ac:dyDescent="0.25">
      <c r="A99" s="16">
        <f t="shared" si="10"/>
        <v>98</v>
      </c>
      <c r="B99" s="164" t="s">
        <v>865</v>
      </c>
      <c r="C99" s="284">
        <v>1</v>
      </c>
      <c r="D99" s="169">
        <v>36</v>
      </c>
      <c r="E99" s="169">
        <v>61</v>
      </c>
      <c r="F99" s="244">
        <f t="shared" ref="F99:F120" si="11">(E99-D99)/(E99)</f>
        <v>0.4098360655737705</v>
      </c>
      <c r="G99" s="245">
        <f t="shared" ref="G99:G120" si="12">D99*C99</f>
        <v>36</v>
      </c>
      <c r="H99" s="246">
        <f t="shared" ref="H99:H120" si="13">E99*C99</f>
        <v>61</v>
      </c>
      <c r="I99" s="13"/>
    </row>
    <row r="100" spans="1:9" ht="15.75" x14ac:dyDescent="0.25">
      <c r="A100" s="16">
        <f t="shared" si="10"/>
        <v>99</v>
      </c>
      <c r="B100" s="164" t="s">
        <v>867</v>
      </c>
      <c r="C100" s="284">
        <v>1</v>
      </c>
      <c r="D100" s="169">
        <v>38</v>
      </c>
      <c r="E100" s="169">
        <v>61</v>
      </c>
      <c r="F100" s="244">
        <f t="shared" si="11"/>
        <v>0.37704918032786883</v>
      </c>
      <c r="G100" s="245">
        <f t="shared" si="12"/>
        <v>38</v>
      </c>
      <c r="H100" s="246">
        <f t="shared" si="13"/>
        <v>61</v>
      </c>
      <c r="I100" s="13"/>
    </row>
    <row r="101" spans="1:9" ht="15.75" x14ac:dyDescent="0.25">
      <c r="A101" s="16">
        <f t="shared" si="10"/>
        <v>100</v>
      </c>
      <c r="B101" s="164" t="s">
        <v>866</v>
      </c>
      <c r="C101" s="284">
        <v>1</v>
      </c>
      <c r="D101" s="169">
        <v>38</v>
      </c>
      <c r="E101" s="169">
        <v>61</v>
      </c>
      <c r="F101" s="244">
        <f t="shared" si="11"/>
        <v>0.37704918032786883</v>
      </c>
      <c r="G101" s="245">
        <f t="shared" si="12"/>
        <v>38</v>
      </c>
      <c r="H101" s="246">
        <f t="shared" si="13"/>
        <v>61</v>
      </c>
      <c r="I101" s="13"/>
    </row>
    <row r="102" spans="1:9" ht="15.75" x14ac:dyDescent="0.25">
      <c r="A102" s="16">
        <f t="shared" si="10"/>
        <v>101</v>
      </c>
      <c r="B102" s="164" t="s">
        <v>978</v>
      </c>
      <c r="C102" s="284">
        <v>2</v>
      </c>
      <c r="D102" s="169">
        <v>38</v>
      </c>
      <c r="E102" s="169">
        <v>61</v>
      </c>
      <c r="F102" s="244">
        <f t="shared" si="11"/>
        <v>0.37704918032786883</v>
      </c>
      <c r="G102" s="245">
        <f t="shared" si="12"/>
        <v>76</v>
      </c>
      <c r="H102" s="246">
        <f t="shared" si="13"/>
        <v>122</v>
      </c>
      <c r="I102" s="13"/>
    </row>
    <row r="103" spans="1:9" ht="15.75" x14ac:dyDescent="0.25">
      <c r="A103" s="16">
        <f t="shared" si="10"/>
        <v>102</v>
      </c>
      <c r="B103" s="164" t="s">
        <v>1354</v>
      </c>
      <c r="C103" s="284">
        <v>1</v>
      </c>
      <c r="D103" s="169">
        <v>38</v>
      </c>
      <c r="E103" s="169">
        <v>61</v>
      </c>
      <c r="F103" s="244">
        <f t="shared" si="11"/>
        <v>0.37704918032786883</v>
      </c>
      <c r="G103" s="245">
        <f t="shared" si="12"/>
        <v>38</v>
      </c>
      <c r="H103" s="246">
        <f t="shared" si="13"/>
        <v>61</v>
      </c>
      <c r="I103" s="13"/>
    </row>
    <row r="104" spans="1:9" ht="15.75" x14ac:dyDescent="0.25">
      <c r="A104" s="16">
        <f t="shared" si="10"/>
        <v>103</v>
      </c>
      <c r="B104" s="105" t="s">
        <v>1356</v>
      </c>
      <c r="C104" s="284">
        <v>1</v>
      </c>
      <c r="D104" s="169">
        <v>38</v>
      </c>
      <c r="E104" s="169">
        <v>61</v>
      </c>
      <c r="F104" s="244">
        <f t="shared" si="11"/>
        <v>0.37704918032786883</v>
      </c>
      <c r="G104" s="245">
        <f t="shared" si="12"/>
        <v>38</v>
      </c>
      <c r="H104" s="246">
        <f t="shared" si="13"/>
        <v>61</v>
      </c>
      <c r="I104" s="13"/>
    </row>
    <row r="105" spans="1:9" ht="15.75" x14ac:dyDescent="0.25">
      <c r="A105" s="16">
        <f t="shared" si="10"/>
        <v>104</v>
      </c>
      <c r="B105" s="164" t="s">
        <v>1377</v>
      </c>
      <c r="C105" s="284">
        <v>1</v>
      </c>
      <c r="D105" s="169">
        <v>36</v>
      </c>
      <c r="E105" s="169">
        <v>61</v>
      </c>
      <c r="F105" s="244">
        <f t="shared" si="11"/>
        <v>0.4098360655737705</v>
      </c>
      <c r="G105" s="245">
        <f t="shared" si="12"/>
        <v>36</v>
      </c>
      <c r="H105" s="246">
        <f t="shared" si="13"/>
        <v>61</v>
      </c>
      <c r="I105" s="13"/>
    </row>
    <row r="106" spans="1:9" ht="15.75" x14ac:dyDescent="0.25">
      <c r="A106" s="16">
        <f t="shared" si="10"/>
        <v>105</v>
      </c>
      <c r="B106" s="105" t="s">
        <v>1355</v>
      </c>
      <c r="C106" s="284">
        <v>1</v>
      </c>
      <c r="D106" s="169">
        <v>38</v>
      </c>
      <c r="E106" s="169">
        <v>61</v>
      </c>
      <c r="F106" s="244">
        <f t="shared" si="11"/>
        <v>0.37704918032786883</v>
      </c>
      <c r="G106" s="245">
        <f t="shared" si="12"/>
        <v>38</v>
      </c>
      <c r="H106" s="246">
        <f t="shared" si="13"/>
        <v>61</v>
      </c>
      <c r="I106" s="13"/>
    </row>
    <row r="107" spans="1:9" ht="15.75" x14ac:dyDescent="0.25">
      <c r="A107" s="16">
        <f t="shared" si="10"/>
        <v>106</v>
      </c>
      <c r="B107" s="315" t="s">
        <v>1353</v>
      </c>
      <c r="C107" s="284">
        <v>1</v>
      </c>
      <c r="D107" s="169">
        <v>38</v>
      </c>
      <c r="E107" s="169">
        <v>61</v>
      </c>
      <c r="F107" s="244">
        <f t="shared" si="11"/>
        <v>0.37704918032786883</v>
      </c>
      <c r="G107" s="245">
        <f t="shared" si="12"/>
        <v>38</v>
      </c>
      <c r="H107" s="246">
        <f t="shared" si="13"/>
        <v>61</v>
      </c>
      <c r="I107" s="315"/>
    </row>
    <row r="108" spans="1:9" ht="15.75" x14ac:dyDescent="0.25">
      <c r="A108" s="16">
        <f t="shared" si="10"/>
        <v>107</v>
      </c>
      <c r="B108" s="164" t="s">
        <v>389</v>
      </c>
      <c r="C108" s="284">
        <v>5</v>
      </c>
      <c r="D108" s="101">
        <v>19.5</v>
      </c>
      <c r="E108" s="169">
        <v>30</v>
      </c>
      <c r="F108" s="244">
        <f t="shared" si="11"/>
        <v>0.35</v>
      </c>
      <c r="G108" s="245">
        <f t="shared" si="12"/>
        <v>97.5</v>
      </c>
      <c r="H108" s="246">
        <f t="shared" si="13"/>
        <v>150</v>
      </c>
      <c r="I108" s="315"/>
    </row>
    <row r="109" spans="1:9" ht="15.75" x14ac:dyDescent="0.25">
      <c r="A109" s="16">
        <f t="shared" si="10"/>
        <v>108</v>
      </c>
      <c r="B109" s="164" t="s">
        <v>390</v>
      </c>
      <c r="C109" s="284">
        <v>3</v>
      </c>
      <c r="D109" s="101">
        <v>9.75</v>
      </c>
      <c r="E109" s="169">
        <v>16</v>
      </c>
      <c r="F109" s="244">
        <f t="shared" si="11"/>
        <v>0.390625</v>
      </c>
      <c r="G109" s="245">
        <f t="shared" si="12"/>
        <v>29.25</v>
      </c>
      <c r="H109" s="246">
        <f t="shared" si="13"/>
        <v>48</v>
      </c>
      <c r="I109" s="315"/>
    </row>
    <row r="110" spans="1:9" ht="15.75" x14ac:dyDescent="0.25">
      <c r="A110" s="16">
        <f t="shared" si="10"/>
        <v>109</v>
      </c>
      <c r="B110" s="164" t="s">
        <v>391</v>
      </c>
      <c r="C110" s="617">
        <v>2</v>
      </c>
      <c r="D110" s="101">
        <v>13</v>
      </c>
      <c r="E110" s="169">
        <v>22</v>
      </c>
      <c r="F110" s="244">
        <f t="shared" si="11"/>
        <v>0.40909090909090912</v>
      </c>
      <c r="G110" s="245">
        <f t="shared" si="12"/>
        <v>26</v>
      </c>
      <c r="H110" s="246">
        <f t="shared" si="13"/>
        <v>44</v>
      </c>
      <c r="I110" s="8"/>
    </row>
    <row r="111" spans="1:9" ht="15.75" x14ac:dyDescent="0.25">
      <c r="A111" s="16">
        <f t="shared" si="10"/>
        <v>110</v>
      </c>
      <c r="B111" s="164" t="s">
        <v>392</v>
      </c>
      <c r="C111" s="284">
        <v>2</v>
      </c>
      <c r="D111" s="101">
        <v>6.5</v>
      </c>
      <c r="E111" s="169">
        <v>12</v>
      </c>
      <c r="F111" s="244">
        <f t="shared" si="11"/>
        <v>0.45833333333333331</v>
      </c>
      <c r="G111" s="245">
        <f t="shared" si="12"/>
        <v>13</v>
      </c>
      <c r="H111" s="246">
        <f t="shared" si="13"/>
        <v>24</v>
      </c>
      <c r="I111" s="315"/>
    </row>
    <row r="112" spans="1:9" ht="15.75" x14ac:dyDescent="0.25">
      <c r="A112" s="16">
        <f t="shared" si="10"/>
        <v>111</v>
      </c>
      <c r="B112" s="164" t="s">
        <v>393</v>
      </c>
      <c r="C112" s="284">
        <v>4</v>
      </c>
      <c r="D112" s="101">
        <v>8.5</v>
      </c>
      <c r="E112" s="169">
        <v>15</v>
      </c>
      <c r="F112" s="244">
        <f t="shared" si="11"/>
        <v>0.43333333333333335</v>
      </c>
      <c r="G112" s="245">
        <f t="shared" si="12"/>
        <v>34</v>
      </c>
      <c r="H112" s="246">
        <f t="shared" si="13"/>
        <v>60</v>
      </c>
      <c r="I112" s="315"/>
    </row>
    <row r="113" spans="1:9" ht="15.75" x14ac:dyDescent="0.25">
      <c r="A113" s="16">
        <f t="shared" si="10"/>
        <v>112</v>
      </c>
      <c r="B113" s="164" t="s">
        <v>394</v>
      </c>
      <c r="C113" s="284">
        <v>5</v>
      </c>
      <c r="D113" s="101">
        <v>4.25</v>
      </c>
      <c r="E113" s="169">
        <v>8</v>
      </c>
      <c r="F113" s="244">
        <f t="shared" si="11"/>
        <v>0.46875</v>
      </c>
      <c r="G113" s="245">
        <f t="shared" si="12"/>
        <v>21.25</v>
      </c>
      <c r="H113" s="246">
        <f t="shared" si="13"/>
        <v>40</v>
      </c>
      <c r="I113" s="315"/>
    </row>
    <row r="114" spans="1:9" ht="15.75" x14ac:dyDescent="0.25">
      <c r="A114" s="16">
        <f t="shared" si="10"/>
        <v>113</v>
      </c>
      <c r="B114" s="164" t="s">
        <v>509</v>
      </c>
      <c r="C114" s="284">
        <v>23</v>
      </c>
      <c r="D114" s="169">
        <v>24</v>
      </c>
      <c r="E114" s="169">
        <v>41</v>
      </c>
      <c r="F114" s="244">
        <f t="shared" si="11"/>
        <v>0.41463414634146339</v>
      </c>
      <c r="G114" s="245">
        <f t="shared" si="12"/>
        <v>552</v>
      </c>
      <c r="H114" s="246">
        <f t="shared" si="13"/>
        <v>943</v>
      </c>
      <c r="I114" s="315"/>
    </row>
    <row r="115" spans="1:9" ht="15.75" x14ac:dyDescent="0.25">
      <c r="A115" s="16">
        <f t="shared" si="10"/>
        <v>114</v>
      </c>
      <c r="B115" s="314" t="s">
        <v>397</v>
      </c>
      <c r="C115" s="340">
        <v>3</v>
      </c>
      <c r="D115" s="169">
        <v>8.6</v>
      </c>
      <c r="E115" s="133">
        <v>13</v>
      </c>
      <c r="F115" s="141">
        <f t="shared" si="11"/>
        <v>0.33846153846153848</v>
      </c>
      <c r="G115" s="142">
        <f t="shared" si="12"/>
        <v>25.799999999999997</v>
      </c>
      <c r="H115" s="143">
        <f t="shared" si="13"/>
        <v>39</v>
      </c>
      <c r="I115" s="315"/>
    </row>
    <row r="116" spans="1:9" ht="15.75" x14ac:dyDescent="0.25">
      <c r="A116" s="16">
        <f t="shared" si="10"/>
        <v>115</v>
      </c>
      <c r="B116" s="164" t="s">
        <v>890</v>
      </c>
      <c r="C116" s="284">
        <v>4</v>
      </c>
      <c r="D116" s="169">
        <v>8.1300000000000008</v>
      </c>
      <c r="E116" s="169">
        <v>14</v>
      </c>
      <c r="F116" s="244">
        <f t="shared" si="11"/>
        <v>0.41928571428571421</v>
      </c>
      <c r="G116" s="245">
        <f t="shared" si="12"/>
        <v>32.520000000000003</v>
      </c>
      <c r="H116" s="246">
        <f t="shared" si="13"/>
        <v>56</v>
      </c>
      <c r="I116" s="315"/>
    </row>
    <row r="117" spans="1:9" ht="15.75" x14ac:dyDescent="0.25">
      <c r="A117" s="16">
        <f t="shared" si="10"/>
        <v>116</v>
      </c>
      <c r="B117" s="164" t="s">
        <v>973</v>
      </c>
      <c r="C117" s="284">
        <v>0</v>
      </c>
      <c r="D117" s="169">
        <v>8.9600000000000009</v>
      </c>
      <c r="E117" s="186">
        <v>14</v>
      </c>
      <c r="F117" s="244">
        <f t="shared" si="11"/>
        <v>0.35999999999999993</v>
      </c>
      <c r="G117" s="245">
        <f t="shared" si="12"/>
        <v>0</v>
      </c>
      <c r="H117" s="246">
        <f t="shared" si="13"/>
        <v>0</v>
      </c>
      <c r="I117" s="315"/>
    </row>
    <row r="118" spans="1:9" ht="15.75" x14ac:dyDescent="0.25">
      <c r="A118" s="16">
        <f t="shared" si="10"/>
        <v>117</v>
      </c>
      <c r="B118" s="164" t="s">
        <v>797</v>
      </c>
      <c r="C118" s="28">
        <v>2</v>
      </c>
      <c r="D118" s="169">
        <v>9.1660000000000004</v>
      </c>
      <c r="E118" s="169">
        <v>15</v>
      </c>
      <c r="F118" s="244">
        <f t="shared" si="11"/>
        <v>0.3889333333333333</v>
      </c>
      <c r="G118" s="245">
        <f t="shared" si="12"/>
        <v>18.332000000000001</v>
      </c>
      <c r="H118" s="246">
        <f t="shared" si="13"/>
        <v>30</v>
      </c>
      <c r="I118" s="315"/>
    </row>
    <row r="119" spans="1:9" ht="15.75" x14ac:dyDescent="0.25">
      <c r="A119" s="16">
        <f t="shared" si="10"/>
        <v>118</v>
      </c>
      <c r="B119" s="164" t="s">
        <v>704</v>
      </c>
      <c r="C119" s="284">
        <v>1</v>
      </c>
      <c r="D119" s="169">
        <v>17.5</v>
      </c>
      <c r="E119" s="169">
        <v>28</v>
      </c>
      <c r="F119" s="244">
        <f t="shared" si="11"/>
        <v>0.375</v>
      </c>
      <c r="G119" s="245">
        <f t="shared" si="12"/>
        <v>17.5</v>
      </c>
      <c r="H119" s="246">
        <f t="shared" si="13"/>
        <v>28</v>
      </c>
      <c r="I119" s="315"/>
    </row>
    <row r="120" spans="1:9" ht="15.75" x14ac:dyDescent="0.25">
      <c r="A120" s="16">
        <f t="shared" si="10"/>
        <v>119</v>
      </c>
      <c r="B120" s="164" t="s">
        <v>1334</v>
      </c>
      <c r="C120" s="284">
        <v>1</v>
      </c>
      <c r="D120" s="101">
        <v>7</v>
      </c>
      <c r="E120" s="169">
        <v>12</v>
      </c>
      <c r="F120" s="244">
        <f t="shared" si="11"/>
        <v>0.41666666666666669</v>
      </c>
      <c r="G120" s="245">
        <f t="shared" si="12"/>
        <v>7</v>
      </c>
      <c r="H120" s="246">
        <f t="shared" si="13"/>
        <v>12</v>
      </c>
      <c r="I120" s="315"/>
    </row>
    <row r="121" spans="1:9" ht="15.75" x14ac:dyDescent="0.25">
      <c r="A121" s="16">
        <f t="shared" si="10"/>
        <v>120</v>
      </c>
      <c r="B121" s="105"/>
      <c r="C121" s="284"/>
      <c r="D121" s="10"/>
      <c r="E121" s="10"/>
      <c r="F121" s="244"/>
      <c r="G121" s="245"/>
      <c r="H121" s="246"/>
      <c r="I121" s="315"/>
    </row>
    <row r="122" spans="1:9" ht="15.75" x14ac:dyDescent="0.25">
      <c r="A122" s="16">
        <f t="shared" si="10"/>
        <v>121</v>
      </c>
      <c r="B122" s="105"/>
      <c r="C122" s="284"/>
      <c r="D122" s="10"/>
      <c r="E122" s="193"/>
      <c r="F122" s="26"/>
      <c r="G122" s="170">
        <f>SUM(G2:G121)</f>
        <v>3881.6019999999994</v>
      </c>
      <c r="H122" s="170">
        <f>SUM(H2:H121)</f>
        <v>6610</v>
      </c>
      <c r="I122" s="315"/>
    </row>
    <row r="123" spans="1:9" x14ac:dyDescent="0.25">
      <c r="A123" s="16">
        <f t="shared" si="10"/>
        <v>122</v>
      </c>
      <c r="C123" s="124"/>
      <c r="D123" s="215"/>
      <c r="E123" s="193"/>
      <c r="F123" s="26"/>
      <c r="G123" s="170"/>
      <c r="H123" s="170"/>
      <c r="I123" s="315"/>
    </row>
    <row r="124" spans="1:9" x14ac:dyDescent="0.25">
      <c r="A124" s="16">
        <f t="shared" si="10"/>
        <v>123</v>
      </c>
      <c r="C124" s="124"/>
      <c r="D124" s="215"/>
      <c r="E124" s="193"/>
      <c r="F124" s="26"/>
      <c r="G124" s="170"/>
      <c r="H124" s="173">
        <f>H122-G122</f>
        <v>2728.3980000000006</v>
      </c>
      <c r="I124" s="315"/>
    </row>
    <row r="125" spans="1:9" x14ac:dyDescent="0.25">
      <c r="A125" s="16">
        <f t="shared" si="10"/>
        <v>124</v>
      </c>
      <c r="C125" s="124"/>
      <c r="D125" s="215"/>
      <c r="E125" s="193"/>
      <c r="F125" s="26"/>
      <c r="G125" s="170"/>
      <c r="H125" s="172">
        <f>H124/H122</f>
        <v>0.41276822995461432</v>
      </c>
      <c r="I125" s="13"/>
    </row>
    <row r="126" spans="1:9" x14ac:dyDescent="0.25">
      <c r="A126" s="16">
        <f t="shared" si="10"/>
        <v>125</v>
      </c>
      <c r="C126" s="124"/>
      <c r="D126" s="215"/>
      <c r="E126" s="193"/>
      <c r="F126" s="26"/>
      <c r="G126" s="170"/>
      <c r="H126" s="170"/>
    </row>
    <row r="127" spans="1:9" x14ac:dyDescent="0.25">
      <c r="A127" s="16">
        <f t="shared" ref="A127:A133" si="14">A126+1</f>
        <v>126</v>
      </c>
      <c r="C127" s="124"/>
      <c r="D127" s="215"/>
      <c r="E127" s="193"/>
      <c r="F127" s="26"/>
      <c r="G127" s="170"/>
      <c r="H127" s="172"/>
    </row>
    <row r="128" spans="1:9" x14ac:dyDescent="0.25">
      <c r="A128" s="16">
        <f t="shared" si="14"/>
        <v>127</v>
      </c>
      <c r="C128" s="124"/>
      <c r="D128" s="215"/>
      <c r="E128" s="193"/>
      <c r="F128" s="26"/>
      <c r="G128" s="170"/>
    </row>
    <row r="129" spans="1:7" x14ac:dyDescent="0.25">
      <c r="A129" s="16">
        <f t="shared" si="14"/>
        <v>128</v>
      </c>
      <c r="C129" s="124"/>
      <c r="D129" s="215"/>
      <c r="E129" s="193"/>
      <c r="F129" s="26"/>
      <c r="G129" s="170"/>
    </row>
    <row r="130" spans="1:7" x14ac:dyDescent="0.25">
      <c r="A130" s="16">
        <f t="shared" si="14"/>
        <v>129</v>
      </c>
      <c r="C130" s="124"/>
      <c r="D130" s="215"/>
      <c r="E130" s="193"/>
      <c r="F130" s="26"/>
      <c r="G130" s="170"/>
    </row>
    <row r="131" spans="1:7" x14ac:dyDescent="0.25">
      <c r="A131" s="16">
        <f t="shared" si="14"/>
        <v>130</v>
      </c>
      <c r="C131" s="124"/>
    </row>
    <row r="132" spans="1:7" x14ac:dyDescent="0.25">
      <c r="A132" s="16">
        <f t="shared" si="14"/>
        <v>131</v>
      </c>
      <c r="C132" s="124"/>
    </row>
    <row r="133" spans="1:7" x14ac:dyDescent="0.25">
      <c r="A133" s="16">
        <f t="shared" si="14"/>
        <v>132</v>
      </c>
      <c r="C133" s="124"/>
    </row>
    <row r="134" spans="1:7" x14ac:dyDescent="0.25">
      <c r="A134" s="16"/>
      <c r="C134" s="124"/>
    </row>
    <row r="135" spans="1:7" x14ac:dyDescent="0.25">
      <c r="C135" s="124"/>
    </row>
    <row r="136" spans="1:7" x14ac:dyDescent="0.25">
      <c r="C136" s="124"/>
    </row>
    <row r="137" spans="1:7" x14ac:dyDescent="0.25">
      <c r="C137" s="124"/>
    </row>
    <row r="138" spans="1:7" x14ac:dyDescent="0.25">
      <c r="C138" s="124"/>
    </row>
    <row r="139" spans="1:7" x14ac:dyDescent="0.25">
      <c r="C139" s="124"/>
    </row>
    <row r="140" spans="1:7" x14ac:dyDescent="0.25">
      <c r="C140" s="124"/>
    </row>
  </sheetData>
  <autoFilter ref="A1:M133"/>
  <sortState ref="B3:H120">
    <sortCondition ref="B2"/>
  </sortState>
  <pageMargins left="0.7" right="0.7" top="0.75" bottom="0.75" header="0.3" footer="0.3"/>
  <pageSetup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2"/>
  <dimension ref="A1:AE123"/>
  <sheetViews>
    <sheetView zoomScale="96" zoomScaleNormal="96" workbookViewId="0">
      <pane ySplit="1" topLeftCell="A47" activePane="bottomLeft" state="frozen"/>
      <selection activeCell="T161" sqref="T161"/>
      <selection pane="bottomLeft" activeCell="W1" sqref="W1:Z1"/>
    </sheetView>
  </sheetViews>
  <sheetFormatPr baseColWidth="10" defaultRowHeight="15.75" x14ac:dyDescent="0.25"/>
  <cols>
    <col min="1" max="1" width="4" bestFit="1" customWidth="1"/>
    <col min="2" max="2" width="48" style="97" customWidth="1"/>
    <col min="3" max="3" width="5.7109375" style="124" customWidth="1"/>
    <col min="4" max="4" width="3.5703125" style="397" customWidth="1"/>
    <col min="5" max="5" width="3.5703125" style="522" customWidth="1"/>
    <col min="6" max="6" width="3.42578125" style="397" customWidth="1"/>
    <col min="7" max="7" width="3.7109375" style="522" customWidth="1"/>
    <col min="8" max="8" width="3.42578125" style="397" customWidth="1"/>
    <col min="9" max="9" width="3.42578125" style="522" customWidth="1"/>
    <col min="10" max="10" width="3.5703125" style="397" customWidth="1"/>
    <col min="11" max="11" width="3.28515625" style="522" customWidth="1"/>
    <col min="12" max="12" width="3.42578125" style="397" customWidth="1"/>
    <col min="13" max="13" width="3.7109375" style="522" customWidth="1"/>
    <col min="14" max="14" width="3.7109375" style="583" customWidth="1"/>
    <col min="15" max="15" width="4.7109375" style="154" customWidth="1"/>
    <col min="16" max="16" width="6.42578125" style="249" customWidth="1"/>
    <col min="17" max="17" width="8.85546875" style="124" customWidth="1"/>
    <col min="18" max="18" width="10" style="154" customWidth="1"/>
    <col min="19" max="19" width="8" style="154" customWidth="1"/>
    <col min="20" max="20" width="3.85546875" style="154" customWidth="1"/>
    <col min="21" max="21" width="5" style="154" customWidth="1"/>
    <col min="22" max="22" width="7.85546875" style="154" bestFit="1" customWidth="1"/>
    <col min="23" max="23" width="3.85546875" style="154" customWidth="1"/>
    <col min="24" max="24" width="4" style="154" customWidth="1"/>
    <col min="25" max="25" width="3.42578125" style="154" customWidth="1"/>
    <col min="26" max="26" width="3.85546875" style="124" customWidth="1"/>
    <col min="27" max="27" width="4.140625" style="153" customWidth="1"/>
    <col min="28" max="28" width="3.85546875" style="211" customWidth="1"/>
    <col min="29" max="29" width="4" style="153" customWidth="1"/>
    <col min="30" max="30" width="4.7109375" style="211" bestFit="1" customWidth="1"/>
  </cols>
  <sheetData>
    <row r="1" spans="1:31" ht="72.75" customHeight="1" x14ac:dyDescent="0.25">
      <c r="A1" s="128" t="s">
        <v>0</v>
      </c>
      <c r="B1" s="218" t="s">
        <v>479</v>
      </c>
      <c r="C1" s="41" t="s">
        <v>10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250" t="s">
        <v>4</v>
      </c>
      <c r="P1" s="238" t="s">
        <v>110</v>
      </c>
      <c r="Q1" s="219" t="s">
        <v>5</v>
      </c>
      <c r="R1" s="68" t="s">
        <v>111</v>
      </c>
      <c r="S1" s="555" t="s">
        <v>107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1" ht="15.75" customHeight="1" x14ac:dyDescent="0.25">
      <c r="A2" s="16">
        <v>1</v>
      </c>
      <c r="B2" s="164" t="s">
        <v>475</v>
      </c>
      <c r="C2" s="284">
        <v>2</v>
      </c>
      <c r="D2" s="396"/>
      <c r="E2" s="516"/>
      <c r="F2" s="396"/>
      <c r="G2" s="516"/>
      <c r="H2" s="396"/>
      <c r="I2" s="516"/>
      <c r="J2" s="396"/>
      <c r="K2" s="516"/>
      <c r="L2" s="396"/>
      <c r="M2" s="516"/>
      <c r="N2" s="581"/>
      <c r="O2" s="345">
        <f t="shared" ref="O2:O48" si="0">SUM(C2-D2-E2-F2-G2-H2-I2-J2-K2-L2-M2-N2)</f>
        <v>2</v>
      </c>
      <c r="P2" s="694">
        <f t="shared" ref="P2:P65" si="1">AD2-O2</f>
        <v>6</v>
      </c>
      <c r="Q2" s="169">
        <v>65</v>
      </c>
      <c r="R2" s="223" t="s">
        <v>360</v>
      </c>
      <c r="S2" s="227">
        <v>46722</v>
      </c>
      <c r="T2" s="230">
        <v>1</v>
      </c>
      <c r="U2" s="230"/>
      <c r="V2" s="227">
        <v>45689</v>
      </c>
      <c r="W2" s="223">
        <v>1</v>
      </c>
      <c r="X2" s="223">
        <v>1</v>
      </c>
      <c r="Y2" s="223">
        <v>1</v>
      </c>
      <c r="Z2" s="223">
        <v>1</v>
      </c>
      <c r="AA2" s="224">
        <f t="shared" ref="AA2:AA33" si="2">W2+X2+Y2+Z2</f>
        <v>4</v>
      </c>
      <c r="AB2" s="225">
        <f t="shared" ref="AB2:AB33" si="3">AA2/4</f>
        <v>1</v>
      </c>
      <c r="AC2" s="225">
        <f t="shared" ref="AC2:AC33" si="4">AB2*4</f>
        <v>4</v>
      </c>
      <c r="AD2" s="225">
        <f t="shared" ref="AD2:AD33" si="5">AC2*2</f>
        <v>8</v>
      </c>
    </row>
    <row r="3" spans="1:31" x14ac:dyDescent="0.25">
      <c r="A3" s="16">
        <f>A2+1</f>
        <v>2</v>
      </c>
      <c r="B3" s="164" t="s">
        <v>361</v>
      </c>
      <c r="C3" s="284">
        <v>3</v>
      </c>
      <c r="D3" s="383"/>
      <c r="E3" s="508"/>
      <c r="F3" s="386"/>
      <c r="G3" s="513"/>
      <c r="H3" s="386"/>
      <c r="I3" s="513"/>
      <c r="J3" s="386"/>
      <c r="K3" s="513"/>
      <c r="L3" s="386"/>
      <c r="M3" s="513"/>
      <c r="N3" s="572"/>
      <c r="O3" s="345">
        <f t="shared" si="0"/>
        <v>3</v>
      </c>
      <c r="P3" s="694">
        <f t="shared" si="1"/>
        <v>5</v>
      </c>
      <c r="Q3" s="169">
        <v>9</v>
      </c>
      <c r="R3" s="102" t="s">
        <v>226</v>
      </c>
      <c r="S3" s="227">
        <v>46082</v>
      </c>
      <c r="T3" s="230">
        <v>1</v>
      </c>
      <c r="U3" s="230"/>
      <c r="V3" s="227">
        <v>44713</v>
      </c>
      <c r="W3" s="223">
        <v>1</v>
      </c>
      <c r="X3" s="223">
        <v>1</v>
      </c>
      <c r="Y3" s="223">
        <v>1</v>
      </c>
      <c r="Z3" s="223">
        <v>1</v>
      </c>
      <c r="AA3" s="224">
        <f t="shared" si="2"/>
        <v>4</v>
      </c>
      <c r="AB3" s="225">
        <f t="shared" si="3"/>
        <v>1</v>
      </c>
      <c r="AC3" s="225">
        <f t="shared" si="4"/>
        <v>4</v>
      </c>
      <c r="AD3" s="225">
        <f t="shared" si="5"/>
        <v>8</v>
      </c>
    </row>
    <row r="4" spans="1:31" ht="15.75" customHeight="1" x14ac:dyDescent="0.25">
      <c r="A4" s="16">
        <f t="shared" ref="A4:A67" si="6">A3+1</f>
        <v>3</v>
      </c>
      <c r="B4" s="164" t="s">
        <v>362</v>
      </c>
      <c r="C4" s="284">
        <v>4</v>
      </c>
      <c r="D4" s="383"/>
      <c r="E4" s="508"/>
      <c r="F4" s="383"/>
      <c r="G4" s="508"/>
      <c r="H4" s="383"/>
      <c r="I4" s="508"/>
      <c r="J4" s="383">
        <v>1</v>
      </c>
      <c r="K4" s="508"/>
      <c r="L4" s="383"/>
      <c r="M4" s="508"/>
      <c r="N4" s="573"/>
      <c r="O4" s="345">
        <f t="shared" si="0"/>
        <v>3</v>
      </c>
      <c r="P4" s="694">
        <f t="shared" si="1"/>
        <v>9</v>
      </c>
      <c r="Q4" s="169">
        <v>5</v>
      </c>
      <c r="R4" s="102" t="s">
        <v>226</v>
      </c>
      <c r="S4" s="227">
        <v>46357</v>
      </c>
      <c r="T4" s="230">
        <v>2</v>
      </c>
      <c r="U4" s="230"/>
      <c r="V4" s="227">
        <v>45658</v>
      </c>
      <c r="W4" s="223">
        <v>2</v>
      </c>
      <c r="X4" s="223">
        <v>1</v>
      </c>
      <c r="Y4" s="223">
        <v>1</v>
      </c>
      <c r="Z4" s="223">
        <v>2</v>
      </c>
      <c r="AA4" s="224">
        <f t="shared" si="2"/>
        <v>6</v>
      </c>
      <c r="AB4" s="225">
        <f t="shared" si="3"/>
        <v>1.5</v>
      </c>
      <c r="AC4" s="225">
        <f t="shared" si="4"/>
        <v>6</v>
      </c>
      <c r="AD4" s="225">
        <f t="shared" si="5"/>
        <v>12</v>
      </c>
    </row>
    <row r="5" spans="1:31" x14ac:dyDescent="0.25">
      <c r="A5" s="16">
        <f t="shared" si="6"/>
        <v>4</v>
      </c>
      <c r="B5" s="164" t="s">
        <v>363</v>
      </c>
      <c r="C5" s="284">
        <v>4</v>
      </c>
      <c r="D5" s="452"/>
      <c r="E5" s="513"/>
      <c r="F5" s="383"/>
      <c r="G5" s="508"/>
      <c r="H5" s="383">
        <v>1</v>
      </c>
      <c r="I5" s="508"/>
      <c r="J5" s="383"/>
      <c r="K5" s="508"/>
      <c r="L5" s="383"/>
      <c r="M5" s="508"/>
      <c r="N5" s="573"/>
      <c r="O5" s="345">
        <f t="shared" si="0"/>
        <v>3</v>
      </c>
      <c r="P5" s="694">
        <f t="shared" si="1"/>
        <v>5</v>
      </c>
      <c r="Q5" s="169">
        <v>10</v>
      </c>
      <c r="R5" s="102" t="s">
        <v>364</v>
      </c>
      <c r="S5" s="228"/>
      <c r="T5" s="230">
        <v>0</v>
      </c>
      <c r="U5" s="230"/>
      <c r="V5" s="228">
        <v>45078</v>
      </c>
      <c r="W5" s="222">
        <v>1</v>
      </c>
      <c r="X5" s="223">
        <v>1</v>
      </c>
      <c r="Y5" s="223">
        <v>1</v>
      </c>
      <c r="Z5" s="223">
        <v>1</v>
      </c>
      <c r="AA5" s="224">
        <f t="shared" si="2"/>
        <v>4</v>
      </c>
      <c r="AB5" s="225">
        <f t="shared" si="3"/>
        <v>1</v>
      </c>
      <c r="AC5" s="225">
        <f t="shared" si="4"/>
        <v>4</v>
      </c>
      <c r="AD5" s="225">
        <f t="shared" si="5"/>
        <v>8</v>
      </c>
    </row>
    <row r="6" spans="1:31" ht="15.75" customHeight="1" x14ac:dyDescent="0.25">
      <c r="A6" s="16">
        <f t="shared" si="6"/>
        <v>5</v>
      </c>
      <c r="B6" s="164" t="s">
        <v>365</v>
      </c>
      <c r="C6" s="284">
        <v>6</v>
      </c>
      <c r="D6" s="452"/>
      <c r="E6" s="513"/>
      <c r="F6" s="383">
        <v>1</v>
      </c>
      <c r="G6" s="508"/>
      <c r="H6" s="383"/>
      <c r="I6" s="508"/>
      <c r="J6" s="383"/>
      <c r="K6" s="508"/>
      <c r="L6" s="383"/>
      <c r="M6" s="508"/>
      <c r="N6" s="573"/>
      <c r="O6" s="345">
        <f t="shared" si="0"/>
        <v>5</v>
      </c>
      <c r="P6" s="694">
        <f t="shared" si="1"/>
        <v>5</v>
      </c>
      <c r="Q6" s="169">
        <v>10</v>
      </c>
      <c r="R6" s="102" t="s">
        <v>364</v>
      </c>
      <c r="S6" s="227"/>
      <c r="T6" s="230">
        <v>18</v>
      </c>
      <c r="U6" s="230"/>
      <c r="V6" s="228">
        <v>45383</v>
      </c>
      <c r="W6" s="222">
        <v>1</v>
      </c>
      <c r="X6" s="223">
        <v>1</v>
      </c>
      <c r="Y6" s="223">
        <v>1</v>
      </c>
      <c r="Z6" s="223">
        <v>2</v>
      </c>
      <c r="AA6" s="224">
        <f t="shared" si="2"/>
        <v>5</v>
      </c>
      <c r="AB6" s="225">
        <f t="shared" si="3"/>
        <v>1.25</v>
      </c>
      <c r="AC6" s="225">
        <f t="shared" si="4"/>
        <v>5</v>
      </c>
      <c r="AD6" s="225">
        <f t="shared" si="5"/>
        <v>10</v>
      </c>
    </row>
    <row r="7" spans="1:31" ht="15.75" customHeight="1" x14ac:dyDescent="0.25">
      <c r="A7" s="16">
        <f t="shared" si="6"/>
        <v>6</v>
      </c>
      <c r="B7" s="164" t="s">
        <v>366</v>
      </c>
      <c r="C7" s="284">
        <v>3</v>
      </c>
      <c r="D7" s="452"/>
      <c r="E7" s="513"/>
      <c r="F7" s="383"/>
      <c r="G7" s="508"/>
      <c r="H7" s="383">
        <v>3</v>
      </c>
      <c r="I7" s="508"/>
      <c r="J7" s="383"/>
      <c r="K7" s="508"/>
      <c r="L7" s="383"/>
      <c r="M7" s="508"/>
      <c r="N7" s="573"/>
      <c r="O7" s="345">
        <f t="shared" si="0"/>
        <v>0</v>
      </c>
      <c r="P7" s="694">
        <f t="shared" si="1"/>
        <v>16</v>
      </c>
      <c r="Q7" s="169">
        <v>10</v>
      </c>
      <c r="R7" s="176" t="s">
        <v>364</v>
      </c>
      <c r="S7" s="227"/>
      <c r="T7" s="230">
        <v>2</v>
      </c>
      <c r="U7" s="230"/>
      <c r="V7" s="228">
        <v>45139</v>
      </c>
      <c r="W7" s="222">
        <v>1</v>
      </c>
      <c r="X7" s="223">
        <v>1</v>
      </c>
      <c r="Y7" s="223">
        <v>5</v>
      </c>
      <c r="Z7" s="223">
        <v>1</v>
      </c>
      <c r="AA7" s="224">
        <f t="shared" si="2"/>
        <v>8</v>
      </c>
      <c r="AB7" s="225">
        <f t="shared" si="3"/>
        <v>2</v>
      </c>
      <c r="AC7" s="225">
        <f t="shared" si="4"/>
        <v>8</v>
      </c>
      <c r="AD7" s="225">
        <f t="shared" si="5"/>
        <v>16</v>
      </c>
    </row>
    <row r="8" spans="1:31" ht="15" customHeight="1" x14ac:dyDescent="0.25">
      <c r="A8" s="16">
        <f t="shared" si="6"/>
        <v>7</v>
      </c>
      <c r="B8" s="164" t="s">
        <v>576</v>
      </c>
      <c r="C8" s="284">
        <v>6</v>
      </c>
      <c r="D8" s="453"/>
      <c r="E8" s="517"/>
      <c r="F8" s="376"/>
      <c r="G8" s="483"/>
      <c r="H8" s="376"/>
      <c r="I8" s="483"/>
      <c r="J8" s="376"/>
      <c r="K8" s="483"/>
      <c r="L8" s="376"/>
      <c r="M8" s="483"/>
      <c r="N8" s="574"/>
      <c r="O8" s="345">
        <f t="shared" si="0"/>
        <v>6</v>
      </c>
      <c r="P8" s="694">
        <f t="shared" si="1"/>
        <v>6</v>
      </c>
      <c r="Q8" s="169">
        <v>5.5</v>
      </c>
      <c r="R8" s="348" t="s">
        <v>356</v>
      </c>
      <c r="S8" s="14"/>
      <c r="T8" s="14">
        <v>2</v>
      </c>
      <c r="U8" s="14"/>
      <c r="V8" s="81">
        <v>45108</v>
      </c>
      <c r="W8" s="14">
        <v>4</v>
      </c>
      <c r="X8" s="14">
        <v>2</v>
      </c>
      <c r="Y8" s="14"/>
      <c r="Z8" s="28"/>
      <c r="AA8" s="224">
        <f t="shared" si="2"/>
        <v>6</v>
      </c>
      <c r="AB8" s="225">
        <f t="shared" si="3"/>
        <v>1.5</v>
      </c>
      <c r="AC8" s="225">
        <f t="shared" si="4"/>
        <v>6</v>
      </c>
      <c r="AD8" s="225">
        <f t="shared" si="5"/>
        <v>12</v>
      </c>
    </row>
    <row r="9" spans="1:31" ht="15.75" customHeight="1" x14ac:dyDescent="0.25">
      <c r="A9" s="16">
        <f t="shared" si="6"/>
        <v>8</v>
      </c>
      <c r="B9" s="164" t="s">
        <v>998</v>
      </c>
      <c r="C9" s="284">
        <v>6</v>
      </c>
      <c r="D9" s="452"/>
      <c r="E9" s="513"/>
      <c r="F9" s="383"/>
      <c r="G9" s="508"/>
      <c r="H9" s="383"/>
      <c r="I9" s="508"/>
      <c r="J9" s="383"/>
      <c r="K9" s="508"/>
      <c r="L9" s="383"/>
      <c r="M9" s="508"/>
      <c r="N9" s="573"/>
      <c r="O9" s="345">
        <f t="shared" si="0"/>
        <v>6</v>
      </c>
      <c r="P9" s="694">
        <f t="shared" si="1"/>
        <v>2</v>
      </c>
      <c r="Q9" s="169">
        <v>5.5</v>
      </c>
      <c r="R9" s="102" t="s">
        <v>356</v>
      </c>
      <c r="S9" s="227"/>
      <c r="T9" s="320">
        <v>2</v>
      </c>
      <c r="U9" s="320"/>
      <c r="V9" s="228">
        <v>45536</v>
      </c>
      <c r="W9" s="222">
        <v>1</v>
      </c>
      <c r="X9" s="223">
        <v>1</v>
      </c>
      <c r="Y9" s="223">
        <v>1</v>
      </c>
      <c r="Z9" s="223">
        <v>1</v>
      </c>
      <c r="AA9" s="224">
        <f t="shared" si="2"/>
        <v>4</v>
      </c>
      <c r="AB9" s="225">
        <f t="shared" si="3"/>
        <v>1</v>
      </c>
      <c r="AC9" s="225">
        <f t="shared" si="4"/>
        <v>4</v>
      </c>
      <c r="AD9" s="225">
        <f t="shared" si="5"/>
        <v>8</v>
      </c>
    </row>
    <row r="10" spans="1:31" ht="15.75" customHeight="1" x14ac:dyDescent="0.25">
      <c r="A10" s="16">
        <f t="shared" si="6"/>
        <v>9</v>
      </c>
      <c r="B10" s="164" t="s">
        <v>800</v>
      </c>
      <c r="C10" s="284">
        <v>1</v>
      </c>
      <c r="D10" s="452"/>
      <c r="E10" s="514"/>
      <c r="F10" s="383"/>
      <c r="G10" s="508"/>
      <c r="H10" s="383"/>
      <c r="I10" s="508"/>
      <c r="J10" s="383"/>
      <c r="K10" s="508"/>
      <c r="L10" s="383"/>
      <c r="M10" s="508"/>
      <c r="N10" s="573"/>
      <c r="O10" s="345">
        <f t="shared" si="0"/>
        <v>1</v>
      </c>
      <c r="P10" s="694">
        <f t="shared" si="1"/>
        <v>5</v>
      </c>
      <c r="Q10" s="169">
        <v>80</v>
      </c>
      <c r="R10" s="237" t="s">
        <v>226</v>
      </c>
      <c r="S10" s="227">
        <v>45962</v>
      </c>
      <c r="T10" s="230">
        <v>2</v>
      </c>
      <c r="U10" s="230"/>
      <c r="V10" s="227">
        <v>45352</v>
      </c>
      <c r="W10" s="223">
        <v>1</v>
      </c>
      <c r="X10" s="223">
        <v>1</v>
      </c>
      <c r="Y10" s="223">
        <v>1</v>
      </c>
      <c r="Z10" s="223"/>
      <c r="AA10" s="224">
        <f t="shared" si="2"/>
        <v>3</v>
      </c>
      <c r="AB10" s="225">
        <f t="shared" si="3"/>
        <v>0.75</v>
      </c>
      <c r="AC10" s="225">
        <f t="shared" si="4"/>
        <v>3</v>
      </c>
      <c r="AD10" s="225">
        <f t="shared" si="5"/>
        <v>6</v>
      </c>
    </row>
    <row r="11" spans="1:31" ht="15.75" customHeight="1" x14ac:dyDescent="0.25">
      <c r="A11" s="16">
        <f t="shared" si="6"/>
        <v>10</v>
      </c>
      <c r="B11" s="164" t="s">
        <v>574</v>
      </c>
      <c r="C11" s="284">
        <v>3</v>
      </c>
      <c r="D11" s="452"/>
      <c r="E11" s="513"/>
      <c r="F11" s="383"/>
      <c r="G11" s="508"/>
      <c r="H11" s="383"/>
      <c r="I11" s="508"/>
      <c r="J11" s="383"/>
      <c r="K11" s="508"/>
      <c r="L11" s="383"/>
      <c r="M11" s="508"/>
      <c r="N11" s="573"/>
      <c r="O11" s="345">
        <f t="shared" si="0"/>
        <v>3</v>
      </c>
      <c r="P11" s="694">
        <f t="shared" si="1"/>
        <v>5</v>
      </c>
      <c r="Q11" s="169">
        <v>30</v>
      </c>
      <c r="R11" s="176" t="s">
        <v>356</v>
      </c>
      <c r="S11" s="227">
        <v>46023</v>
      </c>
      <c r="T11" s="320">
        <v>6</v>
      </c>
      <c r="U11" s="320"/>
      <c r="V11" s="228">
        <v>45566</v>
      </c>
      <c r="W11" s="222">
        <v>1</v>
      </c>
      <c r="X11" s="223">
        <v>1</v>
      </c>
      <c r="Y11" s="223">
        <v>1</v>
      </c>
      <c r="Z11" s="223">
        <v>1</v>
      </c>
      <c r="AA11" s="224">
        <f t="shared" si="2"/>
        <v>4</v>
      </c>
      <c r="AB11" s="225">
        <f t="shared" si="3"/>
        <v>1</v>
      </c>
      <c r="AC11" s="225">
        <f t="shared" si="4"/>
        <v>4</v>
      </c>
      <c r="AD11" s="225">
        <f t="shared" si="5"/>
        <v>8</v>
      </c>
    </row>
    <row r="12" spans="1:31" ht="15.75" customHeight="1" x14ac:dyDescent="0.25">
      <c r="A12" s="16">
        <f t="shared" si="6"/>
        <v>11</v>
      </c>
      <c r="B12" s="164" t="s">
        <v>573</v>
      </c>
      <c r="C12" s="284">
        <v>8</v>
      </c>
      <c r="D12" s="454"/>
      <c r="E12" s="518"/>
      <c r="F12" s="396"/>
      <c r="G12" s="516"/>
      <c r="H12" s="396"/>
      <c r="I12" s="516"/>
      <c r="J12" s="396"/>
      <c r="K12" s="516"/>
      <c r="L12" s="396"/>
      <c r="M12" s="516"/>
      <c r="N12" s="581"/>
      <c r="O12" s="345">
        <f t="shared" si="0"/>
        <v>8</v>
      </c>
      <c r="P12" s="693">
        <f t="shared" si="1"/>
        <v>0</v>
      </c>
      <c r="Q12" s="169">
        <v>10</v>
      </c>
      <c r="R12" s="223" t="s">
        <v>852</v>
      </c>
      <c r="S12" s="227"/>
      <c r="T12" s="230">
        <v>42</v>
      </c>
      <c r="U12" s="230"/>
      <c r="V12" s="227">
        <v>45231</v>
      </c>
      <c r="W12" s="223">
        <v>1</v>
      </c>
      <c r="X12" s="223">
        <v>1</v>
      </c>
      <c r="Y12" s="223">
        <v>1</v>
      </c>
      <c r="Z12" s="223">
        <v>1</v>
      </c>
      <c r="AA12" s="224">
        <f t="shared" si="2"/>
        <v>4</v>
      </c>
      <c r="AB12" s="225">
        <f t="shared" si="3"/>
        <v>1</v>
      </c>
      <c r="AC12" s="225">
        <f t="shared" si="4"/>
        <v>4</v>
      </c>
      <c r="AD12" s="225">
        <f t="shared" si="5"/>
        <v>8</v>
      </c>
    </row>
    <row r="13" spans="1:31" ht="15.75" customHeight="1" x14ac:dyDescent="0.25">
      <c r="A13" s="16">
        <f t="shared" si="6"/>
        <v>12</v>
      </c>
      <c r="B13" s="164" t="s">
        <v>487</v>
      </c>
      <c r="C13" s="284">
        <v>2</v>
      </c>
      <c r="D13" s="454"/>
      <c r="E13" s="518"/>
      <c r="F13" s="388"/>
      <c r="G13" s="507"/>
      <c r="H13" s="388"/>
      <c r="I13" s="507"/>
      <c r="J13" s="388"/>
      <c r="K13" s="507"/>
      <c r="L13" s="388"/>
      <c r="M13" s="507"/>
      <c r="N13" s="571"/>
      <c r="O13" s="345">
        <f t="shared" si="0"/>
        <v>2</v>
      </c>
      <c r="P13" s="694">
        <f t="shared" si="1"/>
        <v>6</v>
      </c>
      <c r="Q13" s="169">
        <v>14</v>
      </c>
      <c r="R13" s="102" t="s">
        <v>360</v>
      </c>
      <c r="S13" s="227"/>
      <c r="T13" s="320">
        <v>0</v>
      </c>
      <c r="U13" s="320"/>
      <c r="V13" s="228">
        <v>45444</v>
      </c>
      <c r="W13" s="222">
        <v>1</v>
      </c>
      <c r="X13" s="223">
        <v>1</v>
      </c>
      <c r="Y13" s="223">
        <v>1</v>
      </c>
      <c r="Z13" s="223">
        <v>1</v>
      </c>
      <c r="AA13" s="224">
        <f t="shared" si="2"/>
        <v>4</v>
      </c>
      <c r="AB13" s="225">
        <f t="shared" si="3"/>
        <v>1</v>
      </c>
      <c r="AC13" s="225">
        <f t="shared" si="4"/>
        <v>4</v>
      </c>
      <c r="AD13" s="225">
        <f t="shared" si="5"/>
        <v>8</v>
      </c>
    </row>
    <row r="14" spans="1:31" ht="15.75" customHeight="1" x14ac:dyDescent="0.25">
      <c r="A14" s="16">
        <f t="shared" si="6"/>
        <v>13</v>
      </c>
      <c r="B14" s="164" t="s">
        <v>370</v>
      </c>
      <c r="C14" s="284">
        <v>4</v>
      </c>
      <c r="D14" s="452"/>
      <c r="E14" s="513"/>
      <c r="F14" s="383">
        <v>2</v>
      </c>
      <c r="G14" s="508"/>
      <c r="H14" s="383"/>
      <c r="I14" s="508"/>
      <c r="J14" s="383"/>
      <c r="K14" s="508"/>
      <c r="L14" s="383"/>
      <c r="M14" s="508"/>
      <c r="N14" s="573"/>
      <c r="O14" s="345">
        <f t="shared" si="0"/>
        <v>2</v>
      </c>
      <c r="P14" s="694">
        <f t="shared" si="1"/>
        <v>16</v>
      </c>
      <c r="Q14" s="169">
        <v>12</v>
      </c>
      <c r="R14" s="102" t="s">
        <v>364</v>
      </c>
      <c r="S14" s="227"/>
      <c r="T14" s="320">
        <v>2</v>
      </c>
      <c r="U14" s="320"/>
      <c r="V14" s="228">
        <v>44927</v>
      </c>
      <c r="W14" s="222">
        <v>2</v>
      </c>
      <c r="X14" s="223">
        <v>2</v>
      </c>
      <c r="Y14" s="223">
        <v>1</v>
      </c>
      <c r="Z14" s="223">
        <v>4</v>
      </c>
      <c r="AA14" s="224">
        <f t="shared" si="2"/>
        <v>9</v>
      </c>
      <c r="AB14" s="225">
        <f t="shared" si="3"/>
        <v>2.25</v>
      </c>
      <c r="AC14" s="225">
        <f t="shared" si="4"/>
        <v>9</v>
      </c>
      <c r="AD14" s="225">
        <f t="shared" si="5"/>
        <v>18</v>
      </c>
    </row>
    <row r="15" spans="1:31" ht="15.75" customHeight="1" x14ac:dyDescent="0.25">
      <c r="A15" s="16">
        <f t="shared" si="6"/>
        <v>14</v>
      </c>
      <c r="B15" s="164" t="s">
        <v>92</v>
      </c>
      <c r="C15" s="284">
        <v>19</v>
      </c>
      <c r="D15" s="455"/>
      <c r="E15" s="520"/>
      <c r="F15" s="385"/>
      <c r="G15" s="509"/>
      <c r="H15" s="385"/>
      <c r="I15" s="509"/>
      <c r="J15" s="385"/>
      <c r="K15" s="509"/>
      <c r="L15" s="385"/>
      <c r="M15" s="509">
        <v>1</v>
      </c>
      <c r="N15" s="569"/>
      <c r="O15" s="345">
        <f t="shared" si="0"/>
        <v>18</v>
      </c>
      <c r="P15" s="102">
        <f t="shared" si="1"/>
        <v>0</v>
      </c>
      <c r="Q15" s="169">
        <v>1.5</v>
      </c>
      <c r="R15" s="233" t="s">
        <v>364</v>
      </c>
      <c r="S15" s="234"/>
      <c r="T15" s="240">
        <v>50</v>
      </c>
      <c r="U15" s="240"/>
      <c r="V15" s="235">
        <v>44958</v>
      </c>
      <c r="W15" s="234">
        <v>2</v>
      </c>
      <c r="X15" s="234">
        <v>2</v>
      </c>
      <c r="Y15" s="234">
        <v>3</v>
      </c>
      <c r="Z15" s="234">
        <v>2</v>
      </c>
      <c r="AA15" s="224">
        <f t="shared" si="2"/>
        <v>9</v>
      </c>
      <c r="AB15" s="225">
        <f t="shared" si="3"/>
        <v>2.25</v>
      </c>
      <c r="AC15" s="225">
        <f t="shared" si="4"/>
        <v>9</v>
      </c>
      <c r="AD15" s="225">
        <f t="shared" si="5"/>
        <v>18</v>
      </c>
      <c r="AE15" s="97"/>
    </row>
    <row r="16" spans="1:31" ht="15.75" customHeight="1" x14ac:dyDescent="0.25">
      <c r="A16" s="16">
        <f t="shared" si="6"/>
        <v>15</v>
      </c>
      <c r="B16" s="164" t="s">
        <v>634</v>
      </c>
      <c r="C16" s="284">
        <v>4</v>
      </c>
      <c r="D16" s="452"/>
      <c r="E16" s="513"/>
      <c r="F16" s="386"/>
      <c r="G16" s="513"/>
      <c r="H16" s="386"/>
      <c r="I16" s="513"/>
      <c r="J16" s="386"/>
      <c r="K16" s="513"/>
      <c r="L16" s="386"/>
      <c r="M16" s="513"/>
      <c r="N16" s="572"/>
      <c r="O16" s="345">
        <f t="shared" si="0"/>
        <v>4</v>
      </c>
      <c r="P16" s="694">
        <f t="shared" si="1"/>
        <v>8</v>
      </c>
      <c r="Q16" s="169">
        <v>5</v>
      </c>
      <c r="R16" s="229" t="s">
        <v>364</v>
      </c>
      <c r="S16" s="223"/>
      <c r="T16" s="320">
        <v>20</v>
      </c>
      <c r="U16" s="320"/>
      <c r="V16" s="227">
        <v>44896</v>
      </c>
      <c r="W16" s="223">
        <v>3</v>
      </c>
      <c r="X16" s="223">
        <v>1</v>
      </c>
      <c r="Y16" s="223">
        <v>1</v>
      </c>
      <c r="Z16" s="223">
        <v>1</v>
      </c>
      <c r="AA16" s="224">
        <f t="shared" si="2"/>
        <v>6</v>
      </c>
      <c r="AB16" s="225">
        <f t="shared" si="3"/>
        <v>1.5</v>
      </c>
      <c r="AC16" s="225">
        <f t="shared" si="4"/>
        <v>6</v>
      </c>
      <c r="AD16" s="225">
        <f t="shared" si="5"/>
        <v>12</v>
      </c>
      <c r="AE16" s="97"/>
    </row>
    <row r="17" spans="1:31" ht="15.75" customHeight="1" x14ac:dyDescent="0.25">
      <c r="A17" s="16">
        <f t="shared" si="6"/>
        <v>16</v>
      </c>
      <c r="B17" s="164" t="s">
        <v>1318</v>
      </c>
      <c r="C17" s="284">
        <v>8</v>
      </c>
      <c r="D17" s="452"/>
      <c r="E17" s="513">
        <v>2</v>
      </c>
      <c r="F17" s="383"/>
      <c r="G17" s="508"/>
      <c r="H17" s="383"/>
      <c r="I17" s="508"/>
      <c r="J17" s="383"/>
      <c r="K17" s="508"/>
      <c r="L17" s="383"/>
      <c r="M17" s="508"/>
      <c r="N17" s="573"/>
      <c r="O17" s="345">
        <f t="shared" si="0"/>
        <v>6</v>
      </c>
      <c r="P17" s="694">
        <f t="shared" si="1"/>
        <v>6</v>
      </c>
      <c r="Q17" s="169">
        <v>6</v>
      </c>
      <c r="R17" s="102" t="s">
        <v>226</v>
      </c>
      <c r="S17" s="227"/>
      <c r="T17" s="320">
        <v>0</v>
      </c>
      <c r="U17" s="320"/>
      <c r="V17" s="228">
        <v>45627</v>
      </c>
      <c r="W17" s="222">
        <v>1</v>
      </c>
      <c r="X17" s="223">
        <v>3</v>
      </c>
      <c r="Y17" s="223">
        <v>1</v>
      </c>
      <c r="Z17" s="223">
        <v>1</v>
      </c>
      <c r="AA17" s="224">
        <f t="shared" si="2"/>
        <v>6</v>
      </c>
      <c r="AB17" s="225">
        <f t="shared" si="3"/>
        <v>1.5</v>
      </c>
      <c r="AC17" s="225">
        <f t="shared" si="4"/>
        <v>6</v>
      </c>
      <c r="AD17" s="225">
        <f t="shared" si="5"/>
        <v>12</v>
      </c>
    </row>
    <row r="18" spans="1:31" ht="15.75" customHeight="1" x14ac:dyDescent="0.25">
      <c r="A18" s="16">
        <f t="shared" si="6"/>
        <v>17</v>
      </c>
      <c r="B18" s="164" t="s">
        <v>770</v>
      </c>
      <c r="C18" s="284">
        <v>1</v>
      </c>
      <c r="D18" s="452"/>
      <c r="E18" s="513"/>
      <c r="F18" s="383"/>
      <c r="G18" s="508"/>
      <c r="H18" s="383"/>
      <c r="I18" s="508"/>
      <c r="J18" s="383"/>
      <c r="K18" s="508"/>
      <c r="L18" s="383"/>
      <c r="M18" s="508"/>
      <c r="N18" s="573"/>
      <c r="O18" s="345">
        <f t="shared" si="0"/>
        <v>1</v>
      </c>
      <c r="P18" s="694">
        <f t="shared" si="1"/>
        <v>1</v>
      </c>
      <c r="Q18" s="169">
        <v>14</v>
      </c>
      <c r="R18" s="102" t="s">
        <v>226</v>
      </c>
      <c r="S18" s="227">
        <v>46113</v>
      </c>
      <c r="T18" s="320">
        <v>1</v>
      </c>
      <c r="U18" s="320"/>
      <c r="V18" s="228">
        <v>45292</v>
      </c>
      <c r="W18" s="222"/>
      <c r="X18" s="223">
        <v>1</v>
      </c>
      <c r="Y18" s="223"/>
      <c r="Z18" s="223"/>
      <c r="AA18" s="224">
        <f t="shared" si="2"/>
        <v>1</v>
      </c>
      <c r="AB18" s="225">
        <f t="shared" si="3"/>
        <v>0.25</v>
      </c>
      <c r="AC18" s="225">
        <f t="shared" si="4"/>
        <v>1</v>
      </c>
      <c r="AD18" s="225">
        <f t="shared" si="5"/>
        <v>2</v>
      </c>
    </row>
    <row r="19" spans="1:31" ht="15.75" customHeight="1" x14ac:dyDescent="0.25">
      <c r="A19" s="16">
        <f t="shared" si="6"/>
        <v>18</v>
      </c>
      <c r="B19" s="666" t="s">
        <v>1419</v>
      </c>
      <c r="C19" s="667">
        <v>1</v>
      </c>
      <c r="D19" s="452"/>
      <c r="E19" s="513"/>
      <c r="F19" s="383"/>
      <c r="G19" s="508"/>
      <c r="H19" s="383"/>
      <c r="I19" s="508"/>
      <c r="J19" s="383"/>
      <c r="K19" s="508"/>
      <c r="L19" s="383"/>
      <c r="M19" s="508"/>
      <c r="N19" s="573"/>
      <c r="O19" s="345">
        <f t="shared" si="0"/>
        <v>1</v>
      </c>
      <c r="P19" s="694">
        <f t="shared" si="1"/>
        <v>7</v>
      </c>
      <c r="Q19" s="169">
        <v>98</v>
      </c>
      <c r="R19" s="102" t="s">
        <v>360</v>
      </c>
      <c r="S19" s="668">
        <v>45839</v>
      </c>
      <c r="T19" s="230">
        <v>2</v>
      </c>
      <c r="U19" s="230"/>
      <c r="V19" s="227">
        <v>45689</v>
      </c>
      <c r="W19" s="223">
        <v>1</v>
      </c>
      <c r="X19" s="223">
        <v>1</v>
      </c>
      <c r="Y19" s="223">
        <v>1</v>
      </c>
      <c r="Z19" s="223">
        <v>1</v>
      </c>
      <c r="AA19" s="224">
        <f t="shared" si="2"/>
        <v>4</v>
      </c>
      <c r="AB19" s="225">
        <f t="shared" si="3"/>
        <v>1</v>
      </c>
      <c r="AC19" s="225">
        <f t="shared" si="4"/>
        <v>4</v>
      </c>
      <c r="AD19" s="225">
        <f t="shared" si="5"/>
        <v>8</v>
      </c>
    </row>
    <row r="20" spans="1:31" ht="15.75" customHeight="1" x14ac:dyDescent="0.25">
      <c r="A20" s="16">
        <f t="shared" si="6"/>
        <v>19</v>
      </c>
      <c r="B20" s="105" t="s">
        <v>1426</v>
      </c>
      <c r="C20" s="284">
        <v>0</v>
      </c>
      <c r="D20" s="376"/>
      <c r="E20" s="483"/>
      <c r="F20" s="376"/>
      <c r="G20" s="483"/>
      <c r="H20" s="376"/>
      <c r="I20" s="483"/>
      <c r="J20" s="376"/>
      <c r="K20" s="483"/>
      <c r="L20" s="376"/>
      <c r="M20" s="483"/>
      <c r="N20" s="574"/>
      <c r="O20" s="345">
        <f t="shared" si="0"/>
        <v>0</v>
      </c>
      <c r="P20" s="694">
        <f t="shared" si="1"/>
        <v>2</v>
      </c>
      <c r="Q20" s="169">
        <v>68</v>
      </c>
      <c r="R20" s="14" t="s">
        <v>360</v>
      </c>
      <c r="S20" s="81">
        <v>46296</v>
      </c>
      <c r="T20" s="14"/>
      <c r="U20" s="14"/>
      <c r="V20" s="81">
        <v>45689</v>
      </c>
      <c r="W20" s="14">
        <v>1</v>
      </c>
      <c r="X20" s="14"/>
      <c r="Y20" s="14"/>
      <c r="Z20" s="28"/>
      <c r="AA20" s="224">
        <f t="shared" si="2"/>
        <v>1</v>
      </c>
      <c r="AB20" s="225">
        <f t="shared" si="3"/>
        <v>0.25</v>
      </c>
      <c r="AC20" s="225">
        <f t="shared" si="4"/>
        <v>1</v>
      </c>
      <c r="AD20" s="225">
        <f t="shared" si="5"/>
        <v>2</v>
      </c>
    </row>
    <row r="21" spans="1:31" ht="15.75" customHeight="1" x14ac:dyDescent="0.25">
      <c r="A21" s="16">
        <f t="shared" si="6"/>
        <v>20</v>
      </c>
      <c r="B21" s="164" t="s">
        <v>1422</v>
      </c>
      <c r="C21" s="284">
        <v>0</v>
      </c>
      <c r="D21" s="452"/>
      <c r="E21" s="514"/>
      <c r="F21" s="383"/>
      <c r="G21" s="508"/>
      <c r="H21" s="383"/>
      <c r="I21" s="508"/>
      <c r="J21" s="383"/>
      <c r="K21" s="508"/>
      <c r="L21" s="383"/>
      <c r="M21" s="508"/>
      <c r="N21" s="573"/>
      <c r="O21" s="345">
        <f t="shared" si="0"/>
        <v>0</v>
      </c>
      <c r="P21" s="694">
        <f t="shared" si="1"/>
        <v>2</v>
      </c>
      <c r="Q21" s="169">
        <v>73</v>
      </c>
      <c r="R21" s="102" t="s">
        <v>360</v>
      </c>
      <c r="S21" s="228">
        <v>46204</v>
      </c>
      <c r="T21" s="320">
        <v>0</v>
      </c>
      <c r="U21" s="230"/>
      <c r="V21" s="228">
        <v>45689</v>
      </c>
      <c r="W21" s="222"/>
      <c r="X21" s="223">
        <v>1</v>
      </c>
      <c r="Y21" s="223"/>
      <c r="Z21" s="223"/>
      <c r="AA21" s="224">
        <f t="shared" si="2"/>
        <v>1</v>
      </c>
      <c r="AB21" s="225">
        <f t="shared" si="3"/>
        <v>0.25</v>
      </c>
      <c r="AC21" s="225">
        <f t="shared" si="4"/>
        <v>1</v>
      </c>
      <c r="AD21" s="225">
        <f t="shared" si="5"/>
        <v>2</v>
      </c>
      <c r="AE21" s="97"/>
    </row>
    <row r="22" spans="1:31" ht="15.75" customHeight="1" x14ac:dyDescent="0.25">
      <c r="A22" s="16">
        <f t="shared" si="6"/>
        <v>21</v>
      </c>
      <c r="B22" s="105" t="s">
        <v>1427</v>
      </c>
      <c r="C22" s="284">
        <v>1</v>
      </c>
      <c r="D22" s="376"/>
      <c r="E22" s="483"/>
      <c r="F22" s="376"/>
      <c r="G22" s="483"/>
      <c r="H22" s="376"/>
      <c r="I22" s="483"/>
      <c r="J22" s="376"/>
      <c r="K22" s="483"/>
      <c r="L22" s="376"/>
      <c r="M22" s="483"/>
      <c r="N22" s="574"/>
      <c r="O22" s="345">
        <f t="shared" si="0"/>
        <v>1</v>
      </c>
      <c r="P22" s="102">
        <f t="shared" si="1"/>
        <v>-1</v>
      </c>
      <c r="Q22" s="169">
        <v>68</v>
      </c>
      <c r="R22" s="14" t="s">
        <v>360</v>
      </c>
      <c r="S22" s="81">
        <v>46204</v>
      </c>
      <c r="T22" s="14"/>
      <c r="U22" s="14"/>
      <c r="V22" s="81">
        <v>45689</v>
      </c>
      <c r="W22" s="14"/>
      <c r="X22" s="14"/>
      <c r="Y22" s="14"/>
      <c r="Z22" s="28"/>
      <c r="AA22" s="224">
        <f t="shared" si="2"/>
        <v>0</v>
      </c>
      <c r="AB22" s="225">
        <f t="shared" si="3"/>
        <v>0</v>
      </c>
      <c r="AC22" s="225">
        <f t="shared" si="4"/>
        <v>0</v>
      </c>
      <c r="AD22" s="225">
        <f t="shared" si="5"/>
        <v>0</v>
      </c>
    </row>
    <row r="23" spans="1:31" ht="15.75" customHeight="1" x14ac:dyDescent="0.25">
      <c r="A23" s="16">
        <f t="shared" si="6"/>
        <v>22</v>
      </c>
      <c r="B23" s="105" t="s">
        <v>1424</v>
      </c>
      <c r="C23" s="284">
        <v>1</v>
      </c>
      <c r="D23" s="376"/>
      <c r="E23" s="483"/>
      <c r="F23" s="376"/>
      <c r="G23" s="483"/>
      <c r="H23" s="376"/>
      <c r="I23" s="483"/>
      <c r="J23" s="376"/>
      <c r="K23" s="483"/>
      <c r="L23" s="376"/>
      <c r="M23" s="483"/>
      <c r="N23" s="574"/>
      <c r="O23" s="345">
        <f t="shared" si="0"/>
        <v>1</v>
      </c>
      <c r="P23" s="102">
        <f t="shared" si="1"/>
        <v>-1</v>
      </c>
      <c r="Q23" s="169">
        <v>68</v>
      </c>
      <c r="R23" s="14" t="s">
        <v>360</v>
      </c>
      <c r="S23" s="81">
        <v>46235</v>
      </c>
      <c r="T23" s="14"/>
      <c r="U23" s="14"/>
      <c r="V23" s="81">
        <v>45689</v>
      </c>
      <c r="W23" s="14"/>
      <c r="X23" s="14"/>
      <c r="Y23" s="14"/>
      <c r="Z23" s="28"/>
      <c r="AA23" s="224">
        <f t="shared" si="2"/>
        <v>0</v>
      </c>
      <c r="AB23" s="225">
        <f t="shared" si="3"/>
        <v>0</v>
      </c>
      <c r="AC23" s="225">
        <f t="shared" si="4"/>
        <v>0</v>
      </c>
      <c r="AD23" s="225">
        <f t="shared" si="5"/>
        <v>0</v>
      </c>
    </row>
    <row r="24" spans="1:31" ht="15.75" customHeight="1" x14ac:dyDescent="0.25">
      <c r="A24" s="16">
        <f t="shared" si="6"/>
        <v>23</v>
      </c>
      <c r="B24" s="105" t="s">
        <v>1425</v>
      </c>
      <c r="C24" s="284">
        <v>0</v>
      </c>
      <c r="D24" s="376"/>
      <c r="E24" s="483"/>
      <c r="F24" s="376"/>
      <c r="G24" s="483"/>
      <c r="H24" s="376"/>
      <c r="I24" s="483"/>
      <c r="J24" s="376"/>
      <c r="K24" s="483"/>
      <c r="L24" s="376"/>
      <c r="M24" s="483"/>
      <c r="N24" s="574"/>
      <c r="O24" s="345">
        <f t="shared" si="0"/>
        <v>0</v>
      </c>
      <c r="P24" s="694">
        <f t="shared" si="1"/>
        <v>2</v>
      </c>
      <c r="Q24" s="169">
        <v>68</v>
      </c>
      <c r="R24" s="14" t="s">
        <v>360</v>
      </c>
      <c r="S24" s="81">
        <v>46235</v>
      </c>
      <c r="T24" s="14"/>
      <c r="U24" s="14"/>
      <c r="V24" s="81">
        <v>45689</v>
      </c>
      <c r="W24" s="14"/>
      <c r="X24" s="14"/>
      <c r="Y24" s="14">
        <v>1</v>
      </c>
      <c r="Z24" s="28"/>
      <c r="AA24" s="224">
        <f t="shared" si="2"/>
        <v>1</v>
      </c>
      <c r="AB24" s="225">
        <f t="shared" si="3"/>
        <v>0.25</v>
      </c>
      <c r="AC24" s="225">
        <f t="shared" si="4"/>
        <v>1</v>
      </c>
      <c r="AD24" s="225">
        <f t="shared" si="5"/>
        <v>2</v>
      </c>
      <c r="AE24" s="97"/>
    </row>
    <row r="25" spans="1:31" ht="15.75" customHeight="1" x14ac:dyDescent="0.25">
      <c r="A25" s="16">
        <f t="shared" si="6"/>
        <v>24</v>
      </c>
      <c r="B25" s="164" t="s">
        <v>371</v>
      </c>
      <c r="C25" s="284">
        <v>1</v>
      </c>
      <c r="D25" s="452"/>
      <c r="E25" s="513"/>
      <c r="F25" s="383"/>
      <c r="G25" s="508"/>
      <c r="H25" s="383"/>
      <c r="I25" s="508"/>
      <c r="J25" s="383"/>
      <c r="K25" s="508"/>
      <c r="L25" s="383"/>
      <c r="M25" s="508"/>
      <c r="N25" s="573"/>
      <c r="O25" s="345">
        <f t="shared" si="0"/>
        <v>1</v>
      </c>
      <c r="P25" s="694">
        <f t="shared" si="1"/>
        <v>7</v>
      </c>
      <c r="Q25" s="169">
        <v>58</v>
      </c>
      <c r="R25" s="102" t="s">
        <v>881</v>
      </c>
      <c r="S25" s="227"/>
      <c r="T25" s="320">
        <v>2</v>
      </c>
      <c r="U25" s="320"/>
      <c r="V25" s="227">
        <v>44713</v>
      </c>
      <c r="W25" s="222">
        <v>1</v>
      </c>
      <c r="X25" s="223">
        <v>1</v>
      </c>
      <c r="Y25" s="223">
        <v>1</v>
      </c>
      <c r="Z25" s="223">
        <v>1</v>
      </c>
      <c r="AA25" s="224">
        <f t="shared" si="2"/>
        <v>4</v>
      </c>
      <c r="AB25" s="225">
        <f t="shared" si="3"/>
        <v>1</v>
      </c>
      <c r="AC25" s="225">
        <f t="shared" si="4"/>
        <v>4</v>
      </c>
      <c r="AD25" s="225">
        <f t="shared" si="5"/>
        <v>8</v>
      </c>
      <c r="AE25" s="97"/>
    </row>
    <row r="26" spans="1:31" ht="15.75" customHeight="1" x14ac:dyDescent="0.25">
      <c r="A26" s="16">
        <f t="shared" si="6"/>
        <v>25</v>
      </c>
      <c r="B26" s="164" t="s">
        <v>372</v>
      </c>
      <c r="C26" s="284">
        <v>1</v>
      </c>
      <c r="D26" s="452"/>
      <c r="E26" s="513"/>
      <c r="F26" s="383"/>
      <c r="G26" s="508"/>
      <c r="H26" s="383"/>
      <c r="I26" s="508"/>
      <c r="J26" s="383"/>
      <c r="K26" s="508">
        <v>1</v>
      </c>
      <c r="L26" s="383"/>
      <c r="M26" s="508"/>
      <c r="N26" s="573"/>
      <c r="O26" s="345">
        <f t="shared" si="0"/>
        <v>0</v>
      </c>
      <c r="P26" s="694">
        <f t="shared" si="1"/>
        <v>10</v>
      </c>
      <c r="Q26" s="169">
        <v>63</v>
      </c>
      <c r="R26" s="102" t="s">
        <v>881</v>
      </c>
      <c r="S26" s="227"/>
      <c r="T26" s="320">
        <v>4</v>
      </c>
      <c r="U26" s="320">
        <v>3</v>
      </c>
      <c r="V26" s="228">
        <v>45717</v>
      </c>
      <c r="W26" s="222">
        <v>1</v>
      </c>
      <c r="X26" s="223">
        <v>1</v>
      </c>
      <c r="Y26" s="223">
        <v>1</v>
      </c>
      <c r="Z26" s="223">
        <v>2</v>
      </c>
      <c r="AA26" s="224">
        <f t="shared" si="2"/>
        <v>5</v>
      </c>
      <c r="AB26" s="225">
        <f t="shared" si="3"/>
        <v>1.25</v>
      </c>
      <c r="AC26" s="225">
        <f t="shared" si="4"/>
        <v>5</v>
      </c>
      <c r="AD26" s="225">
        <f t="shared" si="5"/>
        <v>10</v>
      </c>
      <c r="AE26" s="97"/>
    </row>
    <row r="27" spans="1:31" ht="15.75" customHeight="1" x14ac:dyDescent="0.25">
      <c r="A27" s="16">
        <f t="shared" si="6"/>
        <v>26</v>
      </c>
      <c r="B27" s="164" t="s">
        <v>373</v>
      </c>
      <c r="C27" s="284">
        <v>1</v>
      </c>
      <c r="D27" s="452"/>
      <c r="E27" s="513"/>
      <c r="F27" s="383"/>
      <c r="G27" s="508"/>
      <c r="H27" s="383"/>
      <c r="I27" s="508"/>
      <c r="J27" s="383"/>
      <c r="K27" s="508"/>
      <c r="L27" s="383"/>
      <c r="M27" s="508"/>
      <c r="N27" s="573"/>
      <c r="O27" s="345">
        <f t="shared" si="0"/>
        <v>1</v>
      </c>
      <c r="P27" s="694">
        <f t="shared" si="1"/>
        <v>7</v>
      </c>
      <c r="Q27" s="169">
        <v>69</v>
      </c>
      <c r="R27" s="176" t="s">
        <v>881</v>
      </c>
      <c r="S27" s="228">
        <v>45992</v>
      </c>
      <c r="T27" s="320">
        <v>0</v>
      </c>
      <c r="U27" s="320"/>
      <c r="V27" s="228">
        <v>45505</v>
      </c>
      <c r="W27" s="222">
        <v>1</v>
      </c>
      <c r="X27" s="223">
        <v>1</v>
      </c>
      <c r="Y27" s="223">
        <v>1</v>
      </c>
      <c r="Z27" s="223">
        <v>1</v>
      </c>
      <c r="AA27" s="224">
        <f t="shared" si="2"/>
        <v>4</v>
      </c>
      <c r="AB27" s="225">
        <f t="shared" si="3"/>
        <v>1</v>
      </c>
      <c r="AC27" s="225">
        <f t="shared" si="4"/>
        <v>4</v>
      </c>
      <c r="AD27" s="225">
        <f t="shared" si="5"/>
        <v>8</v>
      </c>
      <c r="AE27" s="97"/>
    </row>
    <row r="28" spans="1:31" ht="15.75" customHeight="1" x14ac:dyDescent="0.25">
      <c r="A28" s="16">
        <f t="shared" si="6"/>
        <v>27</v>
      </c>
      <c r="B28" s="164" t="s">
        <v>1421</v>
      </c>
      <c r="C28" s="284">
        <v>1</v>
      </c>
      <c r="D28" s="455"/>
      <c r="E28" s="520"/>
      <c r="F28" s="382"/>
      <c r="G28" s="505"/>
      <c r="H28" s="382"/>
      <c r="I28" s="505"/>
      <c r="J28" s="382"/>
      <c r="K28" s="505"/>
      <c r="L28" s="382"/>
      <c r="M28" s="505"/>
      <c r="N28" s="582"/>
      <c r="O28" s="345">
        <f t="shared" si="0"/>
        <v>1</v>
      </c>
      <c r="P28" s="694">
        <f t="shared" si="1"/>
        <v>1</v>
      </c>
      <c r="Q28" s="169">
        <v>58</v>
      </c>
      <c r="R28" s="102" t="s">
        <v>360</v>
      </c>
      <c r="S28" s="227">
        <v>46082</v>
      </c>
      <c r="T28" s="230">
        <v>0</v>
      </c>
      <c r="U28" s="230"/>
      <c r="V28" s="227">
        <v>45689</v>
      </c>
      <c r="W28" s="223"/>
      <c r="X28" s="223"/>
      <c r="Y28" s="223"/>
      <c r="Z28" s="223">
        <v>1</v>
      </c>
      <c r="AA28" s="224">
        <f t="shared" si="2"/>
        <v>1</v>
      </c>
      <c r="AB28" s="225">
        <f t="shared" si="3"/>
        <v>0.25</v>
      </c>
      <c r="AC28" s="225">
        <f t="shared" si="4"/>
        <v>1</v>
      </c>
      <c r="AD28" s="225">
        <f t="shared" si="5"/>
        <v>2</v>
      </c>
      <c r="AE28" s="97"/>
    </row>
    <row r="29" spans="1:31" ht="15.75" customHeight="1" x14ac:dyDescent="0.25">
      <c r="A29" s="16">
        <f t="shared" si="6"/>
        <v>28</v>
      </c>
      <c r="B29" s="164" t="s">
        <v>374</v>
      </c>
      <c r="C29" s="284">
        <v>1</v>
      </c>
      <c r="D29" s="454"/>
      <c r="E29" s="519"/>
      <c r="F29" s="388"/>
      <c r="G29" s="507"/>
      <c r="H29" s="388"/>
      <c r="I29" s="507"/>
      <c r="J29" s="388"/>
      <c r="K29" s="507"/>
      <c r="L29" s="388"/>
      <c r="M29" s="507"/>
      <c r="N29" s="571"/>
      <c r="O29" s="345">
        <f t="shared" si="0"/>
        <v>1</v>
      </c>
      <c r="P29" s="694">
        <f t="shared" si="1"/>
        <v>7</v>
      </c>
      <c r="Q29" s="169">
        <v>58</v>
      </c>
      <c r="R29" s="102" t="s">
        <v>881</v>
      </c>
      <c r="S29" s="227"/>
      <c r="T29" s="230">
        <v>0</v>
      </c>
      <c r="U29" s="320"/>
      <c r="V29" s="227">
        <v>44470</v>
      </c>
      <c r="W29" s="223">
        <v>1</v>
      </c>
      <c r="X29" s="223">
        <v>1</v>
      </c>
      <c r="Y29" s="223">
        <v>1</v>
      </c>
      <c r="Z29" s="223">
        <v>1</v>
      </c>
      <c r="AA29" s="224">
        <f t="shared" si="2"/>
        <v>4</v>
      </c>
      <c r="AB29" s="225">
        <f t="shared" si="3"/>
        <v>1</v>
      </c>
      <c r="AC29" s="225">
        <f t="shared" si="4"/>
        <v>4</v>
      </c>
      <c r="AD29" s="225">
        <f t="shared" si="5"/>
        <v>8</v>
      </c>
      <c r="AE29" s="97"/>
    </row>
    <row r="30" spans="1:31" ht="15.75" customHeight="1" x14ac:dyDescent="0.25">
      <c r="A30" s="16">
        <f t="shared" si="6"/>
        <v>29</v>
      </c>
      <c r="B30" s="164" t="s">
        <v>1420</v>
      </c>
      <c r="C30" s="284">
        <v>1</v>
      </c>
      <c r="D30" s="452"/>
      <c r="E30" s="513"/>
      <c r="F30" s="383"/>
      <c r="G30" s="508"/>
      <c r="H30" s="383"/>
      <c r="I30" s="508"/>
      <c r="J30" s="383"/>
      <c r="K30" s="508"/>
      <c r="L30" s="383"/>
      <c r="M30" s="508"/>
      <c r="N30" s="573"/>
      <c r="O30" s="345">
        <f t="shared" si="0"/>
        <v>1</v>
      </c>
      <c r="P30" s="694">
        <f t="shared" si="1"/>
        <v>7</v>
      </c>
      <c r="Q30" s="169">
        <v>121</v>
      </c>
      <c r="R30" s="102" t="s">
        <v>360</v>
      </c>
      <c r="S30" s="228">
        <v>46692</v>
      </c>
      <c r="T30" s="320">
        <v>1</v>
      </c>
      <c r="U30" s="320"/>
      <c r="V30" s="228">
        <v>45689</v>
      </c>
      <c r="W30" s="222">
        <v>1</v>
      </c>
      <c r="X30" s="223">
        <v>1</v>
      </c>
      <c r="Y30" s="223">
        <v>1</v>
      </c>
      <c r="Z30" s="223">
        <v>1</v>
      </c>
      <c r="AA30" s="224">
        <f t="shared" si="2"/>
        <v>4</v>
      </c>
      <c r="AB30" s="225">
        <f t="shared" si="3"/>
        <v>1</v>
      </c>
      <c r="AC30" s="225">
        <f t="shared" si="4"/>
        <v>4</v>
      </c>
      <c r="AD30" s="225">
        <f t="shared" si="5"/>
        <v>8</v>
      </c>
    </row>
    <row r="31" spans="1:31" ht="15.75" customHeight="1" x14ac:dyDescent="0.25">
      <c r="A31" s="16">
        <f t="shared" si="6"/>
        <v>30</v>
      </c>
      <c r="B31" s="164" t="s">
        <v>615</v>
      </c>
      <c r="C31" s="284">
        <v>1</v>
      </c>
      <c r="D31" s="455"/>
      <c r="E31" s="520"/>
      <c r="F31" s="385"/>
      <c r="G31" s="509"/>
      <c r="H31" s="385"/>
      <c r="I31" s="509"/>
      <c r="J31" s="387"/>
      <c r="K31" s="511"/>
      <c r="L31" s="385"/>
      <c r="M31" s="509"/>
      <c r="N31" s="569"/>
      <c r="O31" s="345">
        <f t="shared" si="0"/>
        <v>1</v>
      </c>
      <c r="P31" s="694">
        <f t="shared" si="1"/>
        <v>5</v>
      </c>
      <c r="Q31" s="169">
        <v>137</v>
      </c>
      <c r="R31" s="102" t="s">
        <v>360</v>
      </c>
      <c r="S31" s="235"/>
      <c r="T31" s="240">
        <v>1</v>
      </c>
      <c r="U31" s="240"/>
      <c r="V31" s="235">
        <v>45352</v>
      </c>
      <c r="W31" s="234">
        <v>1</v>
      </c>
      <c r="X31" s="234">
        <v>1</v>
      </c>
      <c r="Y31" s="234"/>
      <c r="Z31" s="234">
        <v>1</v>
      </c>
      <c r="AA31" s="224">
        <f t="shared" si="2"/>
        <v>3</v>
      </c>
      <c r="AB31" s="225">
        <f t="shared" si="3"/>
        <v>0.75</v>
      </c>
      <c r="AC31" s="225">
        <f t="shared" si="4"/>
        <v>3</v>
      </c>
      <c r="AD31" s="225">
        <f t="shared" si="5"/>
        <v>6</v>
      </c>
    </row>
    <row r="32" spans="1:31" ht="15.75" customHeight="1" x14ac:dyDescent="0.25">
      <c r="A32" s="16">
        <f t="shared" si="6"/>
        <v>31</v>
      </c>
      <c r="B32" s="164" t="s">
        <v>550</v>
      </c>
      <c r="C32" s="284">
        <v>1</v>
      </c>
      <c r="D32" s="453"/>
      <c r="E32" s="517"/>
      <c r="F32" s="376"/>
      <c r="G32" s="483"/>
      <c r="H32" s="376"/>
      <c r="I32" s="483"/>
      <c r="J32" s="376"/>
      <c r="K32" s="483"/>
      <c r="L32" s="376"/>
      <c r="M32" s="483"/>
      <c r="N32" s="574"/>
      <c r="O32" s="345">
        <f t="shared" si="0"/>
        <v>1</v>
      </c>
      <c r="P32" s="694">
        <f t="shared" si="1"/>
        <v>9</v>
      </c>
      <c r="Q32" s="169">
        <v>45</v>
      </c>
      <c r="R32" s="28" t="s">
        <v>226</v>
      </c>
      <c r="S32" s="28"/>
      <c r="T32" s="316">
        <v>2</v>
      </c>
      <c r="U32" s="316"/>
      <c r="V32" s="118">
        <v>45658</v>
      </c>
      <c r="W32" s="28">
        <v>1</v>
      </c>
      <c r="X32" s="28">
        <v>1</v>
      </c>
      <c r="Y32" s="28">
        <v>1</v>
      </c>
      <c r="Z32" s="28">
        <v>2</v>
      </c>
      <c r="AA32" s="224">
        <f t="shared" si="2"/>
        <v>5</v>
      </c>
      <c r="AB32" s="225">
        <f t="shared" si="3"/>
        <v>1.25</v>
      </c>
      <c r="AC32" s="225">
        <f t="shared" si="4"/>
        <v>5</v>
      </c>
      <c r="AD32" s="225">
        <f t="shared" si="5"/>
        <v>10</v>
      </c>
    </row>
    <row r="33" spans="1:31" x14ac:dyDescent="0.25">
      <c r="A33" s="16">
        <f t="shared" si="6"/>
        <v>32</v>
      </c>
      <c r="B33" s="164" t="s">
        <v>543</v>
      </c>
      <c r="C33" s="284">
        <v>1</v>
      </c>
      <c r="D33" s="452"/>
      <c r="E33" s="514"/>
      <c r="F33" s="383"/>
      <c r="G33" s="508"/>
      <c r="H33" s="383"/>
      <c r="I33" s="508"/>
      <c r="J33" s="383"/>
      <c r="K33" s="508"/>
      <c r="L33" s="383"/>
      <c r="M33" s="508"/>
      <c r="N33" s="573"/>
      <c r="O33" s="345">
        <f t="shared" si="0"/>
        <v>1</v>
      </c>
      <c r="P33" s="694">
        <f t="shared" si="1"/>
        <v>3</v>
      </c>
      <c r="Q33" s="169">
        <v>41</v>
      </c>
      <c r="R33" s="102" t="s">
        <v>356</v>
      </c>
      <c r="S33" s="227"/>
      <c r="T33" s="320">
        <v>0</v>
      </c>
      <c r="U33" s="320"/>
      <c r="V33" s="227">
        <v>44958</v>
      </c>
      <c r="W33" s="223"/>
      <c r="X33" s="223">
        <v>1</v>
      </c>
      <c r="Y33" s="223"/>
      <c r="Z33" s="223">
        <v>1</v>
      </c>
      <c r="AA33" s="224">
        <f t="shared" si="2"/>
        <v>2</v>
      </c>
      <c r="AB33" s="225">
        <f t="shared" si="3"/>
        <v>0.5</v>
      </c>
      <c r="AC33" s="225">
        <f t="shared" si="4"/>
        <v>2</v>
      </c>
      <c r="AD33" s="225">
        <f t="shared" si="5"/>
        <v>4</v>
      </c>
    </row>
    <row r="34" spans="1:31" ht="15" customHeight="1" x14ac:dyDescent="0.25">
      <c r="A34" s="16">
        <f t="shared" si="6"/>
        <v>33</v>
      </c>
      <c r="B34" s="164" t="s">
        <v>465</v>
      </c>
      <c r="C34" s="284">
        <v>1</v>
      </c>
      <c r="D34" s="454"/>
      <c r="E34" s="519"/>
      <c r="F34" s="396"/>
      <c r="G34" s="516"/>
      <c r="H34" s="396"/>
      <c r="I34" s="516"/>
      <c r="J34" s="396"/>
      <c r="K34" s="516"/>
      <c r="L34" s="396"/>
      <c r="M34" s="516"/>
      <c r="N34" s="581"/>
      <c r="O34" s="345">
        <f t="shared" si="0"/>
        <v>1</v>
      </c>
      <c r="P34" s="694">
        <f t="shared" si="1"/>
        <v>7</v>
      </c>
      <c r="Q34" s="169">
        <v>45</v>
      </c>
      <c r="R34" s="102" t="s">
        <v>226</v>
      </c>
      <c r="S34" s="223"/>
      <c r="T34" s="230">
        <v>6</v>
      </c>
      <c r="U34" s="320"/>
      <c r="V34" s="227">
        <v>45658</v>
      </c>
      <c r="W34" s="223">
        <v>1</v>
      </c>
      <c r="X34" s="223">
        <v>1</v>
      </c>
      <c r="Y34" s="223">
        <v>1</v>
      </c>
      <c r="Z34" s="223">
        <v>1</v>
      </c>
      <c r="AA34" s="224">
        <f t="shared" ref="AA34:AA65" si="7">W34+X34+Y34+Z34</f>
        <v>4</v>
      </c>
      <c r="AB34" s="225">
        <f t="shared" ref="AB34:AB65" si="8">AA34/4</f>
        <v>1</v>
      </c>
      <c r="AC34" s="225">
        <f t="shared" ref="AC34:AC65" si="9">AB34*4</f>
        <v>4</v>
      </c>
      <c r="AD34" s="225">
        <f t="shared" ref="AD34:AD65" si="10">AC34*2</f>
        <v>8</v>
      </c>
    </row>
    <row r="35" spans="1:31" x14ac:dyDescent="0.25">
      <c r="A35" s="16">
        <f t="shared" si="6"/>
        <v>34</v>
      </c>
      <c r="B35" s="164" t="s">
        <v>486</v>
      </c>
      <c r="C35" s="284">
        <v>12</v>
      </c>
      <c r="D35" s="452"/>
      <c r="E35" s="514"/>
      <c r="F35" s="383"/>
      <c r="G35" s="508">
        <v>1</v>
      </c>
      <c r="H35" s="383"/>
      <c r="I35" s="508"/>
      <c r="J35" s="383">
        <v>1</v>
      </c>
      <c r="K35" s="508"/>
      <c r="L35" s="383"/>
      <c r="M35" s="508"/>
      <c r="N35" s="573"/>
      <c r="O35" s="345">
        <f t="shared" si="0"/>
        <v>10</v>
      </c>
      <c r="P35" s="102">
        <f t="shared" si="1"/>
        <v>-2</v>
      </c>
      <c r="Q35" s="169">
        <v>8</v>
      </c>
      <c r="R35" s="210" t="s">
        <v>226</v>
      </c>
      <c r="S35" s="223"/>
      <c r="T35" s="230">
        <v>10</v>
      </c>
      <c r="U35" s="320"/>
      <c r="V35" s="227">
        <v>45658</v>
      </c>
      <c r="W35" s="223">
        <v>1</v>
      </c>
      <c r="X35" s="223">
        <v>1</v>
      </c>
      <c r="Y35" s="223">
        <v>1</v>
      </c>
      <c r="Z35" s="223">
        <v>1</v>
      </c>
      <c r="AA35" s="224">
        <f t="shared" si="7"/>
        <v>4</v>
      </c>
      <c r="AB35" s="225">
        <f t="shared" si="8"/>
        <v>1</v>
      </c>
      <c r="AC35" s="225">
        <f t="shared" si="9"/>
        <v>4</v>
      </c>
      <c r="AD35" s="225">
        <f t="shared" si="10"/>
        <v>8</v>
      </c>
    </row>
    <row r="36" spans="1:31" x14ac:dyDescent="0.25">
      <c r="A36" s="16">
        <f t="shared" si="6"/>
        <v>35</v>
      </c>
      <c r="B36" s="314" t="s">
        <v>375</v>
      </c>
      <c r="C36" s="462">
        <v>1</v>
      </c>
      <c r="D36" s="452"/>
      <c r="E36" s="513"/>
      <c r="F36" s="383"/>
      <c r="G36" s="508"/>
      <c r="H36" s="383"/>
      <c r="I36" s="508"/>
      <c r="J36" s="383"/>
      <c r="K36" s="508"/>
      <c r="L36" s="383"/>
      <c r="M36" s="508"/>
      <c r="N36" s="573"/>
      <c r="O36" s="345">
        <f t="shared" si="0"/>
        <v>1</v>
      </c>
      <c r="P36" s="694">
        <f t="shared" si="1"/>
        <v>1</v>
      </c>
      <c r="Q36" s="169">
        <v>98</v>
      </c>
      <c r="R36" s="102" t="s">
        <v>226</v>
      </c>
      <c r="S36" s="227"/>
      <c r="T36" s="320">
        <v>3</v>
      </c>
      <c r="U36" s="320"/>
      <c r="V36" s="228">
        <v>45536</v>
      </c>
      <c r="W36" s="222">
        <v>1</v>
      </c>
      <c r="X36" s="223"/>
      <c r="Y36" s="223"/>
      <c r="Z36" s="223"/>
      <c r="AA36" s="224">
        <f t="shared" si="7"/>
        <v>1</v>
      </c>
      <c r="AB36" s="225">
        <f t="shared" si="8"/>
        <v>0.25</v>
      </c>
      <c r="AC36" s="225">
        <f t="shared" si="9"/>
        <v>1</v>
      </c>
      <c r="AD36" s="225">
        <f t="shared" si="10"/>
        <v>2</v>
      </c>
    </row>
    <row r="37" spans="1:31" ht="15.75" customHeight="1" x14ac:dyDescent="0.25">
      <c r="A37" s="16">
        <f t="shared" si="6"/>
        <v>36</v>
      </c>
      <c r="B37" s="164" t="s">
        <v>375</v>
      </c>
      <c r="C37" s="284">
        <v>1</v>
      </c>
      <c r="D37" s="452"/>
      <c r="E37" s="513"/>
      <c r="F37" s="383"/>
      <c r="G37" s="508"/>
      <c r="H37" s="383"/>
      <c r="I37" s="508"/>
      <c r="J37" s="383"/>
      <c r="K37" s="508"/>
      <c r="L37" s="383"/>
      <c r="M37" s="508"/>
      <c r="N37" s="573"/>
      <c r="O37" s="345">
        <f t="shared" si="0"/>
        <v>1</v>
      </c>
      <c r="P37" s="694">
        <f t="shared" si="1"/>
        <v>7</v>
      </c>
      <c r="Q37" s="169">
        <v>88</v>
      </c>
      <c r="R37" s="176" t="s">
        <v>226</v>
      </c>
      <c r="S37" s="227"/>
      <c r="T37" s="320">
        <v>4</v>
      </c>
      <c r="U37" s="320"/>
      <c r="V37" s="228">
        <v>45505</v>
      </c>
      <c r="W37" s="222">
        <v>1</v>
      </c>
      <c r="X37" s="223">
        <v>1</v>
      </c>
      <c r="Y37" s="223">
        <v>1</v>
      </c>
      <c r="Z37" s="223">
        <v>1</v>
      </c>
      <c r="AA37" s="224">
        <f t="shared" si="7"/>
        <v>4</v>
      </c>
      <c r="AB37" s="225">
        <f t="shared" si="8"/>
        <v>1</v>
      </c>
      <c r="AC37" s="225">
        <f t="shared" si="9"/>
        <v>4</v>
      </c>
      <c r="AD37" s="225">
        <f t="shared" si="10"/>
        <v>8</v>
      </c>
    </row>
    <row r="38" spans="1:31" ht="15.75" customHeight="1" x14ac:dyDescent="0.25">
      <c r="A38" s="16">
        <f t="shared" si="6"/>
        <v>37</v>
      </c>
      <c r="B38" s="164" t="s">
        <v>376</v>
      </c>
      <c r="C38" s="284">
        <v>2</v>
      </c>
      <c r="D38" s="454"/>
      <c r="E38" s="518"/>
      <c r="F38" s="388"/>
      <c r="G38" s="507"/>
      <c r="H38" s="388"/>
      <c r="I38" s="507"/>
      <c r="J38" s="388"/>
      <c r="K38" s="507"/>
      <c r="L38" s="388"/>
      <c r="M38" s="507"/>
      <c r="N38" s="571"/>
      <c r="O38" s="345">
        <f t="shared" si="0"/>
        <v>2</v>
      </c>
      <c r="P38" s="694">
        <f t="shared" si="1"/>
        <v>6</v>
      </c>
      <c r="Q38" s="169">
        <v>65</v>
      </c>
      <c r="R38" s="236" t="s">
        <v>226</v>
      </c>
      <c r="S38" s="228"/>
      <c r="T38" s="320">
        <v>3</v>
      </c>
      <c r="U38" s="320"/>
      <c r="V38" s="228">
        <v>45627</v>
      </c>
      <c r="W38" s="222">
        <v>1</v>
      </c>
      <c r="X38" s="223">
        <v>1</v>
      </c>
      <c r="Y38" s="223">
        <v>1</v>
      </c>
      <c r="Z38" s="223">
        <v>1</v>
      </c>
      <c r="AA38" s="224">
        <f t="shared" si="7"/>
        <v>4</v>
      </c>
      <c r="AB38" s="225">
        <f t="shared" si="8"/>
        <v>1</v>
      </c>
      <c r="AC38" s="225">
        <f t="shared" si="9"/>
        <v>4</v>
      </c>
      <c r="AD38" s="225">
        <f t="shared" si="10"/>
        <v>8</v>
      </c>
      <c r="AE38" s="97"/>
    </row>
    <row r="39" spans="1:31" ht="15.75" customHeight="1" x14ac:dyDescent="0.25">
      <c r="A39" s="16">
        <f t="shared" si="6"/>
        <v>38</v>
      </c>
      <c r="B39" s="164" t="s">
        <v>377</v>
      </c>
      <c r="C39" s="284">
        <v>3</v>
      </c>
      <c r="D39" s="452"/>
      <c r="E39" s="514"/>
      <c r="F39" s="383"/>
      <c r="G39" s="508"/>
      <c r="H39" s="383"/>
      <c r="I39" s="508"/>
      <c r="J39" s="388"/>
      <c r="K39" s="507"/>
      <c r="L39" s="383"/>
      <c r="M39" s="508"/>
      <c r="N39" s="573"/>
      <c r="O39" s="345">
        <f t="shared" si="0"/>
        <v>3</v>
      </c>
      <c r="P39" s="694">
        <f t="shared" si="1"/>
        <v>5</v>
      </c>
      <c r="Q39" s="169">
        <v>35</v>
      </c>
      <c r="R39" s="102" t="s">
        <v>364</v>
      </c>
      <c r="S39" s="227"/>
      <c r="T39" s="320">
        <v>8</v>
      </c>
      <c r="U39" s="320"/>
      <c r="V39" s="227">
        <v>45078</v>
      </c>
      <c r="W39" s="223">
        <v>1</v>
      </c>
      <c r="X39" s="223">
        <v>1</v>
      </c>
      <c r="Y39" s="223">
        <v>1</v>
      </c>
      <c r="Z39" s="223">
        <v>1</v>
      </c>
      <c r="AA39" s="224">
        <f t="shared" si="7"/>
        <v>4</v>
      </c>
      <c r="AB39" s="225">
        <f t="shared" si="8"/>
        <v>1</v>
      </c>
      <c r="AC39" s="225">
        <f t="shared" si="9"/>
        <v>4</v>
      </c>
      <c r="AD39" s="225">
        <f t="shared" si="10"/>
        <v>8</v>
      </c>
    </row>
    <row r="40" spans="1:31" ht="15.75" customHeight="1" x14ac:dyDescent="0.25">
      <c r="A40" s="16">
        <f t="shared" si="6"/>
        <v>39</v>
      </c>
      <c r="B40" s="164" t="s">
        <v>378</v>
      </c>
      <c r="C40" s="284">
        <v>3</v>
      </c>
      <c r="D40" s="452"/>
      <c r="E40" s="514"/>
      <c r="F40" s="383"/>
      <c r="G40" s="508"/>
      <c r="H40" s="383"/>
      <c r="I40" s="508"/>
      <c r="J40" s="383"/>
      <c r="K40" s="508"/>
      <c r="L40" s="383"/>
      <c r="M40" s="508"/>
      <c r="N40" s="573"/>
      <c r="O40" s="345">
        <f t="shared" si="0"/>
        <v>3</v>
      </c>
      <c r="P40" s="694">
        <f t="shared" si="1"/>
        <v>5</v>
      </c>
      <c r="Q40" s="169">
        <v>30</v>
      </c>
      <c r="R40" s="210" t="s">
        <v>364</v>
      </c>
      <c r="S40" s="227"/>
      <c r="T40" s="320">
        <v>4</v>
      </c>
      <c r="U40" s="320"/>
      <c r="V40" s="227">
        <v>44927</v>
      </c>
      <c r="W40" s="223">
        <v>1</v>
      </c>
      <c r="X40" s="223">
        <v>1</v>
      </c>
      <c r="Y40" s="223">
        <v>1</v>
      </c>
      <c r="Z40" s="223">
        <v>1</v>
      </c>
      <c r="AA40" s="224">
        <f t="shared" si="7"/>
        <v>4</v>
      </c>
      <c r="AB40" s="225">
        <f t="shared" si="8"/>
        <v>1</v>
      </c>
      <c r="AC40" s="225">
        <f t="shared" si="9"/>
        <v>4</v>
      </c>
      <c r="AD40" s="225">
        <f t="shared" si="10"/>
        <v>8</v>
      </c>
    </row>
    <row r="41" spans="1:31" ht="15.75" customHeight="1" x14ac:dyDescent="0.25">
      <c r="A41" s="16">
        <f t="shared" si="6"/>
        <v>40</v>
      </c>
      <c r="B41" s="164" t="s">
        <v>379</v>
      </c>
      <c r="C41" s="345">
        <v>3</v>
      </c>
      <c r="D41" s="452"/>
      <c r="E41" s="513"/>
      <c r="F41" s="383"/>
      <c r="G41" s="508"/>
      <c r="H41" s="383"/>
      <c r="I41" s="508"/>
      <c r="J41" s="383"/>
      <c r="K41" s="508"/>
      <c r="L41" s="383"/>
      <c r="M41" s="508"/>
      <c r="N41" s="573"/>
      <c r="O41" s="345">
        <f t="shared" si="0"/>
        <v>3</v>
      </c>
      <c r="P41" s="694">
        <f t="shared" si="1"/>
        <v>5</v>
      </c>
      <c r="Q41" s="169">
        <v>33</v>
      </c>
      <c r="R41" s="210" t="s">
        <v>226</v>
      </c>
      <c r="S41" s="227">
        <v>46419</v>
      </c>
      <c r="T41" s="320">
        <v>5</v>
      </c>
      <c r="U41" s="320"/>
      <c r="V41" s="228">
        <v>45383</v>
      </c>
      <c r="W41" s="222">
        <v>1</v>
      </c>
      <c r="X41" s="223">
        <v>1</v>
      </c>
      <c r="Y41" s="223">
        <v>1</v>
      </c>
      <c r="Z41" s="223">
        <v>1</v>
      </c>
      <c r="AA41" s="224">
        <f t="shared" si="7"/>
        <v>4</v>
      </c>
      <c r="AB41" s="225">
        <f t="shared" si="8"/>
        <v>1</v>
      </c>
      <c r="AC41" s="225">
        <f t="shared" si="9"/>
        <v>4</v>
      </c>
      <c r="AD41" s="225">
        <f t="shared" si="10"/>
        <v>8</v>
      </c>
    </row>
    <row r="42" spans="1:31" ht="15.75" customHeight="1" x14ac:dyDescent="0.25">
      <c r="A42" s="16">
        <f t="shared" si="6"/>
        <v>41</v>
      </c>
      <c r="B42" s="164" t="s">
        <v>974</v>
      </c>
      <c r="C42" s="345">
        <v>1</v>
      </c>
      <c r="D42" s="454"/>
      <c r="E42" s="519"/>
      <c r="F42" s="388"/>
      <c r="G42" s="507"/>
      <c r="H42" s="388"/>
      <c r="I42" s="507"/>
      <c r="J42" s="383"/>
      <c r="K42" s="508"/>
      <c r="L42" s="388"/>
      <c r="M42" s="507"/>
      <c r="N42" s="571"/>
      <c r="O42" s="345">
        <f t="shared" si="0"/>
        <v>1</v>
      </c>
      <c r="P42" s="694">
        <f t="shared" si="1"/>
        <v>7</v>
      </c>
      <c r="Q42" s="169">
        <v>33</v>
      </c>
      <c r="R42" s="210" t="s">
        <v>226</v>
      </c>
      <c r="S42" s="227">
        <v>46508</v>
      </c>
      <c r="T42" s="320">
        <v>4</v>
      </c>
      <c r="U42" s="320"/>
      <c r="V42" s="227">
        <v>45566</v>
      </c>
      <c r="W42" s="223">
        <v>1</v>
      </c>
      <c r="X42" s="223">
        <v>1</v>
      </c>
      <c r="Y42" s="223">
        <v>1</v>
      </c>
      <c r="Z42" s="223">
        <v>1</v>
      </c>
      <c r="AA42" s="224">
        <f t="shared" si="7"/>
        <v>4</v>
      </c>
      <c r="AB42" s="225">
        <f t="shared" si="8"/>
        <v>1</v>
      </c>
      <c r="AC42" s="225">
        <f t="shared" si="9"/>
        <v>4</v>
      </c>
      <c r="AD42" s="225">
        <f t="shared" si="10"/>
        <v>8</v>
      </c>
    </row>
    <row r="43" spans="1:31" ht="15.75" customHeight="1" x14ac:dyDescent="0.25">
      <c r="A43" s="16">
        <f t="shared" si="6"/>
        <v>42</v>
      </c>
      <c r="B43" s="164" t="s">
        <v>975</v>
      </c>
      <c r="C43" s="345">
        <v>1</v>
      </c>
      <c r="D43" s="376"/>
      <c r="E43" s="483"/>
      <c r="F43" s="376"/>
      <c r="G43" s="483"/>
      <c r="H43" s="376"/>
      <c r="I43" s="483"/>
      <c r="J43" s="376"/>
      <c r="K43" s="483"/>
      <c r="L43" s="376"/>
      <c r="M43" s="483"/>
      <c r="N43" s="574"/>
      <c r="O43" s="345">
        <f t="shared" si="0"/>
        <v>1</v>
      </c>
      <c r="P43" s="694">
        <f t="shared" si="1"/>
        <v>5</v>
      </c>
      <c r="Q43" s="169">
        <v>33</v>
      </c>
      <c r="R43" s="14" t="s">
        <v>226</v>
      </c>
      <c r="S43" s="14"/>
      <c r="T43" s="14">
        <v>3</v>
      </c>
      <c r="U43" s="14"/>
      <c r="V43" s="81">
        <v>45627</v>
      </c>
      <c r="W43" s="223">
        <v>1</v>
      </c>
      <c r="X43" s="223">
        <v>2</v>
      </c>
      <c r="Y43" s="223"/>
      <c r="Z43" s="223"/>
      <c r="AA43" s="224">
        <f t="shared" si="7"/>
        <v>3</v>
      </c>
      <c r="AB43" s="225">
        <f t="shared" si="8"/>
        <v>0.75</v>
      </c>
      <c r="AC43" s="225">
        <f t="shared" si="9"/>
        <v>3</v>
      </c>
      <c r="AD43" s="225">
        <f t="shared" si="10"/>
        <v>6</v>
      </c>
    </row>
    <row r="44" spans="1:31" ht="15.75" customHeight="1" x14ac:dyDescent="0.25">
      <c r="A44" s="16">
        <f t="shared" si="6"/>
        <v>43</v>
      </c>
      <c r="B44" s="666" t="s">
        <v>976</v>
      </c>
      <c r="C44" s="667">
        <v>1</v>
      </c>
      <c r="D44" s="452"/>
      <c r="E44" s="514"/>
      <c r="F44" s="383"/>
      <c r="G44" s="508"/>
      <c r="H44" s="383"/>
      <c r="I44" s="508"/>
      <c r="J44" s="388"/>
      <c r="K44" s="507"/>
      <c r="L44" s="383"/>
      <c r="M44" s="508"/>
      <c r="N44" s="573"/>
      <c r="O44" s="345">
        <f t="shared" si="0"/>
        <v>1</v>
      </c>
      <c r="P44" s="694">
        <f t="shared" si="1"/>
        <v>7</v>
      </c>
      <c r="Q44" s="169">
        <v>33</v>
      </c>
      <c r="R44" s="102" t="s">
        <v>226</v>
      </c>
      <c r="S44" s="668">
        <v>45839</v>
      </c>
      <c r="T44" s="320">
        <v>0</v>
      </c>
      <c r="U44" s="320"/>
      <c r="V44" s="227">
        <v>45505</v>
      </c>
      <c r="W44" s="223">
        <v>1</v>
      </c>
      <c r="X44" s="223">
        <v>1</v>
      </c>
      <c r="Y44" s="223">
        <v>1</v>
      </c>
      <c r="Z44" s="223">
        <v>1</v>
      </c>
      <c r="AA44" s="224">
        <f t="shared" si="7"/>
        <v>4</v>
      </c>
      <c r="AB44" s="225">
        <f t="shared" si="8"/>
        <v>1</v>
      </c>
      <c r="AC44" s="225">
        <f t="shared" si="9"/>
        <v>4</v>
      </c>
      <c r="AD44" s="225">
        <f t="shared" si="10"/>
        <v>8</v>
      </c>
      <c r="AE44" s="97"/>
    </row>
    <row r="45" spans="1:31" ht="15.75" customHeight="1" x14ac:dyDescent="0.25">
      <c r="A45" s="16">
        <f t="shared" si="6"/>
        <v>44</v>
      </c>
      <c r="B45" s="666" t="s">
        <v>1218</v>
      </c>
      <c r="C45" s="667">
        <v>1</v>
      </c>
      <c r="D45" s="452"/>
      <c r="E45" s="513"/>
      <c r="F45" s="383"/>
      <c r="G45" s="508"/>
      <c r="H45" s="383"/>
      <c r="I45" s="508"/>
      <c r="J45" s="383"/>
      <c r="K45" s="508"/>
      <c r="L45" s="383"/>
      <c r="M45" s="508"/>
      <c r="N45" s="573"/>
      <c r="O45" s="345">
        <f t="shared" si="0"/>
        <v>1</v>
      </c>
      <c r="P45" s="694">
        <f t="shared" si="1"/>
        <v>7</v>
      </c>
      <c r="Q45" s="169">
        <v>16</v>
      </c>
      <c r="R45" s="210" t="s">
        <v>226</v>
      </c>
      <c r="S45" s="668">
        <v>45839</v>
      </c>
      <c r="T45" s="320">
        <v>3</v>
      </c>
      <c r="U45" s="320"/>
      <c r="V45" s="228">
        <v>45383</v>
      </c>
      <c r="W45" s="222">
        <v>1</v>
      </c>
      <c r="X45" s="223">
        <v>1</v>
      </c>
      <c r="Y45" s="223">
        <v>1</v>
      </c>
      <c r="Z45" s="223">
        <v>1</v>
      </c>
      <c r="AA45" s="224">
        <f t="shared" si="7"/>
        <v>4</v>
      </c>
      <c r="AB45" s="225">
        <f t="shared" si="8"/>
        <v>1</v>
      </c>
      <c r="AC45" s="225">
        <f t="shared" si="9"/>
        <v>4</v>
      </c>
      <c r="AD45" s="225">
        <f t="shared" si="10"/>
        <v>8</v>
      </c>
    </row>
    <row r="46" spans="1:31" ht="15.75" customHeight="1" x14ac:dyDescent="0.25">
      <c r="A46" s="16">
        <f t="shared" si="6"/>
        <v>45</v>
      </c>
      <c r="B46" s="666" t="s">
        <v>1219</v>
      </c>
      <c r="C46" s="667">
        <v>1</v>
      </c>
      <c r="D46" s="452"/>
      <c r="E46" s="514"/>
      <c r="F46" s="383"/>
      <c r="G46" s="508"/>
      <c r="H46" s="383"/>
      <c r="I46" s="508"/>
      <c r="J46" s="383"/>
      <c r="K46" s="508"/>
      <c r="L46" s="383"/>
      <c r="M46" s="508"/>
      <c r="N46" s="573"/>
      <c r="O46" s="345">
        <f t="shared" si="0"/>
        <v>1</v>
      </c>
      <c r="P46" s="694">
        <f t="shared" si="1"/>
        <v>9</v>
      </c>
      <c r="Q46" s="169">
        <v>16</v>
      </c>
      <c r="R46" s="176" t="s">
        <v>226</v>
      </c>
      <c r="S46" s="668">
        <v>45839</v>
      </c>
      <c r="T46" s="320">
        <v>3</v>
      </c>
      <c r="U46" s="320"/>
      <c r="V46" s="227">
        <v>45383</v>
      </c>
      <c r="W46" s="223">
        <v>1</v>
      </c>
      <c r="X46" s="223">
        <v>1</v>
      </c>
      <c r="Y46" s="223">
        <v>2</v>
      </c>
      <c r="Z46" s="223">
        <v>1</v>
      </c>
      <c r="AA46" s="224">
        <f t="shared" si="7"/>
        <v>5</v>
      </c>
      <c r="AB46" s="225">
        <f t="shared" si="8"/>
        <v>1.25</v>
      </c>
      <c r="AC46" s="225">
        <f t="shared" si="9"/>
        <v>5</v>
      </c>
      <c r="AD46" s="225">
        <f t="shared" si="10"/>
        <v>10</v>
      </c>
    </row>
    <row r="47" spans="1:31" ht="15.75" customHeight="1" x14ac:dyDescent="0.25">
      <c r="A47" s="16">
        <f t="shared" si="6"/>
        <v>46</v>
      </c>
      <c r="B47" s="666" t="s">
        <v>1217</v>
      </c>
      <c r="C47" s="667">
        <v>1</v>
      </c>
      <c r="D47" s="454"/>
      <c r="E47" s="518"/>
      <c r="F47" s="396"/>
      <c r="G47" s="516"/>
      <c r="H47" s="396"/>
      <c r="I47" s="516"/>
      <c r="J47" s="396"/>
      <c r="K47" s="516"/>
      <c r="L47" s="396"/>
      <c r="M47" s="516"/>
      <c r="N47" s="581"/>
      <c r="O47" s="345">
        <f t="shared" si="0"/>
        <v>1</v>
      </c>
      <c r="P47" s="694">
        <f t="shared" si="1"/>
        <v>3</v>
      </c>
      <c r="Q47" s="169">
        <v>16</v>
      </c>
      <c r="R47" s="176" t="s">
        <v>226</v>
      </c>
      <c r="S47" s="668">
        <v>45839</v>
      </c>
      <c r="T47" s="320">
        <v>2</v>
      </c>
      <c r="U47" s="320"/>
      <c r="V47" s="228">
        <v>45383</v>
      </c>
      <c r="W47" s="222">
        <v>1</v>
      </c>
      <c r="X47" s="222">
        <v>1</v>
      </c>
      <c r="Y47" s="222"/>
      <c r="Z47" s="223"/>
      <c r="AA47" s="224">
        <f t="shared" si="7"/>
        <v>2</v>
      </c>
      <c r="AB47" s="225">
        <f t="shared" si="8"/>
        <v>0.5</v>
      </c>
      <c r="AC47" s="225">
        <f t="shared" si="9"/>
        <v>2</v>
      </c>
      <c r="AD47" s="225">
        <f t="shared" si="10"/>
        <v>4</v>
      </c>
    </row>
    <row r="48" spans="1:31" ht="15.75" customHeight="1" x14ac:dyDescent="0.25">
      <c r="A48" s="16">
        <f t="shared" si="6"/>
        <v>47</v>
      </c>
      <c r="B48" s="164" t="s">
        <v>889</v>
      </c>
      <c r="C48" s="284">
        <v>4</v>
      </c>
      <c r="D48" s="452"/>
      <c r="E48" s="513">
        <v>1</v>
      </c>
      <c r="F48" s="383"/>
      <c r="G48" s="508"/>
      <c r="H48" s="383"/>
      <c r="I48" s="508"/>
      <c r="J48" s="383"/>
      <c r="K48" s="508"/>
      <c r="L48" s="383"/>
      <c r="M48" s="508"/>
      <c r="N48" s="573"/>
      <c r="O48" s="345">
        <f t="shared" si="0"/>
        <v>3</v>
      </c>
      <c r="P48" s="694">
        <f t="shared" si="1"/>
        <v>7</v>
      </c>
      <c r="Q48" s="169">
        <v>38</v>
      </c>
      <c r="R48" s="176" t="s">
        <v>364</v>
      </c>
      <c r="S48" s="227"/>
      <c r="T48" s="320">
        <v>7</v>
      </c>
      <c r="U48" s="320"/>
      <c r="V48" s="228">
        <v>45627</v>
      </c>
      <c r="W48" s="222">
        <v>2</v>
      </c>
      <c r="X48" s="223">
        <v>1</v>
      </c>
      <c r="Y48" s="223">
        <v>1</v>
      </c>
      <c r="Z48" s="223">
        <v>1</v>
      </c>
      <c r="AA48" s="224">
        <f t="shared" si="7"/>
        <v>5</v>
      </c>
      <c r="AB48" s="225">
        <f t="shared" si="8"/>
        <v>1.25</v>
      </c>
      <c r="AC48" s="225">
        <f t="shared" si="9"/>
        <v>5</v>
      </c>
      <c r="AD48" s="225">
        <f t="shared" si="10"/>
        <v>10</v>
      </c>
    </row>
    <row r="49" spans="1:31" ht="15.75" customHeight="1" x14ac:dyDescent="0.25">
      <c r="A49" s="16">
        <f t="shared" si="6"/>
        <v>48</v>
      </c>
      <c r="B49" s="666" t="s">
        <v>380</v>
      </c>
      <c r="C49" s="667">
        <v>2</v>
      </c>
      <c r="D49" s="454"/>
      <c r="E49" s="519"/>
      <c r="F49" s="388"/>
      <c r="G49" s="507"/>
      <c r="H49" s="388"/>
      <c r="I49" s="507"/>
      <c r="J49" s="383"/>
      <c r="K49" s="508"/>
      <c r="L49" s="388"/>
      <c r="M49" s="507"/>
      <c r="N49" s="571"/>
      <c r="O49" s="345">
        <v>2</v>
      </c>
      <c r="P49" s="694">
        <f t="shared" si="1"/>
        <v>8</v>
      </c>
      <c r="Q49" s="169">
        <v>32</v>
      </c>
      <c r="R49" s="176" t="s">
        <v>364</v>
      </c>
      <c r="S49" s="668">
        <v>45870</v>
      </c>
      <c r="T49" s="320">
        <v>1</v>
      </c>
      <c r="U49" s="320"/>
      <c r="V49" s="227">
        <v>45323</v>
      </c>
      <c r="W49" s="223">
        <v>1</v>
      </c>
      <c r="X49" s="223">
        <v>1</v>
      </c>
      <c r="Y49" s="223">
        <v>2</v>
      </c>
      <c r="Z49" s="223">
        <v>1</v>
      </c>
      <c r="AA49" s="224">
        <f t="shared" si="7"/>
        <v>5</v>
      </c>
      <c r="AB49" s="225">
        <f t="shared" si="8"/>
        <v>1.25</v>
      </c>
      <c r="AC49" s="225">
        <f t="shared" si="9"/>
        <v>5</v>
      </c>
      <c r="AD49" s="225">
        <f t="shared" si="10"/>
        <v>10</v>
      </c>
    </row>
    <row r="50" spans="1:31" x14ac:dyDescent="0.25">
      <c r="A50" s="16">
        <f t="shared" si="6"/>
        <v>49</v>
      </c>
      <c r="B50" s="164" t="s">
        <v>241</v>
      </c>
      <c r="C50" s="284">
        <v>3</v>
      </c>
      <c r="D50" s="455"/>
      <c r="E50" s="520"/>
      <c r="F50" s="385"/>
      <c r="G50" s="509"/>
      <c r="H50" s="385"/>
      <c r="I50" s="509"/>
      <c r="J50" s="385"/>
      <c r="K50" s="509"/>
      <c r="L50" s="385">
        <v>1</v>
      </c>
      <c r="M50" s="509"/>
      <c r="N50" s="569"/>
      <c r="O50" s="345">
        <f t="shared" ref="O50:O81" si="11">SUM(C50-D50-E50-F50-G50-H50-I50-J50-K50-L50-M50-N50)</f>
        <v>2</v>
      </c>
      <c r="P50" s="694">
        <f t="shared" si="1"/>
        <v>6</v>
      </c>
      <c r="Q50" s="169">
        <v>5</v>
      </c>
      <c r="R50" s="241" t="s">
        <v>364</v>
      </c>
      <c r="S50" s="234"/>
      <c r="T50" s="240">
        <v>12</v>
      </c>
      <c r="U50" s="240"/>
      <c r="V50" s="235">
        <v>44927</v>
      </c>
      <c r="W50" s="234">
        <v>1</v>
      </c>
      <c r="X50" s="234">
        <v>1</v>
      </c>
      <c r="Y50" s="234">
        <v>1</v>
      </c>
      <c r="Z50" s="234">
        <v>1</v>
      </c>
      <c r="AA50" s="224">
        <f t="shared" si="7"/>
        <v>4</v>
      </c>
      <c r="AB50" s="225">
        <f t="shared" si="8"/>
        <v>1</v>
      </c>
      <c r="AC50" s="225">
        <f t="shared" si="9"/>
        <v>4</v>
      </c>
      <c r="AD50" s="225">
        <f t="shared" si="10"/>
        <v>8</v>
      </c>
    </row>
    <row r="51" spans="1:31" ht="15.75" customHeight="1" x14ac:dyDescent="0.25">
      <c r="A51" s="16">
        <f t="shared" si="6"/>
        <v>50</v>
      </c>
      <c r="B51" s="164" t="s">
        <v>469</v>
      </c>
      <c r="C51" s="284">
        <v>3</v>
      </c>
      <c r="D51" s="452"/>
      <c r="E51" s="514"/>
      <c r="F51" s="383"/>
      <c r="G51" s="508"/>
      <c r="H51" s="383"/>
      <c r="I51" s="508"/>
      <c r="J51" s="383"/>
      <c r="K51" s="508"/>
      <c r="L51" s="383"/>
      <c r="M51" s="508"/>
      <c r="N51" s="573"/>
      <c r="O51" s="345">
        <f t="shared" si="11"/>
        <v>3</v>
      </c>
      <c r="P51" s="694">
        <f t="shared" si="1"/>
        <v>11</v>
      </c>
      <c r="Q51" s="169">
        <v>5</v>
      </c>
      <c r="R51" s="237" t="s">
        <v>364</v>
      </c>
      <c r="S51" s="227"/>
      <c r="T51" s="320">
        <v>13</v>
      </c>
      <c r="U51" s="320"/>
      <c r="V51" s="227">
        <v>44927</v>
      </c>
      <c r="W51" s="223">
        <v>1</v>
      </c>
      <c r="X51" s="223">
        <v>3</v>
      </c>
      <c r="Y51" s="223">
        <v>2</v>
      </c>
      <c r="Z51" s="223">
        <v>1</v>
      </c>
      <c r="AA51" s="224">
        <f t="shared" si="7"/>
        <v>7</v>
      </c>
      <c r="AB51" s="225">
        <f t="shared" si="8"/>
        <v>1.75</v>
      </c>
      <c r="AC51" s="225">
        <f t="shared" si="9"/>
        <v>7</v>
      </c>
      <c r="AD51" s="225">
        <f t="shared" si="10"/>
        <v>14</v>
      </c>
    </row>
    <row r="52" spans="1:31" ht="15.75" customHeight="1" x14ac:dyDescent="0.25">
      <c r="A52" s="16">
        <f t="shared" si="6"/>
        <v>51</v>
      </c>
      <c r="B52" s="164" t="s">
        <v>858</v>
      </c>
      <c r="C52" s="601">
        <v>1</v>
      </c>
      <c r="D52" s="455"/>
      <c r="E52" s="520">
        <v>1</v>
      </c>
      <c r="F52" s="385"/>
      <c r="G52" s="509"/>
      <c r="H52" s="385"/>
      <c r="I52" s="509"/>
      <c r="J52" s="385"/>
      <c r="K52" s="509"/>
      <c r="L52" s="385"/>
      <c r="M52" s="509"/>
      <c r="N52" s="569"/>
      <c r="O52" s="345">
        <f t="shared" si="11"/>
        <v>0</v>
      </c>
      <c r="P52" s="694">
        <f t="shared" si="1"/>
        <v>20</v>
      </c>
      <c r="Q52" s="169">
        <v>1.5</v>
      </c>
      <c r="R52" s="241" t="s">
        <v>852</v>
      </c>
      <c r="S52" s="600">
        <v>45748</v>
      </c>
      <c r="T52" s="231">
        <v>0</v>
      </c>
      <c r="U52" s="231"/>
      <c r="V52" s="235">
        <v>45536</v>
      </c>
      <c r="W52" s="234">
        <v>3</v>
      </c>
      <c r="X52" s="234">
        <v>1</v>
      </c>
      <c r="Y52" s="234">
        <v>2</v>
      </c>
      <c r="Z52" s="234">
        <v>4</v>
      </c>
      <c r="AA52" s="224">
        <f t="shared" si="7"/>
        <v>10</v>
      </c>
      <c r="AB52" s="225">
        <f t="shared" si="8"/>
        <v>2.5</v>
      </c>
      <c r="AC52" s="225">
        <f t="shared" si="9"/>
        <v>10</v>
      </c>
      <c r="AD52" s="225">
        <f t="shared" si="10"/>
        <v>20</v>
      </c>
      <c r="AE52" s="97"/>
    </row>
    <row r="53" spans="1:31" ht="15.75" customHeight="1" x14ac:dyDescent="0.25">
      <c r="A53" s="16">
        <f t="shared" si="6"/>
        <v>52</v>
      </c>
      <c r="B53" s="315" t="s">
        <v>820</v>
      </c>
      <c r="C53" s="28">
        <v>3</v>
      </c>
      <c r="D53" s="453"/>
      <c r="E53" s="517"/>
      <c r="F53" s="376"/>
      <c r="G53" s="483"/>
      <c r="H53" s="376"/>
      <c r="I53" s="483"/>
      <c r="J53" s="376"/>
      <c r="K53" s="483"/>
      <c r="L53" s="376"/>
      <c r="M53" s="483"/>
      <c r="N53" s="574"/>
      <c r="O53" s="345">
        <f t="shared" si="11"/>
        <v>3</v>
      </c>
      <c r="P53" s="694">
        <f t="shared" si="1"/>
        <v>9</v>
      </c>
      <c r="Q53" s="169">
        <v>5</v>
      </c>
      <c r="R53" s="348" t="s">
        <v>852</v>
      </c>
      <c r="S53" s="14"/>
      <c r="T53" s="14">
        <v>2</v>
      </c>
      <c r="U53" s="14"/>
      <c r="V53" s="81">
        <v>45413</v>
      </c>
      <c r="W53" s="14">
        <v>1</v>
      </c>
      <c r="X53" s="14">
        <v>1</v>
      </c>
      <c r="Y53" s="28">
        <v>2</v>
      </c>
      <c r="Z53" s="28">
        <v>2</v>
      </c>
      <c r="AA53" s="224">
        <f t="shared" si="7"/>
        <v>6</v>
      </c>
      <c r="AB53" s="225">
        <f t="shared" si="8"/>
        <v>1.5</v>
      </c>
      <c r="AC53" s="225">
        <f t="shared" si="9"/>
        <v>6</v>
      </c>
      <c r="AD53" s="225">
        <f t="shared" si="10"/>
        <v>12</v>
      </c>
      <c r="AE53" s="97"/>
    </row>
    <row r="54" spans="1:31" ht="15.75" customHeight="1" x14ac:dyDescent="0.25">
      <c r="A54" s="16">
        <f t="shared" si="6"/>
        <v>53</v>
      </c>
      <c r="B54" s="315" t="s">
        <v>816</v>
      </c>
      <c r="C54" s="28">
        <v>4</v>
      </c>
      <c r="D54" s="453"/>
      <c r="E54" s="517"/>
      <c r="F54" s="376"/>
      <c r="G54" s="483"/>
      <c r="H54" s="376"/>
      <c r="I54" s="483"/>
      <c r="J54" s="376"/>
      <c r="K54" s="483"/>
      <c r="L54" s="376">
        <v>3</v>
      </c>
      <c r="M54" s="483"/>
      <c r="N54" s="574"/>
      <c r="O54" s="345">
        <f t="shared" si="11"/>
        <v>1</v>
      </c>
      <c r="P54" s="694">
        <f t="shared" si="1"/>
        <v>13</v>
      </c>
      <c r="Q54" s="169">
        <v>5</v>
      </c>
      <c r="R54" s="348" t="s">
        <v>852</v>
      </c>
      <c r="S54" s="14"/>
      <c r="T54" s="14">
        <v>9</v>
      </c>
      <c r="U54" s="14"/>
      <c r="V54" s="81">
        <v>45658</v>
      </c>
      <c r="W54" s="14">
        <v>4</v>
      </c>
      <c r="X54" s="14">
        <v>1</v>
      </c>
      <c r="Y54" s="28">
        <v>1</v>
      </c>
      <c r="Z54" s="28">
        <v>1</v>
      </c>
      <c r="AA54" s="224">
        <f t="shared" si="7"/>
        <v>7</v>
      </c>
      <c r="AB54" s="225">
        <f t="shared" si="8"/>
        <v>1.75</v>
      </c>
      <c r="AC54" s="225">
        <f t="shared" si="9"/>
        <v>7</v>
      </c>
      <c r="AD54" s="225">
        <f t="shared" si="10"/>
        <v>14</v>
      </c>
      <c r="AE54" s="97"/>
    </row>
    <row r="55" spans="1:31" ht="15.75" customHeight="1" x14ac:dyDescent="0.25">
      <c r="A55" s="16">
        <f t="shared" si="6"/>
        <v>54</v>
      </c>
      <c r="B55" s="315" t="s">
        <v>815</v>
      </c>
      <c r="C55" s="28">
        <v>3</v>
      </c>
      <c r="D55" s="453"/>
      <c r="E55" s="517"/>
      <c r="F55" s="376"/>
      <c r="G55" s="483"/>
      <c r="H55" s="376"/>
      <c r="I55" s="483">
        <v>1</v>
      </c>
      <c r="J55" s="376"/>
      <c r="K55" s="483"/>
      <c r="L55" s="376"/>
      <c r="M55" s="483">
        <v>1</v>
      </c>
      <c r="N55" s="574"/>
      <c r="O55" s="345">
        <f t="shared" si="11"/>
        <v>1</v>
      </c>
      <c r="P55" s="694">
        <f t="shared" si="1"/>
        <v>7</v>
      </c>
      <c r="Q55" s="169">
        <v>5</v>
      </c>
      <c r="R55" s="348" t="s">
        <v>852</v>
      </c>
      <c r="S55" s="14"/>
      <c r="T55" s="14">
        <v>2</v>
      </c>
      <c r="U55" s="14"/>
      <c r="V55" s="81">
        <v>45474</v>
      </c>
      <c r="W55" s="14">
        <v>1</v>
      </c>
      <c r="X55" s="14">
        <v>1</v>
      </c>
      <c r="Y55" s="28">
        <v>1</v>
      </c>
      <c r="Z55" s="28">
        <v>1</v>
      </c>
      <c r="AA55" s="224">
        <f t="shared" si="7"/>
        <v>4</v>
      </c>
      <c r="AB55" s="225">
        <f t="shared" si="8"/>
        <v>1</v>
      </c>
      <c r="AC55" s="225">
        <f t="shared" si="9"/>
        <v>4</v>
      </c>
      <c r="AD55" s="225">
        <f t="shared" si="10"/>
        <v>8</v>
      </c>
      <c r="AE55" s="97"/>
    </row>
    <row r="56" spans="1:31" x14ac:dyDescent="0.25">
      <c r="A56" s="16">
        <f t="shared" si="6"/>
        <v>55</v>
      </c>
      <c r="B56" s="315" t="s">
        <v>814</v>
      </c>
      <c r="C56" s="28">
        <v>3</v>
      </c>
      <c r="D56" s="453"/>
      <c r="E56" s="517"/>
      <c r="F56" s="376"/>
      <c r="G56" s="483"/>
      <c r="H56" s="376"/>
      <c r="I56" s="483"/>
      <c r="J56" s="376"/>
      <c r="K56" s="483"/>
      <c r="L56" s="376"/>
      <c r="M56" s="483"/>
      <c r="N56" s="574"/>
      <c r="O56" s="345">
        <f t="shared" si="11"/>
        <v>3</v>
      </c>
      <c r="P56" s="694">
        <f t="shared" si="1"/>
        <v>7</v>
      </c>
      <c r="Q56" s="169">
        <v>5</v>
      </c>
      <c r="R56" s="348" t="s">
        <v>852</v>
      </c>
      <c r="S56" s="14"/>
      <c r="T56" s="14">
        <v>10</v>
      </c>
      <c r="U56" s="14"/>
      <c r="V56" s="81">
        <v>45474</v>
      </c>
      <c r="W56" s="14">
        <v>1</v>
      </c>
      <c r="X56" s="14">
        <v>1</v>
      </c>
      <c r="Y56" s="28">
        <v>1</v>
      </c>
      <c r="Z56" s="28">
        <v>2</v>
      </c>
      <c r="AA56" s="224">
        <f t="shared" si="7"/>
        <v>5</v>
      </c>
      <c r="AB56" s="225">
        <f t="shared" si="8"/>
        <v>1.25</v>
      </c>
      <c r="AC56" s="225">
        <f t="shared" si="9"/>
        <v>5</v>
      </c>
      <c r="AD56" s="225">
        <f t="shared" si="10"/>
        <v>10</v>
      </c>
      <c r="AE56" s="97"/>
    </row>
    <row r="57" spans="1:31" ht="15.75" customHeight="1" x14ac:dyDescent="0.25">
      <c r="A57" s="16">
        <f t="shared" si="6"/>
        <v>56</v>
      </c>
      <c r="B57" s="315" t="s">
        <v>818</v>
      </c>
      <c r="C57" s="28">
        <v>4</v>
      </c>
      <c r="D57" s="453"/>
      <c r="E57" s="517"/>
      <c r="F57" s="376"/>
      <c r="G57" s="483"/>
      <c r="H57" s="376"/>
      <c r="I57" s="483"/>
      <c r="J57" s="376"/>
      <c r="K57" s="483"/>
      <c r="L57" s="376"/>
      <c r="M57" s="483"/>
      <c r="N57" s="574"/>
      <c r="O57" s="345">
        <f t="shared" si="11"/>
        <v>4</v>
      </c>
      <c r="P57" s="694">
        <f t="shared" si="1"/>
        <v>6</v>
      </c>
      <c r="Q57" s="169">
        <v>5</v>
      </c>
      <c r="R57" s="14" t="s">
        <v>852</v>
      </c>
      <c r="S57" s="14"/>
      <c r="T57" s="14">
        <v>2</v>
      </c>
      <c r="U57" s="14"/>
      <c r="V57" s="81">
        <v>45352</v>
      </c>
      <c r="W57" s="14">
        <v>1</v>
      </c>
      <c r="X57" s="14">
        <v>2</v>
      </c>
      <c r="Y57" s="28">
        <v>1</v>
      </c>
      <c r="Z57" s="28">
        <v>1</v>
      </c>
      <c r="AA57" s="224">
        <f t="shared" si="7"/>
        <v>5</v>
      </c>
      <c r="AB57" s="225">
        <f t="shared" si="8"/>
        <v>1.25</v>
      </c>
      <c r="AC57" s="225">
        <f t="shared" si="9"/>
        <v>5</v>
      </c>
      <c r="AD57" s="225">
        <f t="shared" si="10"/>
        <v>10</v>
      </c>
    </row>
    <row r="58" spans="1:31" ht="15.75" customHeight="1" x14ac:dyDescent="0.25">
      <c r="A58" s="16">
        <f t="shared" si="6"/>
        <v>57</v>
      </c>
      <c r="B58" s="315" t="s">
        <v>819</v>
      </c>
      <c r="C58" s="28">
        <v>3</v>
      </c>
      <c r="D58" s="453"/>
      <c r="E58" s="517"/>
      <c r="F58" s="376"/>
      <c r="G58" s="483"/>
      <c r="H58" s="376"/>
      <c r="I58" s="483"/>
      <c r="J58" s="376"/>
      <c r="K58" s="483"/>
      <c r="L58" s="376"/>
      <c r="M58" s="483"/>
      <c r="N58" s="574"/>
      <c r="O58" s="345">
        <f t="shared" si="11"/>
        <v>3</v>
      </c>
      <c r="P58" s="694">
        <f t="shared" si="1"/>
        <v>7</v>
      </c>
      <c r="Q58" s="169">
        <v>5</v>
      </c>
      <c r="R58" s="14" t="s">
        <v>852</v>
      </c>
      <c r="S58" s="14"/>
      <c r="T58" s="14">
        <v>6</v>
      </c>
      <c r="U58" s="14"/>
      <c r="V58" s="81">
        <v>45352</v>
      </c>
      <c r="W58" s="14">
        <v>1</v>
      </c>
      <c r="X58" s="14">
        <v>2</v>
      </c>
      <c r="Y58" s="28">
        <v>1</v>
      </c>
      <c r="Z58" s="28">
        <v>1</v>
      </c>
      <c r="AA58" s="224">
        <f t="shared" si="7"/>
        <v>5</v>
      </c>
      <c r="AB58" s="225">
        <f t="shared" si="8"/>
        <v>1.25</v>
      </c>
      <c r="AC58" s="225">
        <f t="shared" si="9"/>
        <v>5</v>
      </c>
      <c r="AD58" s="225">
        <f t="shared" si="10"/>
        <v>10</v>
      </c>
    </row>
    <row r="59" spans="1:31" ht="15.75" customHeight="1" x14ac:dyDescent="0.25">
      <c r="A59" s="16">
        <f t="shared" si="6"/>
        <v>58</v>
      </c>
      <c r="B59" s="315" t="s">
        <v>817</v>
      </c>
      <c r="C59" s="28">
        <v>4</v>
      </c>
      <c r="D59" s="453"/>
      <c r="E59" s="517"/>
      <c r="F59" s="376"/>
      <c r="G59" s="483"/>
      <c r="H59" s="376"/>
      <c r="I59" s="483"/>
      <c r="J59" s="376"/>
      <c r="K59" s="483"/>
      <c r="L59" s="376"/>
      <c r="M59" s="483"/>
      <c r="N59" s="574"/>
      <c r="O59" s="345">
        <f t="shared" si="11"/>
        <v>4</v>
      </c>
      <c r="P59" s="694">
        <f t="shared" si="1"/>
        <v>4</v>
      </c>
      <c r="Q59" s="169">
        <v>5</v>
      </c>
      <c r="R59" s="348" t="s">
        <v>852</v>
      </c>
      <c r="S59" s="14"/>
      <c r="T59" s="14">
        <v>7</v>
      </c>
      <c r="U59" s="14"/>
      <c r="V59" s="81">
        <v>44986</v>
      </c>
      <c r="W59" s="14">
        <v>1</v>
      </c>
      <c r="X59" s="14">
        <v>1</v>
      </c>
      <c r="Y59" s="28">
        <v>1</v>
      </c>
      <c r="Z59" s="28">
        <v>1</v>
      </c>
      <c r="AA59" s="224">
        <f t="shared" si="7"/>
        <v>4</v>
      </c>
      <c r="AB59" s="225">
        <f t="shared" si="8"/>
        <v>1</v>
      </c>
      <c r="AC59" s="225">
        <f t="shared" si="9"/>
        <v>4</v>
      </c>
      <c r="AD59" s="225">
        <f t="shared" si="10"/>
        <v>8</v>
      </c>
    </row>
    <row r="60" spans="1:31" ht="15.75" customHeight="1" x14ac:dyDescent="0.25">
      <c r="A60" s="16">
        <f t="shared" si="6"/>
        <v>59</v>
      </c>
      <c r="B60" s="315" t="s">
        <v>813</v>
      </c>
      <c r="C60" s="28">
        <v>3</v>
      </c>
      <c r="D60" s="453"/>
      <c r="E60" s="517"/>
      <c r="F60" s="376"/>
      <c r="G60" s="483">
        <v>1</v>
      </c>
      <c r="H60" s="376"/>
      <c r="I60" s="483"/>
      <c r="J60" s="376"/>
      <c r="K60" s="483"/>
      <c r="L60" s="376"/>
      <c r="M60" s="483"/>
      <c r="N60" s="574"/>
      <c r="O60" s="345">
        <f t="shared" si="11"/>
        <v>2</v>
      </c>
      <c r="P60" s="694">
        <f t="shared" si="1"/>
        <v>8</v>
      </c>
      <c r="Q60" s="169">
        <v>5</v>
      </c>
      <c r="R60" s="348" t="s">
        <v>852</v>
      </c>
      <c r="S60" s="14"/>
      <c r="T60" s="14">
        <v>5</v>
      </c>
      <c r="U60" s="14"/>
      <c r="V60" s="81">
        <v>44986</v>
      </c>
      <c r="W60" s="14">
        <v>1</v>
      </c>
      <c r="X60" s="14">
        <v>2</v>
      </c>
      <c r="Y60" s="28">
        <v>1</v>
      </c>
      <c r="Z60" s="28">
        <v>1</v>
      </c>
      <c r="AA60" s="224">
        <f t="shared" si="7"/>
        <v>5</v>
      </c>
      <c r="AB60" s="225">
        <f t="shared" si="8"/>
        <v>1.25</v>
      </c>
      <c r="AC60" s="225">
        <f t="shared" si="9"/>
        <v>5</v>
      </c>
      <c r="AD60" s="225">
        <f t="shared" si="10"/>
        <v>10</v>
      </c>
    </row>
    <row r="61" spans="1:31" ht="15.75" customHeight="1" x14ac:dyDescent="0.25">
      <c r="A61" s="16">
        <f t="shared" si="6"/>
        <v>60</v>
      </c>
      <c r="B61" s="315" t="s">
        <v>850</v>
      </c>
      <c r="C61" s="28">
        <v>4</v>
      </c>
      <c r="D61" s="453"/>
      <c r="E61" s="517"/>
      <c r="F61" s="376"/>
      <c r="G61" s="483"/>
      <c r="H61" s="376"/>
      <c r="I61" s="483"/>
      <c r="J61" s="376"/>
      <c r="K61" s="483"/>
      <c r="L61" s="376"/>
      <c r="M61" s="483"/>
      <c r="N61" s="574"/>
      <c r="O61" s="345">
        <f t="shared" si="11"/>
        <v>4</v>
      </c>
      <c r="P61" s="694">
        <f t="shared" si="1"/>
        <v>4</v>
      </c>
      <c r="Q61" s="169">
        <v>5</v>
      </c>
      <c r="R61" s="348" t="s">
        <v>852</v>
      </c>
      <c r="S61" s="14"/>
      <c r="T61" s="14">
        <v>3</v>
      </c>
      <c r="U61" s="14"/>
      <c r="V61" s="81">
        <v>45474</v>
      </c>
      <c r="W61" s="14">
        <v>1</v>
      </c>
      <c r="X61" s="14">
        <v>1</v>
      </c>
      <c r="Y61" s="28">
        <v>1</v>
      </c>
      <c r="Z61" s="28">
        <v>1</v>
      </c>
      <c r="AA61" s="224">
        <f t="shared" si="7"/>
        <v>4</v>
      </c>
      <c r="AB61" s="225">
        <f t="shared" si="8"/>
        <v>1</v>
      </c>
      <c r="AC61" s="225">
        <f t="shared" si="9"/>
        <v>4</v>
      </c>
      <c r="AD61" s="225">
        <f t="shared" si="10"/>
        <v>8</v>
      </c>
      <c r="AE61" s="97"/>
    </row>
    <row r="62" spans="1:31" ht="15.75" customHeight="1" x14ac:dyDescent="0.25">
      <c r="A62" s="16">
        <f t="shared" si="6"/>
        <v>61</v>
      </c>
      <c r="B62" s="315" t="s">
        <v>860</v>
      </c>
      <c r="C62" s="28">
        <v>4</v>
      </c>
      <c r="D62" s="453"/>
      <c r="E62" s="517"/>
      <c r="F62" s="376"/>
      <c r="G62" s="483"/>
      <c r="H62" s="376"/>
      <c r="I62" s="483"/>
      <c r="J62" s="376"/>
      <c r="K62" s="483"/>
      <c r="L62" s="376"/>
      <c r="M62" s="483"/>
      <c r="N62" s="574"/>
      <c r="O62" s="345">
        <f t="shared" si="11"/>
        <v>4</v>
      </c>
      <c r="P62" s="694">
        <f t="shared" si="1"/>
        <v>6</v>
      </c>
      <c r="Q62" s="169">
        <v>5</v>
      </c>
      <c r="R62" s="14" t="s">
        <v>852</v>
      </c>
      <c r="S62" s="14"/>
      <c r="T62" s="14">
        <v>12</v>
      </c>
      <c r="U62" s="14"/>
      <c r="V62" s="81">
        <v>45474</v>
      </c>
      <c r="W62" s="14">
        <v>1</v>
      </c>
      <c r="X62" s="14"/>
      <c r="Y62" s="28">
        <v>3</v>
      </c>
      <c r="Z62" s="28">
        <v>1</v>
      </c>
      <c r="AA62" s="224">
        <f t="shared" si="7"/>
        <v>5</v>
      </c>
      <c r="AB62" s="225">
        <f t="shared" si="8"/>
        <v>1.25</v>
      </c>
      <c r="AC62" s="225">
        <f t="shared" si="9"/>
        <v>5</v>
      </c>
      <c r="AD62" s="225">
        <f t="shared" si="10"/>
        <v>10</v>
      </c>
    </row>
    <row r="63" spans="1:31" ht="15.75" customHeight="1" x14ac:dyDescent="0.25">
      <c r="A63" s="16">
        <f t="shared" si="6"/>
        <v>62</v>
      </c>
      <c r="B63" s="164" t="s">
        <v>515</v>
      </c>
      <c r="C63" s="284">
        <v>2</v>
      </c>
      <c r="D63" s="456"/>
      <c r="E63" s="521"/>
      <c r="F63" s="391"/>
      <c r="G63" s="523"/>
      <c r="H63" s="391"/>
      <c r="I63" s="523"/>
      <c r="J63" s="391"/>
      <c r="K63" s="523"/>
      <c r="L63" s="391"/>
      <c r="M63" s="523"/>
      <c r="N63" s="581"/>
      <c r="O63" s="345">
        <f t="shared" si="11"/>
        <v>2</v>
      </c>
      <c r="P63" s="694">
        <f t="shared" si="1"/>
        <v>6</v>
      </c>
      <c r="Q63" s="169">
        <v>14</v>
      </c>
      <c r="R63" s="176" t="s">
        <v>445</v>
      </c>
      <c r="S63" s="220"/>
      <c r="T63" s="275">
        <v>5</v>
      </c>
      <c r="U63" s="275"/>
      <c r="V63" s="221">
        <v>44927</v>
      </c>
      <c r="W63" s="248">
        <v>1</v>
      </c>
      <c r="X63" s="248">
        <v>1</v>
      </c>
      <c r="Y63" s="248">
        <v>1</v>
      </c>
      <c r="Z63" s="432">
        <v>1</v>
      </c>
      <c r="AA63" s="224">
        <f t="shared" si="7"/>
        <v>4</v>
      </c>
      <c r="AB63" s="225">
        <f t="shared" si="8"/>
        <v>1</v>
      </c>
      <c r="AC63" s="225">
        <f t="shared" si="9"/>
        <v>4</v>
      </c>
      <c r="AD63" s="225">
        <f t="shared" si="10"/>
        <v>8</v>
      </c>
    </row>
    <row r="64" spans="1:31" ht="15.75" customHeight="1" x14ac:dyDescent="0.25">
      <c r="A64" s="16">
        <f t="shared" si="6"/>
        <v>63</v>
      </c>
      <c r="B64" s="164" t="s">
        <v>709</v>
      </c>
      <c r="C64" s="284">
        <v>4</v>
      </c>
      <c r="D64" s="453"/>
      <c r="E64" s="517"/>
      <c r="F64" s="376"/>
      <c r="G64" s="483"/>
      <c r="H64" s="376"/>
      <c r="I64" s="483"/>
      <c r="J64" s="376"/>
      <c r="K64" s="483"/>
      <c r="L64" s="376"/>
      <c r="M64" s="483"/>
      <c r="N64" s="574"/>
      <c r="O64" s="345">
        <f t="shared" si="11"/>
        <v>4</v>
      </c>
      <c r="P64" s="694">
        <f t="shared" si="1"/>
        <v>4</v>
      </c>
      <c r="Q64" s="169">
        <v>5</v>
      </c>
      <c r="R64" s="28" t="s">
        <v>852</v>
      </c>
      <c r="S64" s="118"/>
      <c r="T64" s="316">
        <v>0</v>
      </c>
      <c r="U64" s="316"/>
      <c r="V64" s="118">
        <v>45231</v>
      </c>
      <c r="W64" s="28">
        <v>1</v>
      </c>
      <c r="X64" s="28">
        <v>1</v>
      </c>
      <c r="Y64" s="28">
        <v>1</v>
      </c>
      <c r="Z64" s="28">
        <v>1</v>
      </c>
      <c r="AA64" s="224">
        <f t="shared" si="7"/>
        <v>4</v>
      </c>
      <c r="AB64" s="225">
        <f t="shared" si="8"/>
        <v>1</v>
      </c>
      <c r="AC64" s="225">
        <f t="shared" si="9"/>
        <v>4</v>
      </c>
      <c r="AD64" s="225">
        <f t="shared" si="10"/>
        <v>8</v>
      </c>
    </row>
    <row r="65" spans="1:31" ht="15.75" customHeight="1" x14ac:dyDescent="0.25">
      <c r="A65" s="16">
        <f t="shared" si="6"/>
        <v>64</v>
      </c>
      <c r="B65" s="666" t="s">
        <v>522</v>
      </c>
      <c r="C65" s="667">
        <v>9</v>
      </c>
      <c r="D65" s="454"/>
      <c r="E65" s="518"/>
      <c r="F65" s="396"/>
      <c r="G65" s="516"/>
      <c r="H65" s="396"/>
      <c r="I65" s="516"/>
      <c r="J65" s="396"/>
      <c r="K65" s="516"/>
      <c r="L65" s="396"/>
      <c r="M65" s="516"/>
      <c r="N65" s="581"/>
      <c r="O65" s="345">
        <f t="shared" si="11"/>
        <v>9</v>
      </c>
      <c r="P65" s="102">
        <f t="shared" si="1"/>
        <v>-1</v>
      </c>
      <c r="Q65" s="169">
        <v>4</v>
      </c>
      <c r="R65" s="536" t="s">
        <v>852</v>
      </c>
      <c r="S65" s="668">
        <v>45809</v>
      </c>
      <c r="T65" s="320">
        <v>25</v>
      </c>
      <c r="U65" s="320"/>
      <c r="V65" s="228">
        <v>45231</v>
      </c>
      <c r="W65" s="222">
        <v>1</v>
      </c>
      <c r="X65" s="222">
        <v>1</v>
      </c>
      <c r="Y65" s="222">
        <v>1</v>
      </c>
      <c r="Z65" s="223">
        <v>1</v>
      </c>
      <c r="AA65" s="224">
        <f t="shared" si="7"/>
        <v>4</v>
      </c>
      <c r="AB65" s="225">
        <f t="shared" si="8"/>
        <v>1</v>
      </c>
      <c r="AC65" s="225">
        <f t="shared" si="9"/>
        <v>4</v>
      </c>
      <c r="AD65" s="225">
        <f t="shared" si="10"/>
        <v>8</v>
      </c>
    </row>
    <row r="66" spans="1:31" ht="15.75" customHeight="1" x14ac:dyDescent="0.25">
      <c r="A66" s="16">
        <f t="shared" si="6"/>
        <v>65</v>
      </c>
      <c r="B66" s="315" t="s">
        <v>549</v>
      </c>
      <c r="C66" s="284">
        <v>1</v>
      </c>
      <c r="D66" s="453"/>
      <c r="E66" s="517"/>
      <c r="F66" s="376"/>
      <c r="G66" s="483"/>
      <c r="H66" s="376"/>
      <c r="I66" s="483"/>
      <c r="J66" s="376"/>
      <c r="K66" s="483"/>
      <c r="L66" s="376">
        <v>1</v>
      </c>
      <c r="M66" s="483"/>
      <c r="N66" s="574"/>
      <c r="O66" s="345">
        <f t="shared" si="11"/>
        <v>0</v>
      </c>
      <c r="P66" s="694">
        <f t="shared" ref="P66:P120" si="12">AD66-O66</f>
        <v>8</v>
      </c>
      <c r="Q66" s="169">
        <v>25</v>
      </c>
      <c r="R66" s="28" t="s">
        <v>364</v>
      </c>
      <c r="S66" s="28"/>
      <c r="T66" s="316">
        <v>6</v>
      </c>
      <c r="U66" s="316"/>
      <c r="V66" s="118">
        <v>45413</v>
      </c>
      <c r="W66" s="28">
        <v>1</v>
      </c>
      <c r="X66" s="28">
        <v>1</v>
      </c>
      <c r="Y66" s="28">
        <v>1</v>
      </c>
      <c r="Z66" s="28">
        <v>1</v>
      </c>
      <c r="AA66" s="224">
        <f t="shared" ref="AA66:AA97" si="13">W66+X66+Y66+Z66</f>
        <v>4</v>
      </c>
      <c r="AB66" s="225">
        <f t="shared" ref="AB66:AB97" si="14">AA66/4</f>
        <v>1</v>
      </c>
      <c r="AC66" s="225">
        <f t="shared" ref="AC66:AC97" si="15">AB66*4</f>
        <v>4</v>
      </c>
      <c r="AD66" s="225">
        <f t="shared" ref="AD66:AD97" si="16">AC66*2</f>
        <v>8</v>
      </c>
    </row>
    <row r="67" spans="1:31" ht="15.75" customHeight="1" x14ac:dyDescent="0.25">
      <c r="A67" s="16">
        <f t="shared" si="6"/>
        <v>66</v>
      </c>
      <c r="B67" s="164" t="s">
        <v>1460</v>
      </c>
      <c r="C67" s="284">
        <v>8</v>
      </c>
      <c r="D67" s="452"/>
      <c r="E67" s="513"/>
      <c r="F67" s="383"/>
      <c r="G67" s="508"/>
      <c r="H67" s="383"/>
      <c r="I67" s="508"/>
      <c r="J67" s="383"/>
      <c r="K67" s="508"/>
      <c r="L67" s="383"/>
      <c r="M67" s="508"/>
      <c r="N67" s="573"/>
      <c r="O67" s="345">
        <f t="shared" si="11"/>
        <v>8</v>
      </c>
      <c r="P67" s="694">
        <f t="shared" si="12"/>
        <v>2</v>
      </c>
      <c r="Q67" s="169">
        <v>5</v>
      </c>
      <c r="R67" s="102" t="s">
        <v>226</v>
      </c>
      <c r="S67" s="227"/>
      <c r="T67" s="320">
        <v>20</v>
      </c>
      <c r="U67" s="320">
        <v>20</v>
      </c>
      <c r="V67" s="228">
        <v>45717</v>
      </c>
      <c r="W67" s="222">
        <v>1</v>
      </c>
      <c r="X67" s="223">
        <v>1</v>
      </c>
      <c r="Y67" s="223">
        <v>2</v>
      </c>
      <c r="Z67" s="223">
        <v>1</v>
      </c>
      <c r="AA67" s="224">
        <f t="shared" si="13"/>
        <v>5</v>
      </c>
      <c r="AB67" s="225">
        <f t="shared" si="14"/>
        <v>1.25</v>
      </c>
      <c r="AC67" s="225">
        <f t="shared" si="15"/>
        <v>5</v>
      </c>
      <c r="AD67" s="225">
        <f t="shared" si="16"/>
        <v>10</v>
      </c>
    </row>
    <row r="68" spans="1:31" ht="15.75" customHeight="1" x14ac:dyDescent="0.25">
      <c r="A68" s="16">
        <f t="shared" ref="A68:A111" si="17">A67+1</f>
        <v>67</v>
      </c>
      <c r="B68" s="164" t="s">
        <v>381</v>
      </c>
      <c r="C68" s="284">
        <v>2</v>
      </c>
      <c r="D68" s="452"/>
      <c r="E68" s="513"/>
      <c r="F68" s="383"/>
      <c r="G68" s="508"/>
      <c r="H68" s="383"/>
      <c r="I68" s="508"/>
      <c r="J68" s="383"/>
      <c r="K68" s="508"/>
      <c r="L68" s="383"/>
      <c r="M68" s="508"/>
      <c r="N68" s="573"/>
      <c r="O68" s="345">
        <f t="shared" si="11"/>
        <v>2</v>
      </c>
      <c r="P68" s="694">
        <f t="shared" si="12"/>
        <v>6</v>
      </c>
      <c r="Q68" s="169">
        <v>15</v>
      </c>
      <c r="R68" s="176" t="s">
        <v>226</v>
      </c>
      <c r="S68" s="282"/>
      <c r="T68" s="320">
        <v>12</v>
      </c>
      <c r="U68" s="644">
        <v>12</v>
      </c>
      <c r="V68" s="228">
        <v>45717</v>
      </c>
      <c r="W68" s="222">
        <v>1</v>
      </c>
      <c r="X68" s="223">
        <v>1</v>
      </c>
      <c r="Y68" s="223">
        <v>1</v>
      </c>
      <c r="Z68" s="223">
        <v>1</v>
      </c>
      <c r="AA68" s="224">
        <f t="shared" si="13"/>
        <v>4</v>
      </c>
      <c r="AB68" s="225">
        <f t="shared" si="14"/>
        <v>1</v>
      </c>
      <c r="AC68" s="225">
        <f t="shared" si="15"/>
        <v>4</v>
      </c>
      <c r="AD68" s="225">
        <f t="shared" si="16"/>
        <v>8</v>
      </c>
    </row>
    <row r="69" spans="1:31" ht="15.75" customHeight="1" x14ac:dyDescent="0.25">
      <c r="A69" s="16">
        <f t="shared" si="17"/>
        <v>68</v>
      </c>
      <c r="B69" s="164" t="s">
        <v>506</v>
      </c>
      <c r="C69" s="284">
        <v>2</v>
      </c>
      <c r="D69" s="452"/>
      <c r="E69" s="514"/>
      <c r="F69" s="383"/>
      <c r="G69" s="508"/>
      <c r="H69" s="383"/>
      <c r="I69" s="508"/>
      <c r="J69" s="383"/>
      <c r="K69" s="508"/>
      <c r="L69" s="383"/>
      <c r="M69" s="508"/>
      <c r="N69" s="573"/>
      <c r="O69" s="345">
        <f t="shared" si="11"/>
        <v>2</v>
      </c>
      <c r="P69" s="694">
        <f t="shared" si="12"/>
        <v>6</v>
      </c>
      <c r="Q69" s="169">
        <v>25</v>
      </c>
      <c r="R69" s="223" t="s">
        <v>226</v>
      </c>
      <c r="S69" s="639">
        <v>46174</v>
      </c>
      <c r="T69" s="275">
        <v>3</v>
      </c>
      <c r="U69" s="643"/>
      <c r="V69" s="221">
        <v>45536</v>
      </c>
      <c r="W69" s="222">
        <v>1</v>
      </c>
      <c r="X69" s="222">
        <v>1</v>
      </c>
      <c r="Y69" s="222">
        <v>1</v>
      </c>
      <c r="Z69" s="223">
        <v>1</v>
      </c>
      <c r="AA69" s="224">
        <f t="shared" si="13"/>
        <v>4</v>
      </c>
      <c r="AB69" s="225">
        <f t="shared" si="14"/>
        <v>1</v>
      </c>
      <c r="AC69" s="225">
        <f t="shared" si="15"/>
        <v>4</v>
      </c>
      <c r="AD69" s="225">
        <f t="shared" si="16"/>
        <v>8</v>
      </c>
    </row>
    <row r="70" spans="1:31" ht="15.75" customHeight="1" x14ac:dyDescent="0.25">
      <c r="A70" s="16">
        <f t="shared" si="17"/>
        <v>69</v>
      </c>
      <c r="B70" s="314" t="s">
        <v>430</v>
      </c>
      <c r="C70" s="8">
        <v>13</v>
      </c>
      <c r="D70" s="457"/>
      <c r="E70" s="480"/>
      <c r="F70" s="360"/>
      <c r="G70" s="480"/>
      <c r="H70" s="360"/>
      <c r="I70" s="480"/>
      <c r="J70" s="360"/>
      <c r="K70" s="480"/>
      <c r="L70" s="360"/>
      <c r="M70" s="480"/>
      <c r="N70" s="562"/>
      <c r="O70" s="345">
        <f t="shared" si="11"/>
        <v>13</v>
      </c>
      <c r="P70" s="694">
        <f t="shared" si="12"/>
        <v>7</v>
      </c>
      <c r="Q70" s="133">
        <v>0.5</v>
      </c>
      <c r="R70" s="63" t="s">
        <v>445</v>
      </c>
      <c r="S70" s="28"/>
      <c r="T70" s="316">
        <v>24</v>
      </c>
      <c r="U70" s="316"/>
      <c r="V70" s="344">
        <v>44378</v>
      </c>
      <c r="W70" s="309">
        <v>2</v>
      </c>
      <c r="X70" s="309">
        <v>4</v>
      </c>
      <c r="Y70" s="309">
        <v>2</v>
      </c>
      <c r="Z70" s="309">
        <v>2</v>
      </c>
      <c r="AA70" s="224">
        <f t="shared" si="13"/>
        <v>10</v>
      </c>
      <c r="AB70" s="225">
        <f t="shared" si="14"/>
        <v>2.5</v>
      </c>
      <c r="AC70" s="225">
        <f t="shared" si="15"/>
        <v>10</v>
      </c>
      <c r="AD70" s="225">
        <f t="shared" si="16"/>
        <v>20</v>
      </c>
    </row>
    <row r="71" spans="1:31" ht="15.75" customHeight="1" x14ac:dyDescent="0.25">
      <c r="A71" s="16">
        <f t="shared" si="17"/>
        <v>70</v>
      </c>
      <c r="B71" s="164" t="s">
        <v>857</v>
      </c>
      <c r="C71" s="284">
        <v>14</v>
      </c>
      <c r="D71" s="452">
        <v>1</v>
      </c>
      <c r="E71" s="514"/>
      <c r="F71" s="383"/>
      <c r="G71" s="508">
        <v>1</v>
      </c>
      <c r="H71" s="383"/>
      <c r="I71" s="508"/>
      <c r="J71" s="383"/>
      <c r="K71" s="508">
        <v>1</v>
      </c>
      <c r="L71" s="383"/>
      <c r="M71" s="508"/>
      <c r="N71" s="573"/>
      <c r="O71" s="345">
        <f t="shared" si="11"/>
        <v>11</v>
      </c>
      <c r="P71" s="694">
        <f t="shared" si="12"/>
        <v>5</v>
      </c>
      <c r="Q71" s="169">
        <v>3</v>
      </c>
      <c r="R71" s="223" t="s">
        <v>852</v>
      </c>
      <c r="S71" s="227">
        <v>45992</v>
      </c>
      <c r="T71" s="320">
        <v>1</v>
      </c>
      <c r="U71" s="320">
        <v>2</v>
      </c>
      <c r="V71" s="227">
        <v>45717</v>
      </c>
      <c r="W71" s="223">
        <v>1</v>
      </c>
      <c r="X71" s="223">
        <v>3</v>
      </c>
      <c r="Y71" s="223">
        <v>3</v>
      </c>
      <c r="Z71" s="223">
        <v>1</v>
      </c>
      <c r="AA71" s="224">
        <f t="shared" si="13"/>
        <v>8</v>
      </c>
      <c r="AB71" s="225">
        <f t="shared" si="14"/>
        <v>2</v>
      </c>
      <c r="AC71" s="225">
        <f t="shared" si="15"/>
        <v>8</v>
      </c>
      <c r="AD71" s="225">
        <f t="shared" si="16"/>
        <v>16</v>
      </c>
    </row>
    <row r="72" spans="1:31" ht="15.75" customHeight="1" x14ac:dyDescent="0.25">
      <c r="A72" s="16">
        <f t="shared" si="17"/>
        <v>71</v>
      </c>
      <c r="B72" s="164" t="s">
        <v>710</v>
      </c>
      <c r="C72" s="624">
        <v>17</v>
      </c>
      <c r="D72" s="455"/>
      <c r="E72" s="520"/>
      <c r="F72" s="385"/>
      <c r="G72" s="509"/>
      <c r="H72" s="385"/>
      <c r="I72" s="509"/>
      <c r="J72" s="387"/>
      <c r="K72" s="511"/>
      <c r="L72" s="385"/>
      <c r="M72" s="509"/>
      <c r="N72" s="569"/>
      <c r="O72" s="345">
        <f t="shared" si="11"/>
        <v>17</v>
      </c>
      <c r="P72" s="102">
        <f t="shared" si="12"/>
        <v>-3</v>
      </c>
      <c r="Q72" s="169">
        <v>5</v>
      </c>
      <c r="R72" s="232" t="s">
        <v>852</v>
      </c>
      <c r="S72" s="640">
        <v>45748</v>
      </c>
      <c r="T72" s="240">
        <v>27</v>
      </c>
      <c r="U72" s="240"/>
      <c r="V72" s="235">
        <v>45231</v>
      </c>
      <c r="W72" s="234">
        <v>1</v>
      </c>
      <c r="X72" s="234">
        <v>2</v>
      </c>
      <c r="Y72" s="234">
        <v>2</v>
      </c>
      <c r="Z72" s="234">
        <v>2</v>
      </c>
      <c r="AA72" s="224">
        <f t="shared" si="13"/>
        <v>7</v>
      </c>
      <c r="AB72" s="225">
        <f t="shared" si="14"/>
        <v>1.75</v>
      </c>
      <c r="AC72" s="225">
        <f t="shared" si="15"/>
        <v>7</v>
      </c>
      <c r="AD72" s="225">
        <f t="shared" si="16"/>
        <v>14</v>
      </c>
      <c r="AE72" s="97"/>
    </row>
    <row r="73" spans="1:31" ht="15.75" customHeight="1" x14ac:dyDescent="0.25">
      <c r="A73" s="16">
        <f t="shared" si="17"/>
        <v>72</v>
      </c>
      <c r="B73" s="164" t="s">
        <v>300</v>
      </c>
      <c r="C73" s="284">
        <v>16</v>
      </c>
      <c r="D73" s="455"/>
      <c r="E73" s="520"/>
      <c r="F73" s="385"/>
      <c r="G73" s="509"/>
      <c r="H73" s="385"/>
      <c r="I73" s="509"/>
      <c r="J73" s="385"/>
      <c r="K73" s="509"/>
      <c r="L73" s="385"/>
      <c r="M73" s="509"/>
      <c r="N73" s="569"/>
      <c r="O73" s="345">
        <f t="shared" si="11"/>
        <v>16</v>
      </c>
      <c r="P73" s="694">
        <f t="shared" si="12"/>
        <v>4</v>
      </c>
      <c r="Q73" s="169">
        <v>2</v>
      </c>
      <c r="R73" s="232" t="s">
        <v>226</v>
      </c>
      <c r="S73" s="235"/>
      <c r="T73" s="240">
        <v>129</v>
      </c>
      <c r="U73" s="240"/>
      <c r="V73" s="235">
        <v>45536</v>
      </c>
      <c r="W73" s="234">
        <v>1</v>
      </c>
      <c r="X73" s="234">
        <v>5</v>
      </c>
      <c r="Y73" s="234">
        <v>1</v>
      </c>
      <c r="Z73" s="234">
        <v>3</v>
      </c>
      <c r="AA73" s="224">
        <f t="shared" si="13"/>
        <v>10</v>
      </c>
      <c r="AB73" s="225">
        <f t="shared" si="14"/>
        <v>2.5</v>
      </c>
      <c r="AC73" s="225">
        <f t="shared" si="15"/>
        <v>10</v>
      </c>
      <c r="AD73" s="225">
        <f t="shared" si="16"/>
        <v>20</v>
      </c>
      <c r="AE73" s="97"/>
    </row>
    <row r="74" spans="1:31" ht="15.75" customHeight="1" x14ac:dyDescent="0.25">
      <c r="A74" s="16">
        <f t="shared" si="17"/>
        <v>73</v>
      </c>
      <c r="B74" s="164" t="s">
        <v>272</v>
      </c>
      <c r="C74" s="284">
        <v>22</v>
      </c>
      <c r="D74" s="455"/>
      <c r="E74" s="520"/>
      <c r="F74" s="385"/>
      <c r="G74" s="509"/>
      <c r="H74" s="385"/>
      <c r="I74" s="509"/>
      <c r="J74" s="387"/>
      <c r="K74" s="511"/>
      <c r="L74" s="385"/>
      <c r="M74" s="509"/>
      <c r="N74" s="569"/>
      <c r="O74" s="345">
        <f t="shared" si="11"/>
        <v>22</v>
      </c>
      <c r="P74" s="102">
        <f t="shared" si="12"/>
        <v>-6</v>
      </c>
      <c r="Q74" s="169">
        <v>2</v>
      </c>
      <c r="R74" s="210" t="s">
        <v>226</v>
      </c>
      <c r="S74" s="223"/>
      <c r="T74" s="320">
        <v>65</v>
      </c>
      <c r="U74" s="320"/>
      <c r="V74" s="227">
        <v>45536</v>
      </c>
      <c r="W74" s="223">
        <v>2</v>
      </c>
      <c r="X74" s="223">
        <v>3</v>
      </c>
      <c r="Y74" s="223">
        <v>1</v>
      </c>
      <c r="Z74" s="223">
        <v>2</v>
      </c>
      <c r="AA74" s="224">
        <f t="shared" si="13"/>
        <v>8</v>
      </c>
      <c r="AB74" s="225">
        <f t="shared" si="14"/>
        <v>2</v>
      </c>
      <c r="AC74" s="225">
        <f t="shared" si="15"/>
        <v>8</v>
      </c>
      <c r="AD74" s="225">
        <f t="shared" si="16"/>
        <v>16</v>
      </c>
      <c r="AE74" s="97"/>
    </row>
    <row r="75" spans="1:31" ht="15.75" customHeight="1" x14ac:dyDescent="0.25">
      <c r="A75" s="16">
        <f t="shared" si="17"/>
        <v>74</v>
      </c>
      <c r="B75" s="164" t="s">
        <v>382</v>
      </c>
      <c r="C75" s="284">
        <v>4</v>
      </c>
      <c r="D75" s="452"/>
      <c r="E75" s="513"/>
      <c r="F75" s="383">
        <v>1</v>
      </c>
      <c r="G75" s="508"/>
      <c r="H75" s="383">
        <v>1</v>
      </c>
      <c r="I75" s="508"/>
      <c r="J75" s="383"/>
      <c r="K75" s="508"/>
      <c r="L75" s="383"/>
      <c r="M75" s="508"/>
      <c r="N75" s="573"/>
      <c r="O75" s="345">
        <f t="shared" si="11"/>
        <v>2</v>
      </c>
      <c r="P75" s="694">
        <f t="shared" si="12"/>
        <v>8</v>
      </c>
      <c r="Q75" s="169">
        <v>12</v>
      </c>
      <c r="R75" s="176" t="s">
        <v>364</v>
      </c>
      <c r="S75" s="227"/>
      <c r="T75" s="320">
        <v>3</v>
      </c>
      <c r="U75" s="320"/>
      <c r="V75" s="228">
        <v>44927</v>
      </c>
      <c r="W75" s="222">
        <v>1</v>
      </c>
      <c r="X75" s="223">
        <v>1</v>
      </c>
      <c r="Y75" s="223">
        <v>1</v>
      </c>
      <c r="Z75" s="223">
        <v>2</v>
      </c>
      <c r="AA75" s="224">
        <f t="shared" si="13"/>
        <v>5</v>
      </c>
      <c r="AB75" s="225">
        <f t="shared" si="14"/>
        <v>1.25</v>
      </c>
      <c r="AC75" s="225">
        <f t="shared" si="15"/>
        <v>5</v>
      </c>
      <c r="AD75" s="225">
        <f t="shared" si="16"/>
        <v>10</v>
      </c>
      <c r="AE75" s="97"/>
    </row>
    <row r="76" spans="1:31" ht="15.75" customHeight="1" x14ac:dyDescent="0.25">
      <c r="A76" s="16">
        <f t="shared" si="17"/>
        <v>75</v>
      </c>
      <c r="B76" s="164" t="s">
        <v>547</v>
      </c>
      <c r="C76" s="284">
        <v>1</v>
      </c>
      <c r="D76" s="455"/>
      <c r="E76" s="520"/>
      <c r="F76" s="385"/>
      <c r="G76" s="509"/>
      <c r="H76" s="385"/>
      <c r="I76" s="509"/>
      <c r="J76" s="385"/>
      <c r="K76" s="509"/>
      <c r="L76" s="385"/>
      <c r="M76" s="509"/>
      <c r="N76" s="569"/>
      <c r="O76" s="345">
        <f t="shared" si="11"/>
        <v>1</v>
      </c>
      <c r="P76" s="694">
        <f t="shared" si="12"/>
        <v>7</v>
      </c>
      <c r="Q76" s="169">
        <v>13</v>
      </c>
      <c r="R76" s="232" t="s">
        <v>226</v>
      </c>
      <c r="S76" s="235"/>
      <c r="T76" s="240">
        <v>4</v>
      </c>
      <c r="U76" s="240"/>
      <c r="V76" s="235">
        <v>43952</v>
      </c>
      <c r="W76" s="234">
        <v>1</v>
      </c>
      <c r="X76" s="234">
        <v>1</v>
      </c>
      <c r="Y76" s="234">
        <v>1</v>
      </c>
      <c r="Z76" s="234">
        <v>1</v>
      </c>
      <c r="AA76" s="224">
        <f t="shared" si="13"/>
        <v>4</v>
      </c>
      <c r="AB76" s="225">
        <f t="shared" si="14"/>
        <v>1</v>
      </c>
      <c r="AC76" s="225">
        <f t="shared" si="15"/>
        <v>4</v>
      </c>
      <c r="AD76" s="225">
        <f t="shared" si="16"/>
        <v>8</v>
      </c>
    </row>
    <row r="77" spans="1:31" ht="15.75" customHeight="1" x14ac:dyDescent="0.25">
      <c r="A77" s="16">
        <f t="shared" si="17"/>
        <v>76</v>
      </c>
      <c r="B77" s="164" t="s">
        <v>1335</v>
      </c>
      <c r="C77" s="284">
        <v>2</v>
      </c>
      <c r="D77" s="454"/>
      <c r="E77" s="518"/>
      <c r="F77" s="396"/>
      <c r="G77" s="516"/>
      <c r="H77" s="396"/>
      <c r="I77" s="516"/>
      <c r="J77" s="396"/>
      <c r="K77" s="516"/>
      <c r="L77" s="396"/>
      <c r="M77" s="516"/>
      <c r="N77" s="581"/>
      <c r="O77" s="345">
        <f t="shared" si="11"/>
        <v>2</v>
      </c>
      <c r="P77" s="693">
        <f t="shared" si="12"/>
        <v>0</v>
      </c>
      <c r="Q77" s="169">
        <v>17</v>
      </c>
      <c r="R77" s="176" t="s">
        <v>226</v>
      </c>
      <c r="S77" s="282"/>
      <c r="T77" s="276">
        <v>0</v>
      </c>
      <c r="U77" s="276"/>
      <c r="V77" s="228">
        <v>45658</v>
      </c>
      <c r="W77" s="222"/>
      <c r="X77" s="222"/>
      <c r="Y77" s="222"/>
      <c r="Z77" s="223">
        <v>1</v>
      </c>
      <c r="AA77" s="224">
        <f t="shared" si="13"/>
        <v>1</v>
      </c>
      <c r="AB77" s="225">
        <f t="shared" si="14"/>
        <v>0.25</v>
      </c>
      <c r="AC77" s="225">
        <f t="shared" si="15"/>
        <v>1</v>
      </c>
      <c r="AD77" s="225">
        <f t="shared" si="16"/>
        <v>2</v>
      </c>
    </row>
    <row r="78" spans="1:31" ht="15.75" customHeight="1" x14ac:dyDescent="0.25">
      <c r="A78" s="16">
        <f t="shared" si="17"/>
        <v>77</v>
      </c>
      <c r="B78" s="164" t="s">
        <v>548</v>
      </c>
      <c r="C78" s="284">
        <v>2</v>
      </c>
      <c r="D78" s="455"/>
      <c r="E78" s="520"/>
      <c r="F78" s="385"/>
      <c r="G78" s="509"/>
      <c r="H78" s="385"/>
      <c r="I78" s="509"/>
      <c r="J78" s="385"/>
      <c r="K78" s="509"/>
      <c r="L78" s="385"/>
      <c r="M78" s="509"/>
      <c r="N78" s="569"/>
      <c r="O78" s="345">
        <f t="shared" si="11"/>
        <v>2</v>
      </c>
      <c r="P78" s="694">
        <f t="shared" si="12"/>
        <v>2</v>
      </c>
      <c r="Q78" s="169">
        <v>18</v>
      </c>
      <c r="R78" s="234" t="s">
        <v>226</v>
      </c>
      <c r="S78" s="235"/>
      <c r="T78" s="240">
        <v>4</v>
      </c>
      <c r="U78" s="240"/>
      <c r="V78" s="235"/>
      <c r="W78" s="234"/>
      <c r="X78" s="234"/>
      <c r="Y78" s="234">
        <v>1</v>
      </c>
      <c r="Z78" s="234">
        <v>1</v>
      </c>
      <c r="AA78" s="224">
        <f t="shared" si="13"/>
        <v>2</v>
      </c>
      <c r="AB78" s="225">
        <f t="shared" si="14"/>
        <v>0.5</v>
      </c>
      <c r="AC78" s="225">
        <f t="shared" si="15"/>
        <v>2</v>
      </c>
      <c r="AD78" s="225">
        <f t="shared" si="16"/>
        <v>4</v>
      </c>
    </row>
    <row r="79" spans="1:31" ht="15.75" customHeight="1" x14ac:dyDescent="0.25">
      <c r="A79" s="16">
        <f t="shared" si="17"/>
        <v>78</v>
      </c>
      <c r="B79" s="164" t="s">
        <v>628</v>
      </c>
      <c r="C79" s="210">
        <v>2</v>
      </c>
      <c r="D79" s="454"/>
      <c r="E79" s="518"/>
      <c r="F79" s="388"/>
      <c r="G79" s="507"/>
      <c r="H79" s="388"/>
      <c r="I79" s="507"/>
      <c r="J79" s="383"/>
      <c r="K79" s="508"/>
      <c r="L79" s="388"/>
      <c r="M79" s="507"/>
      <c r="N79" s="571"/>
      <c r="O79" s="345">
        <f t="shared" si="11"/>
        <v>2</v>
      </c>
      <c r="P79" s="694">
        <f t="shared" si="12"/>
        <v>2</v>
      </c>
      <c r="Q79" s="133">
        <v>16</v>
      </c>
      <c r="R79" s="102" t="s">
        <v>226</v>
      </c>
      <c r="S79" s="227"/>
      <c r="T79" s="320">
        <v>0</v>
      </c>
      <c r="U79" s="320"/>
      <c r="V79" s="227"/>
      <c r="W79" s="223">
        <v>1</v>
      </c>
      <c r="X79" s="223"/>
      <c r="Y79" s="223"/>
      <c r="Z79" s="223">
        <v>1</v>
      </c>
      <c r="AA79" s="224">
        <f t="shared" si="13"/>
        <v>2</v>
      </c>
      <c r="AB79" s="225">
        <f t="shared" si="14"/>
        <v>0.5</v>
      </c>
      <c r="AC79" s="225">
        <f t="shared" si="15"/>
        <v>2</v>
      </c>
      <c r="AD79" s="225">
        <f t="shared" si="16"/>
        <v>4</v>
      </c>
    </row>
    <row r="80" spans="1:31" ht="15.75" customHeight="1" x14ac:dyDescent="0.25">
      <c r="A80" s="16">
        <f t="shared" si="17"/>
        <v>79</v>
      </c>
      <c r="B80" s="164" t="s">
        <v>315</v>
      </c>
      <c r="C80" s="284">
        <v>1</v>
      </c>
      <c r="D80" s="455"/>
      <c r="E80" s="509"/>
      <c r="F80" s="382"/>
      <c r="G80" s="505"/>
      <c r="H80" s="382"/>
      <c r="I80" s="505"/>
      <c r="J80" s="382"/>
      <c r="K80" s="505"/>
      <c r="L80" s="382"/>
      <c r="M80" s="505"/>
      <c r="N80" s="582"/>
      <c r="O80" s="345">
        <f t="shared" si="11"/>
        <v>1</v>
      </c>
      <c r="P80" s="694">
        <f t="shared" si="12"/>
        <v>3</v>
      </c>
      <c r="Q80" s="169">
        <v>13</v>
      </c>
      <c r="R80" s="210" t="s">
        <v>226</v>
      </c>
      <c r="S80" s="227"/>
      <c r="T80" s="320">
        <v>1</v>
      </c>
      <c r="U80" s="320"/>
      <c r="V80" s="227">
        <v>44378</v>
      </c>
      <c r="W80" s="223">
        <v>1</v>
      </c>
      <c r="X80" s="223"/>
      <c r="Y80" s="223"/>
      <c r="Z80" s="223">
        <v>1</v>
      </c>
      <c r="AA80" s="224">
        <f t="shared" si="13"/>
        <v>2</v>
      </c>
      <c r="AB80" s="225">
        <f t="shared" si="14"/>
        <v>0.5</v>
      </c>
      <c r="AC80" s="225">
        <f t="shared" si="15"/>
        <v>2</v>
      </c>
      <c r="AD80" s="225">
        <f t="shared" si="16"/>
        <v>4</v>
      </c>
    </row>
    <row r="81" spans="1:31" ht="15.75" customHeight="1" x14ac:dyDescent="0.25">
      <c r="A81" s="16">
        <f t="shared" si="17"/>
        <v>80</v>
      </c>
      <c r="B81" s="164" t="s">
        <v>631</v>
      </c>
      <c r="C81" s="284">
        <v>1</v>
      </c>
      <c r="D81" s="454"/>
      <c r="E81" s="519"/>
      <c r="F81" s="388"/>
      <c r="G81" s="507"/>
      <c r="H81" s="388"/>
      <c r="I81" s="507"/>
      <c r="J81" s="383"/>
      <c r="K81" s="508"/>
      <c r="L81" s="388"/>
      <c r="M81" s="507"/>
      <c r="N81" s="571"/>
      <c r="O81" s="345">
        <f t="shared" si="11"/>
        <v>1</v>
      </c>
      <c r="P81" s="694">
        <f t="shared" si="12"/>
        <v>7</v>
      </c>
      <c r="Q81" s="169">
        <v>53</v>
      </c>
      <c r="R81" s="102" t="s">
        <v>356</v>
      </c>
      <c r="S81" s="227">
        <v>46266</v>
      </c>
      <c r="T81" s="320">
        <v>1</v>
      </c>
      <c r="U81" s="320"/>
      <c r="V81" s="227">
        <v>45536</v>
      </c>
      <c r="W81" s="223">
        <v>1</v>
      </c>
      <c r="X81" s="223">
        <v>1</v>
      </c>
      <c r="Y81" s="223">
        <v>1</v>
      </c>
      <c r="Z81" s="223">
        <v>1</v>
      </c>
      <c r="AA81" s="224">
        <f t="shared" si="13"/>
        <v>4</v>
      </c>
      <c r="AB81" s="225">
        <f t="shared" si="14"/>
        <v>1</v>
      </c>
      <c r="AC81" s="225">
        <f t="shared" si="15"/>
        <v>4</v>
      </c>
      <c r="AD81" s="225">
        <f t="shared" si="16"/>
        <v>8</v>
      </c>
    </row>
    <row r="82" spans="1:31" ht="15.75" customHeight="1" x14ac:dyDescent="0.25">
      <c r="A82" s="16">
        <f t="shared" si="17"/>
        <v>81</v>
      </c>
      <c r="B82" s="164" t="s">
        <v>972</v>
      </c>
      <c r="C82" s="284">
        <v>1</v>
      </c>
      <c r="D82" s="452"/>
      <c r="E82" s="513"/>
      <c r="F82" s="383"/>
      <c r="G82" s="508"/>
      <c r="H82" s="383"/>
      <c r="I82" s="508"/>
      <c r="J82" s="388"/>
      <c r="K82" s="507"/>
      <c r="L82" s="383"/>
      <c r="M82" s="508"/>
      <c r="N82" s="573"/>
      <c r="O82" s="345">
        <f t="shared" ref="O82:O113" si="18">SUM(C82-D82-E82-F82-G82-H82-I82-J82-K82-L82-M82-N82)</f>
        <v>1</v>
      </c>
      <c r="P82" s="694">
        <f t="shared" si="12"/>
        <v>1</v>
      </c>
      <c r="Q82" s="169">
        <v>53</v>
      </c>
      <c r="R82" s="102" t="s">
        <v>356</v>
      </c>
      <c r="S82" s="227"/>
      <c r="T82" s="320">
        <v>2</v>
      </c>
      <c r="U82" s="320"/>
      <c r="V82" s="228">
        <v>44774</v>
      </c>
      <c r="W82" s="222"/>
      <c r="X82" s="223"/>
      <c r="Y82" s="223"/>
      <c r="Z82" s="223">
        <v>1</v>
      </c>
      <c r="AA82" s="224">
        <f t="shared" si="13"/>
        <v>1</v>
      </c>
      <c r="AB82" s="225">
        <f t="shared" si="14"/>
        <v>0.25</v>
      </c>
      <c r="AC82" s="225">
        <f t="shared" si="15"/>
        <v>1</v>
      </c>
      <c r="AD82" s="225">
        <f t="shared" si="16"/>
        <v>2</v>
      </c>
    </row>
    <row r="83" spans="1:31" ht="15.75" customHeight="1" x14ac:dyDescent="0.25">
      <c r="A83" s="16">
        <f t="shared" si="17"/>
        <v>82</v>
      </c>
      <c r="B83" s="666" t="s">
        <v>407</v>
      </c>
      <c r="C83" s="667">
        <v>1</v>
      </c>
      <c r="D83" s="454"/>
      <c r="E83" s="519"/>
      <c r="F83" s="388"/>
      <c r="G83" s="507"/>
      <c r="H83" s="388"/>
      <c r="I83" s="507"/>
      <c r="J83" s="388"/>
      <c r="K83" s="507"/>
      <c r="L83" s="388"/>
      <c r="M83" s="507"/>
      <c r="N83" s="571"/>
      <c r="O83" s="345">
        <f t="shared" si="18"/>
        <v>1</v>
      </c>
      <c r="P83" s="694">
        <f t="shared" si="12"/>
        <v>7</v>
      </c>
      <c r="Q83" s="169">
        <v>60</v>
      </c>
      <c r="R83" s="102" t="s">
        <v>356</v>
      </c>
      <c r="S83" s="668">
        <v>45839</v>
      </c>
      <c r="T83" s="320">
        <v>2</v>
      </c>
      <c r="U83" s="320"/>
      <c r="V83" s="227">
        <v>45536</v>
      </c>
      <c r="W83" s="223">
        <v>1</v>
      </c>
      <c r="X83" s="223">
        <v>1</v>
      </c>
      <c r="Y83" s="223">
        <v>1</v>
      </c>
      <c r="Z83" s="223">
        <v>1</v>
      </c>
      <c r="AA83" s="224">
        <f t="shared" si="13"/>
        <v>4</v>
      </c>
      <c r="AB83" s="225">
        <f t="shared" si="14"/>
        <v>1</v>
      </c>
      <c r="AC83" s="225">
        <f t="shared" si="15"/>
        <v>4</v>
      </c>
      <c r="AD83" s="225">
        <f t="shared" si="16"/>
        <v>8</v>
      </c>
    </row>
    <row r="84" spans="1:31" ht="15.75" customHeight="1" x14ac:dyDescent="0.25">
      <c r="A84" s="16">
        <f t="shared" si="17"/>
        <v>83</v>
      </c>
      <c r="B84" s="164" t="s">
        <v>186</v>
      </c>
      <c r="C84" s="284">
        <v>14</v>
      </c>
      <c r="D84" s="452"/>
      <c r="E84" s="514"/>
      <c r="F84" s="383"/>
      <c r="G84" s="508"/>
      <c r="H84" s="383"/>
      <c r="I84" s="508"/>
      <c r="J84" s="383"/>
      <c r="K84" s="508"/>
      <c r="L84" s="383"/>
      <c r="M84" s="508"/>
      <c r="N84" s="573"/>
      <c r="O84" s="345">
        <f t="shared" si="18"/>
        <v>14</v>
      </c>
      <c r="P84" s="693">
        <f t="shared" si="12"/>
        <v>0</v>
      </c>
      <c r="Q84" s="169">
        <v>1</v>
      </c>
      <c r="R84" s="232" t="s">
        <v>226</v>
      </c>
      <c r="S84" s="235"/>
      <c r="T84" s="240">
        <v>0</v>
      </c>
      <c r="U84" s="240"/>
      <c r="V84" s="235">
        <v>45536</v>
      </c>
      <c r="W84" s="234">
        <v>1</v>
      </c>
      <c r="X84" s="234">
        <v>4</v>
      </c>
      <c r="Y84" s="234">
        <v>1</v>
      </c>
      <c r="Z84" s="234">
        <v>1</v>
      </c>
      <c r="AA84" s="224">
        <f t="shared" si="13"/>
        <v>7</v>
      </c>
      <c r="AB84" s="225">
        <f t="shared" si="14"/>
        <v>1.75</v>
      </c>
      <c r="AC84" s="225">
        <f t="shared" si="15"/>
        <v>7</v>
      </c>
      <c r="AD84" s="225">
        <f t="shared" si="16"/>
        <v>14</v>
      </c>
    </row>
    <row r="85" spans="1:31" ht="15.75" customHeight="1" x14ac:dyDescent="0.25">
      <c r="A85" s="16">
        <f t="shared" si="17"/>
        <v>84</v>
      </c>
      <c r="B85" s="164" t="s">
        <v>880</v>
      </c>
      <c r="C85" s="284">
        <v>129</v>
      </c>
      <c r="D85" s="452">
        <v>1</v>
      </c>
      <c r="E85" s="513">
        <v>5</v>
      </c>
      <c r="F85" s="383"/>
      <c r="G85" s="508">
        <v>10</v>
      </c>
      <c r="H85" s="383">
        <v>2</v>
      </c>
      <c r="I85" s="508">
        <v>1</v>
      </c>
      <c r="J85" s="383"/>
      <c r="K85" s="508"/>
      <c r="L85" s="383"/>
      <c r="M85" s="508"/>
      <c r="N85" s="573"/>
      <c r="O85" s="345">
        <f t="shared" si="18"/>
        <v>110</v>
      </c>
      <c r="P85" s="102">
        <f t="shared" si="12"/>
        <v>-12</v>
      </c>
      <c r="Q85" s="169">
        <v>1</v>
      </c>
      <c r="R85" s="102" t="s">
        <v>852</v>
      </c>
      <c r="S85" s="227"/>
      <c r="T85" s="320">
        <v>0</v>
      </c>
      <c r="U85" s="320"/>
      <c r="V85" s="227">
        <v>45658</v>
      </c>
      <c r="W85" s="222">
        <v>5</v>
      </c>
      <c r="X85" s="223">
        <v>13</v>
      </c>
      <c r="Y85" s="223">
        <v>19</v>
      </c>
      <c r="Z85" s="223">
        <v>12</v>
      </c>
      <c r="AA85" s="224">
        <f t="shared" si="13"/>
        <v>49</v>
      </c>
      <c r="AB85" s="225">
        <f t="shared" si="14"/>
        <v>12.25</v>
      </c>
      <c r="AC85" s="225">
        <f t="shared" si="15"/>
        <v>49</v>
      </c>
      <c r="AD85" s="225">
        <f t="shared" si="16"/>
        <v>98</v>
      </c>
      <c r="AE85" s="38"/>
    </row>
    <row r="86" spans="1:31" x14ac:dyDescent="0.25">
      <c r="A86" s="16">
        <f t="shared" si="17"/>
        <v>85</v>
      </c>
      <c r="B86" s="164" t="s">
        <v>1319</v>
      </c>
      <c r="C86" s="284">
        <v>3</v>
      </c>
      <c r="D86" s="452"/>
      <c r="E86" s="513"/>
      <c r="F86" s="383"/>
      <c r="G86" s="508"/>
      <c r="H86" s="383"/>
      <c r="I86" s="508"/>
      <c r="J86" s="383"/>
      <c r="K86" s="508"/>
      <c r="L86" s="383"/>
      <c r="M86" s="508"/>
      <c r="N86" s="573"/>
      <c r="O86" s="345">
        <f t="shared" si="18"/>
        <v>3</v>
      </c>
      <c r="P86" s="694">
        <f t="shared" si="12"/>
        <v>11</v>
      </c>
      <c r="Q86" s="169">
        <v>13</v>
      </c>
      <c r="R86" s="102" t="s">
        <v>364</v>
      </c>
      <c r="S86" s="220">
        <v>46508</v>
      </c>
      <c r="T86" s="275">
        <v>0</v>
      </c>
      <c r="U86" s="275"/>
      <c r="V86" s="221">
        <v>45627</v>
      </c>
      <c r="W86" s="222"/>
      <c r="X86" s="223">
        <v>4</v>
      </c>
      <c r="Y86" s="223">
        <v>1</v>
      </c>
      <c r="Z86" s="223">
        <v>2</v>
      </c>
      <c r="AA86" s="224">
        <f t="shared" si="13"/>
        <v>7</v>
      </c>
      <c r="AB86" s="225">
        <f t="shared" si="14"/>
        <v>1.75</v>
      </c>
      <c r="AC86" s="225">
        <f t="shared" si="15"/>
        <v>7</v>
      </c>
      <c r="AD86" s="225">
        <f t="shared" si="16"/>
        <v>14</v>
      </c>
    </row>
    <row r="87" spans="1:31" x14ac:dyDescent="0.25">
      <c r="A87" s="16">
        <f t="shared" si="17"/>
        <v>86</v>
      </c>
      <c r="B87" s="164" t="s">
        <v>864</v>
      </c>
      <c r="C87" s="284">
        <v>1</v>
      </c>
      <c r="D87" s="452"/>
      <c r="E87" s="513"/>
      <c r="F87" s="383"/>
      <c r="G87" s="508"/>
      <c r="H87" s="383"/>
      <c r="I87" s="508"/>
      <c r="J87" s="383"/>
      <c r="K87" s="508"/>
      <c r="L87" s="383"/>
      <c r="M87" s="508"/>
      <c r="N87" s="573"/>
      <c r="O87" s="345">
        <f t="shared" si="18"/>
        <v>1</v>
      </c>
      <c r="P87" s="694">
        <f t="shared" si="12"/>
        <v>9</v>
      </c>
      <c r="Q87" s="169">
        <v>4</v>
      </c>
      <c r="R87" s="176" t="s">
        <v>226</v>
      </c>
      <c r="S87" s="227"/>
      <c r="T87" s="320">
        <v>0</v>
      </c>
      <c r="U87" s="320"/>
      <c r="V87" s="227">
        <v>44378</v>
      </c>
      <c r="W87" s="223">
        <v>1</v>
      </c>
      <c r="X87" s="223">
        <v>2</v>
      </c>
      <c r="Y87" s="223">
        <v>1</v>
      </c>
      <c r="Z87" s="223">
        <v>1</v>
      </c>
      <c r="AA87" s="224">
        <f t="shared" si="13"/>
        <v>5</v>
      </c>
      <c r="AB87" s="225">
        <f t="shared" si="14"/>
        <v>1.25</v>
      </c>
      <c r="AC87" s="225">
        <f t="shared" si="15"/>
        <v>5</v>
      </c>
      <c r="AD87" s="225">
        <f t="shared" si="16"/>
        <v>10</v>
      </c>
    </row>
    <row r="88" spans="1:31" ht="15.75" customHeight="1" x14ac:dyDescent="0.25">
      <c r="A88" s="16">
        <f t="shared" si="17"/>
        <v>87</v>
      </c>
      <c r="B88" s="164" t="s">
        <v>383</v>
      </c>
      <c r="C88" s="284">
        <v>2</v>
      </c>
      <c r="D88" s="452"/>
      <c r="E88" s="514"/>
      <c r="F88" s="383"/>
      <c r="G88" s="508"/>
      <c r="H88" s="383"/>
      <c r="I88" s="508"/>
      <c r="J88" s="383"/>
      <c r="K88" s="508"/>
      <c r="L88" s="383"/>
      <c r="M88" s="508"/>
      <c r="N88" s="573"/>
      <c r="O88" s="345">
        <f t="shared" si="18"/>
        <v>2</v>
      </c>
      <c r="P88" s="694">
        <f t="shared" si="12"/>
        <v>6</v>
      </c>
      <c r="Q88" s="169">
        <v>12</v>
      </c>
      <c r="R88" s="102" t="s">
        <v>364</v>
      </c>
      <c r="S88" s="227"/>
      <c r="T88" s="320">
        <v>7</v>
      </c>
      <c r="U88" s="320"/>
      <c r="V88" s="228">
        <v>45689</v>
      </c>
      <c r="W88" s="222">
        <v>1</v>
      </c>
      <c r="X88" s="223">
        <v>1</v>
      </c>
      <c r="Y88" s="223">
        <v>1</v>
      </c>
      <c r="Z88" s="223">
        <v>1</v>
      </c>
      <c r="AA88" s="224">
        <f t="shared" si="13"/>
        <v>4</v>
      </c>
      <c r="AB88" s="225">
        <f t="shared" si="14"/>
        <v>1</v>
      </c>
      <c r="AC88" s="225">
        <f t="shared" si="15"/>
        <v>4</v>
      </c>
      <c r="AD88" s="225">
        <f t="shared" si="16"/>
        <v>8</v>
      </c>
    </row>
    <row r="89" spans="1:31" ht="15.75" customHeight="1" x14ac:dyDescent="0.25">
      <c r="A89" s="16">
        <f t="shared" si="17"/>
        <v>88</v>
      </c>
      <c r="B89" s="164" t="s">
        <v>384</v>
      </c>
      <c r="C89" s="284">
        <v>1</v>
      </c>
      <c r="D89" s="452"/>
      <c r="E89" s="513"/>
      <c r="F89" s="383"/>
      <c r="G89" s="508"/>
      <c r="H89" s="383"/>
      <c r="I89" s="508"/>
      <c r="J89" s="383"/>
      <c r="K89" s="508"/>
      <c r="L89" s="383"/>
      <c r="M89" s="508"/>
      <c r="N89" s="573"/>
      <c r="O89" s="345">
        <f t="shared" si="18"/>
        <v>1</v>
      </c>
      <c r="P89" s="694">
        <f t="shared" si="12"/>
        <v>9</v>
      </c>
      <c r="Q89" s="169">
        <v>12</v>
      </c>
      <c r="R89" s="102" t="s">
        <v>364</v>
      </c>
      <c r="S89" s="227"/>
      <c r="T89" s="320">
        <v>0</v>
      </c>
      <c r="U89" s="320"/>
      <c r="V89" s="228">
        <v>44958</v>
      </c>
      <c r="W89" s="222">
        <v>2</v>
      </c>
      <c r="X89" s="223">
        <v>1</v>
      </c>
      <c r="Y89" s="223">
        <v>1</v>
      </c>
      <c r="Z89" s="223">
        <v>1</v>
      </c>
      <c r="AA89" s="224">
        <f t="shared" si="13"/>
        <v>5</v>
      </c>
      <c r="AB89" s="225">
        <f t="shared" si="14"/>
        <v>1.25</v>
      </c>
      <c r="AC89" s="225">
        <f t="shared" si="15"/>
        <v>5</v>
      </c>
      <c r="AD89" s="225">
        <f t="shared" si="16"/>
        <v>10</v>
      </c>
    </row>
    <row r="90" spans="1:31" ht="15.75" customHeight="1" x14ac:dyDescent="0.25">
      <c r="A90" s="16">
        <f t="shared" si="17"/>
        <v>89</v>
      </c>
      <c r="B90" s="164" t="s">
        <v>385</v>
      </c>
      <c r="C90" s="284">
        <v>1</v>
      </c>
      <c r="D90" s="452"/>
      <c r="E90" s="513"/>
      <c r="F90" s="383"/>
      <c r="G90" s="508"/>
      <c r="H90" s="383"/>
      <c r="I90" s="508"/>
      <c r="J90" s="383"/>
      <c r="K90" s="508"/>
      <c r="L90" s="383"/>
      <c r="M90" s="508"/>
      <c r="N90" s="573"/>
      <c r="O90" s="345">
        <f t="shared" si="18"/>
        <v>1</v>
      </c>
      <c r="P90" s="694">
        <f t="shared" si="12"/>
        <v>7</v>
      </c>
      <c r="Q90" s="169">
        <v>18</v>
      </c>
      <c r="R90" s="102" t="s">
        <v>881</v>
      </c>
      <c r="S90" s="227"/>
      <c r="T90" s="320">
        <v>4</v>
      </c>
      <c r="U90" s="320"/>
      <c r="V90" s="228">
        <v>45170</v>
      </c>
      <c r="W90" s="222">
        <v>1</v>
      </c>
      <c r="X90" s="223">
        <v>1</v>
      </c>
      <c r="Y90" s="223">
        <v>1</v>
      </c>
      <c r="Z90" s="223">
        <v>1</v>
      </c>
      <c r="AA90" s="224">
        <f t="shared" si="13"/>
        <v>4</v>
      </c>
      <c r="AB90" s="225">
        <f t="shared" si="14"/>
        <v>1</v>
      </c>
      <c r="AC90" s="225">
        <f t="shared" si="15"/>
        <v>4</v>
      </c>
      <c r="AD90" s="225">
        <f t="shared" si="16"/>
        <v>8</v>
      </c>
    </row>
    <row r="91" spans="1:31" x14ac:dyDescent="0.25">
      <c r="A91" s="16">
        <f t="shared" si="17"/>
        <v>90</v>
      </c>
      <c r="B91" s="666" t="s">
        <v>1332</v>
      </c>
      <c r="C91" s="667">
        <v>38</v>
      </c>
      <c r="D91" s="454"/>
      <c r="E91" s="519"/>
      <c r="F91" s="388"/>
      <c r="G91" s="507"/>
      <c r="H91" s="388"/>
      <c r="I91" s="507"/>
      <c r="J91" s="383">
        <v>3</v>
      </c>
      <c r="K91" s="508"/>
      <c r="L91" s="388"/>
      <c r="M91" s="507"/>
      <c r="N91" s="571"/>
      <c r="O91" s="345">
        <f t="shared" si="18"/>
        <v>35</v>
      </c>
      <c r="P91" s="694">
        <f t="shared" si="12"/>
        <v>191</v>
      </c>
      <c r="Q91" s="169">
        <v>1</v>
      </c>
      <c r="R91" s="102" t="s">
        <v>852</v>
      </c>
      <c r="S91" s="668">
        <v>45901</v>
      </c>
      <c r="T91" s="320">
        <v>2</v>
      </c>
      <c r="U91" s="320">
        <v>2</v>
      </c>
      <c r="V91" s="227">
        <v>45717</v>
      </c>
      <c r="W91" s="223">
        <v>23</v>
      </c>
      <c r="X91" s="223">
        <v>22</v>
      </c>
      <c r="Y91" s="223">
        <v>44</v>
      </c>
      <c r="Z91" s="223">
        <v>24</v>
      </c>
      <c r="AA91" s="224">
        <f t="shared" si="13"/>
        <v>113</v>
      </c>
      <c r="AB91" s="225">
        <f t="shared" si="14"/>
        <v>28.25</v>
      </c>
      <c r="AC91" s="225">
        <f t="shared" si="15"/>
        <v>113</v>
      </c>
      <c r="AD91" s="225">
        <f t="shared" si="16"/>
        <v>226</v>
      </c>
    </row>
    <row r="92" spans="1:31" ht="15.75" customHeight="1" x14ac:dyDescent="0.25">
      <c r="A92" s="16">
        <f t="shared" si="17"/>
        <v>91</v>
      </c>
      <c r="B92" s="164" t="s">
        <v>1008</v>
      </c>
      <c r="C92" s="284">
        <v>1</v>
      </c>
      <c r="D92" s="452"/>
      <c r="E92" s="514"/>
      <c r="F92" s="383"/>
      <c r="G92" s="508"/>
      <c r="H92" s="383"/>
      <c r="I92" s="508"/>
      <c r="J92" s="383"/>
      <c r="K92" s="508"/>
      <c r="L92" s="383"/>
      <c r="M92" s="508"/>
      <c r="N92" s="573"/>
      <c r="O92" s="345">
        <f t="shared" si="18"/>
        <v>1</v>
      </c>
      <c r="P92" s="694">
        <f t="shared" si="12"/>
        <v>7</v>
      </c>
      <c r="Q92" s="169">
        <v>65</v>
      </c>
      <c r="R92" s="102" t="s">
        <v>881</v>
      </c>
      <c r="S92" s="227">
        <v>46235</v>
      </c>
      <c r="T92" s="320">
        <v>2</v>
      </c>
      <c r="U92" s="320"/>
      <c r="V92" s="227">
        <v>45566</v>
      </c>
      <c r="W92" s="223">
        <v>1</v>
      </c>
      <c r="X92" s="223">
        <v>1</v>
      </c>
      <c r="Y92" s="223">
        <v>1</v>
      </c>
      <c r="Z92" s="223">
        <v>1</v>
      </c>
      <c r="AA92" s="224">
        <f t="shared" si="13"/>
        <v>4</v>
      </c>
      <c r="AB92" s="225">
        <f t="shared" si="14"/>
        <v>1</v>
      </c>
      <c r="AC92" s="225">
        <f t="shared" si="15"/>
        <v>4</v>
      </c>
      <c r="AD92" s="225">
        <f t="shared" si="16"/>
        <v>8</v>
      </c>
    </row>
    <row r="93" spans="1:31" ht="15.75" customHeight="1" x14ac:dyDescent="0.25">
      <c r="A93" s="16">
        <f t="shared" si="17"/>
        <v>92</v>
      </c>
      <c r="B93" s="164" t="s">
        <v>538</v>
      </c>
      <c r="C93" s="284">
        <v>1</v>
      </c>
      <c r="D93" s="454"/>
      <c r="E93" s="518"/>
      <c r="F93" s="388"/>
      <c r="G93" s="507"/>
      <c r="H93" s="388"/>
      <c r="I93" s="507"/>
      <c r="J93" s="388"/>
      <c r="K93" s="507"/>
      <c r="L93" s="388"/>
      <c r="M93" s="507"/>
      <c r="N93" s="571"/>
      <c r="O93" s="345">
        <f t="shared" si="18"/>
        <v>1</v>
      </c>
      <c r="P93" s="694">
        <f t="shared" si="12"/>
        <v>9</v>
      </c>
      <c r="Q93" s="169">
        <v>50</v>
      </c>
      <c r="R93" s="102" t="s">
        <v>226</v>
      </c>
      <c r="S93" s="227">
        <v>46266</v>
      </c>
      <c r="T93" s="320">
        <v>1</v>
      </c>
      <c r="U93" s="320"/>
      <c r="V93" s="228">
        <v>45566</v>
      </c>
      <c r="W93" s="222">
        <v>1</v>
      </c>
      <c r="X93" s="223">
        <v>1</v>
      </c>
      <c r="Y93" s="223">
        <v>1</v>
      </c>
      <c r="Z93" s="223">
        <v>2</v>
      </c>
      <c r="AA93" s="224">
        <f t="shared" si="13"/>
        <v>5</v>
      </c>
      <c r="AB93" s="225">
        <f t="shared" si="14"/>
        <v>1.25</v>
      </c>
      <c r="AC93" s="225">
        <f t="shared" si="15"/>
        <v>5</v>
      </c>
      <c r="AD93" s="225">
        <f t="shared" si="16"/>
        <v>10</v>
      </c>
      <c r="AE93" s="16"/>
    </row>
    <row r="94" spans="1:31" ht="15.75" customHeight="1" x14ac:dyDescent="0.25">
      <c r="A94" s="16">
        <f t="shared" si="17"/>
        <v>93</v>
      </c>
      <c r="B94" s="164" t="s">
        <v>386</v>
      </c>
      <c r="C94" s="284">
        <v>1</v>
      </c>
      <c r="D94" s="454"/>
      <c r="E94" s="518"/>
      <c r="F94" s="388"/>
      <c r="G94" s="507"/>
      <c r="H94" s="388"/>
      <c r="I94" s="507"/>
      <c r="J94" s="388"/>
      <c r="K94" s="507"/>
      <c r="L94" s="388"/>
      <c r="M94" s="507"/>
      <c r="N94" s="571"/>
      <c r="O94" s="345">
        <f t="shared" si="18"/>
        <v>1</v>
      </c>
      <c r="P94" s="694">
        <f t="shared" si="12"/>
        <v>7</v>
      </c>
      <c r="Q94" s="169">
        <v>65</v>
      </c>
      <c r="R94" s="102" t="s">
        <v>226</v>
      </c>
      <c r="S94" s="227">
        <v>46143</v>
      </c>
      <c r="T94" s="320">
        <v>3</v>
      </c>
      <c r="U94" s="320"/>
      <c r="V94" s="228">
        <v>45566</v>
      </c>
      <c r="W94" s="222">
        <v>1</v>
      </c>
      <c r="X94" s="223">
        <v>1</v>
      </c>
      <c r="Y94" s="223">
        <v>1</v>
      </c>
      <c r="Z94" s="223">
        <v>1</v>
      </c>
      <c r="AA94" s="224">
        <f t="shared" si="13"/>
        <v>4</v>
      </c>
      <c r="AB94" s="225">
        <f t="shared" si="14"/>
        <v>1</v>
      </c>
      <c r="AC94" s="225">
        <f t="shared" si="15"/>
        <v>4</v>
      </c>
      <c r="AD94" s="225">
        <f t="shared" si="16"/>
        <v>8</v>
      </c>
    </row>
    <row r="95" spans="1:31" ht="15.75" customHeight="1" x14ac:dyDescent="0.25">
      <c r="A95" s="16">
        <f t="shared" si="17"/>
        <v>94</v>
      </c>
      <c r="B95" s="164" t="s">
        <v>286</v>
      </c>
      <c r="C95" s="284">
        <v>4</v>
      </c>
      <c r="D95" s="455"/>
      <c r="E95" s="520"/>
      <c r="F95" s="385"/>
      <c r="G95" s="509"/>
      <c r="H95" s="385"/>
      <c r="I95" s="509"/>
      <c r="J95" s="387"/>
      <c r="K95" s="511">
        <v>1</v>
      </c>
      <c r="L95" s="385"/>
      <c r="M95" s="509"/>
      <c r="N95" s="569"/>
      <c r="O95" s="345">
        <f t="shared" si="18"/>
        <v>3</v>
      </c>
      <c r="P95" s="694">
        <f t="shared" si="12"/>
        <v>7</v>
      </c>
      <c r="Q95" s="169">
        <v>5</v>
      </c>
      <c r="R95" s="233" t="s">
        <v>364</v>
      </c>
      <c r="S95" s="233"/>
      <c r="T95" s="231">
        <v>33</v>
      </c>
      <c r="U95" s="231"/>
      <c r="V95" s="235">
        <v>44958</v>
      </c>
      <c r="W95" s="234">
        <v>2</v>
      </c>
      <c r="X95" s="234">
        <v>1</v>
      </c>
      <c r="Y95" s="234">
        <v>1</v>
      </c>
      <c r="Z95" s="234">
        <v>1</v>
      </c>
      <c r="AA95" s="224">
        <f t="shared" si="13"/>
        <v>5</v>
      </c>
      <c r="AB95" s="225">
        <f t="shared" si="14"/>
        <v>1.25</v>
      </c>
      <c r="AC95" s="225">
        <f t="shared" si="15"/>
        <v>5</v>
      </c>
      <c r="AD95" s="225">
        <f t="shared" si="16"/>
        <v>10</v>
      </c>
    </row>
    <row r="96" spans="1:31" ht="15.75" customHeight="1" x14ac:dyDescent="0.25">
      <c r="A96" s="16">
        <f t="shared" si="17"/>
        <v>95</v>
      </c>
      <c r="B96" s="164" t="s">
        <v>387</v>
      </c>
      <c r="C96" s="284">
        <v>1</v>
      </c>
      <c r="D96" s="452"/>
      <c r="E96" s="513"/>
      <c r="F96" s="383"/>
      <c r="G96" s="508"/>
      <c r="H96" s="383"/>
      <c r="I96" s="508"/>
      <c r="J96" s="388"/>
      <c r="K96" s="507"/>
      <c r="L96" s="383"/>
      <c r="M96" s="508"/>
      <c r="N96" s="573"/>
      <c r="O96" s="345">
        <f t="shared" si="18"/>
        <v>1</v>
      </c>
      <c r="P96" s="694">
        <f t="shared" si="12"/>
        <v>5</v>
      </c>
      <c r="Q96" s="169">
        <v>35</v>
      </c>
      <c r="R96" s="102" t="s">
        <v>226</v>
      </c>
      <c r="S96" s="227"/>
      <c r="T96" s="320">
        <v>0</v>
      </c>
      <c r="U96" s="320"/>
      <c r="V96" s="227"/>
      <c r="W96" s="223"/>
      <c r="X96" s="223">
        <v>1</v>
      </c>
      <c r="Y96" s="223">
        <v>1</v>
      </c>
      <c r="Z96" s="223">
        <v>1</v>
      </c>
      <c r="AA96" s="224">
        <f t="shared" si="13"/>
        <v>3</v>
      </c>
      <c r="AB96" s="225">
        <f t="shared" si="14"/>
        <v>0.75</v>
      </c>
      <c r="AC96" s="225">
        <f t="shared" si="15"/>
        <v>3</v>
      </c>
      <c r="AD96" s="225">
        <f t="shared" si="16"/>
        <v>6</v>
      </c>
    </row>
    <row r="97" spans="1:31" ht="17.25" customHeight="1" x14ac:dyDescent="0.25">
      <c r="A97" s="16">
        <f t="shared" si="17"/>
        <v>96</v>
      </c>
      <c r="B97" s="164" t="s">
        <v>504</v>
      </c>
      <c r="C97" s="284">
        <v>2</v>
      </c>
      <c r="D97" s="454"/>
      <c r="E97" s="518"/>
      <c r="F97" s="388"/>
      <c r="G97" s="507"/>
      <c r="H97" s="388"/>
      <c r="I97" s="507"/>
      <c r="J97" s="383"/>
      <c r="K97" s="508"/>
      <c r="L97" s="388"/>
      <c r="M97" s="507"/>
      <c r="N97" s="571"/>
      <c r="O97" s="345">
        <f t="shared" si="18"/>
        <v>2</v>
      </c>
      <c r="P97" s="694">
        <f t="shared" si="12"/>
        <v>6</v>
      </c>
      <c r="Q97" s="169">
        <v>55</v>
      </c>
      <c r="R97" s="102" t="s">
        <v>226</v>
      </c>
      <c r="S97" s="220"/>
      <c r="T97" s="275">
        <v>3</v>
      </c>
      <c r="U97" s="275"/>
      <c r="V97" s="221">
        <v>45047</v>
      </c>
      <c r="W97" s="222">
        <v>1</v>
      </c>
      <c r="X97" s="223">
        <v>1</v>
      </c>
      <c r="Y97" s="223">
        <v>1</v>
      </c>
      <c r="Z97" s="223">
        <v>1</v>
      </c>
      <c r="AA97" s="224">
        <f t="shared" si="13"/>
        <v>4</v>
      </c>
      <c r="AB97" s="225">
        <f t="shared" si="14"/>
        <v>1</v>
      </c>
      <c r="AC97" s="225">
        <f t="shared" si="15"/>
        <v>4</v>
      </c>
      <c r="AD97" s="225">
        <f t="shared" si="16"/>
        <v>8</v>
      </c>
    </row>
    <row r="98" spans="1:31" ht="15.75" customHeight="1" x14ac:dyDescent="0.25">
      <c r="A98" s="16">
        <f t="shared" si="17"/>
        <v>97</v>
      </c>
      <c r="B98" s="164" t="s">
        <v>505</v>
      </c>
      <c r="C98" s="284">
        <v>0</v>
      </c>
      <c r="D98" s="452"/>
      <c r="E98" s="514"/>
      <c r="F98" s="383"/>
      <c r="G98" s="508"/>
      <c r="H98" s="383"/>
      <c r="I98" s="508"/>
      <c r="J98" s="383"/>
      <c r="K98" s="508"/>
      <c r="L98" s="383"/>
      <c r="M98" s="508"/>
      <c r="N98" s="573"/>
      <c r="O98" s="345">
        <f t="shared" si="18"/>
        <v>0</v>
      </c>
      <c r="P98" s="694">
        <f t="shared" si="12"/>
        <v>6</v>
      </c>
      <c r="Q98" s="169">
        <v>72</v>
      </c>
      <c r="R98" s="102" t="s">
        <v>226</v>
      </c>
      <c r="S98" s="220"/>
      <c r="T98" s="275">
        <v>0</v>
      </c>
      <c r="U98" s="275"/>
      <c r="V98" s="221">
        <v>44927</v>
      </c>
      <c r="W98" s="222">
        <v>1</v>
      </c>
      <c r="X98" s="222">
        <v>1</v>
      </c>
      <c r="Y98" s="222"/>
      <c r="Z98" s="223">
        <v>1</v>
      </c>
      <c r="AA98" s="224">
        <f t="shared" ref="AA98:AA120" si="19">W98+X98+Y98+Z98</f>
        <v>3</v>
      </c>
      <c r="AB98" s="225">
        <f t="shared" ref="AB98:AB120" si="20">AA98/4</f>
        <v>0.75</v>
      </c>
      <c r="AC98" s="225">
        <f t="shared" ref="AC98:AC120" si="21">AB98*4</f>
        <v>3</v>
      </c>
      <c r="AD98" s="225">
        <f t="shared" ref="AD98:AD120" si="22">AC98*2</f>
        <v>6</v>
      </c>
    </row>
    <row r="99" spans="1:31" ht="15.75" customHeight="1" x14ac:dyDescent="0.25">
      <c r="A99" s="16">
        <f t="shared" si="17"/>
        <v>98</v>
      </c>
      <c r="B99" s="164" t="s">
        <v>865</v>
      </c>
      <c r="C99" s="284">
        <v>1</v>
      </c>
      <c r="D99" s="453"/>
      <c r="E99" s="517"/>
      <c r="F99" s="376"/>
      <c r="G99" s="483"/>
      <c r="H99" s="376"/>
      <c r="I99" s="483"/>
      <c r="J99" s="376"/>
      <c r="K99" s="483"/>
      <c r="L99" s="376"/>
      <c r="M99" s="483"/>
      <c r="N99" s="574"/>
      <c r="O99" s="345">
        <f t="shared" si="18"/>
        <v>1</v>
      </c>
      <c r="P99" s="694">
        <f t="shared" si="12"/>
        <v>3</v>
      </c>
      <c r="Q99" s="169">
        <v>61</v>
      </c>
      <c r="R99" s="14" t="s">
        <v>455</v>
      </c>
      <c r="S99" s="81">
        <v>46296</v>
      </c>
      <c r="T99" s="14">
        <v>1</v>
      </c>
      <c r="U99" s="14"/>
      <c r="V99" s="81">
        <v>45658</v>
      </c>
      <c r="W99" s="14">
        <v>1</v>
      </c>
      <c r="X99" s="14"/>
      <c r="Y99" s="28"/>
      <c r="Z99" s="28">
        <v>1</v>
      </c>
      <c r="AA99" s="224">
        <f t="shared" si="19"/>
        <v>2</v>
      </c>
      <c r="AB99" s="225">
        <f t="shared" si="20"/>
        <v>0.5</v>
      </c>
      <c r="AC99" s="225">
        <f t="shared" si="21"/>
        <v>2</v>
      </c>
      <c r="AD99" s="225">
        <f t="shared" si="22"/>
        <v>4</v>
      </c>
      <c r="AE99" s="146"/>
    </row>
    <row r="100" spans="1:31" ht="15.75" customHeight="1" x14ac:dyDescent="0.25">
      <c r="A100" s="16">
        <f t="shared" si="17"/>
        <v>99</v>
      </c>
      <c r="B100" s="164" t="s">
        <v>867</v>
      </c>
      <c r="C100" s="284">
        <v>1</v>
      </c>
      <c r="D100" s="454"/>
      <c r="E100" s="519"/>
      <c r="F100" s="388"/>
      <c r="G100" s="507"/>
      <c r="H100" s="388"/>
      <c r="I100" s="507"/>
      <c r="J100" s="388"/>
      <c r="K100" s="507"/>
      <c r="L100" s="388"/>
      <c r="M100" s="507"/>
      <c r="N100" s="571"/>
      <c r="O100" s="345">
        <f t="shared" si="18"/>
        <v>1</v>
      </c>
      <c r="P100" s="694">
        <f t="shared" si="12"/>
        <v>7</v>
      </c>
      <c r="Q100" s="169">
        <v>61</v>
      </c>
      <c r="R100" s="14" t="s">
        <v>455</v>
      </c>
      <c r="S100" s="227">
        <v>46204</v>
      </c>
      <c r="T100" s="320">
        <v>1</v>
      </c>
      <c r="U100" s="320"/>
      <c r="V100" s="227">
        <v>45352</v>
      </c>
      <c r="W100" s="223"/>
      <c r="X100" s="223">
        <v>1</v>
      </c>
      <c r="Y100" s="223">
        <v>2</v>
      </c>
      <c r="Z100" s="223">
        <v>1</v>
      </c>
      <c r="AA100" s="224">
        <f t="shared" si="19"/>
        <v>4</v>
      </c>
      <c r="AB100" s="225">
        <f t="shared" si="20"/>
        <v>1</v>
      </c>
      <c r="AC100" s="225">
        <f t="shared" si="21"/>
        <v>4</v>
      </c>
      <c r="AD100" s="225">
        <f t="shared" si="22"/>
        <v>8</v>
      </c>
    </row>
    <row r="101" spans="1:31" ht="15.75" customHeight="1" x14ac:dyDescent="0.25">
      <c r="A101" s="16">
        <f t="shared" si="17"/>
        <v>100</v>
      </c>
      <c r="B101" s="164" t="s">
        <v>866</v>
      </c>
      <c r="C101" s="284">
        <v>1</v>
      </c>
      <c r="D101" s="453"/>
      <c r="E101" s="517"/>
      <c r="F101" s="376"/>
      <c r="G101" s="483"/>
      <c r="H101" s="376"/>
      <c r="I101" s="483"/>
      <c r="J101" s="376"/>
      <c r="K101" s="483"/>
      <c r="L101" s="376"/>
      <c r="M101" s="483"/>
      <c r="N101" s="574"/>
      <c r="O101" s="345">
        <f t="shared" si="18"/>
        <v>1</v>
      </c>
      <c r="P101" s="694">
        <f t="shared" si="12"/>
        <v>5</v>
      </c>
      <c r="Q101" s="169">
        <v>61</v>
      </c>
      <c r="R101" s="14" t="s">
        <v>455</v>
      </c>
      <c r="S101" s="81">
        <v>46447</v>
      </c>
      <c r="T101" s="316">
        <v>1</v>
      </c>
      <c r="U101" s="316"/>
      <c r="V101" s="81">
        <v>45627</v>
      </c>
      <c r="W101" s="14">
        <v>1</v>
      </c>
      <c r="X101" s="14">
        <v>1</v>
      </c>
      <c r="Y101" s="14"/>
      <c r="Z101" s="28">
        <v>1</v>
      </c>
      <c r="AA101" s="224">
        <f t="shared" si="19"/>
        <v>3</v>
      </c>
      <c r="AB101" s="225">
        <f t="shared" si="20"/>
        <v>0.75</v>
      </c>
      <c r="AC101" s="225">
        <f t="shared" si="21"/>
        <v>3</v>
      </c>
      <c r="AD101" s="225">
        <f t="shared" si="22"/>
        <v>6</v>
      </c>
    </row>
    <row r="102" spans="1:31" ht="15.75" customHeight="1" x14ac:dyDescent="0.25">
      <c r="A102" s="16">
        <f t="shared" si="17"/>
        <v>101</v>
      </c>
      <c r="B102" s="164" t="s">
        <v>978</v>
      </c>
      <c r="C102" s="284">
        <v>3</v>
      </c>
      <c r="D102" s="455">
        <v>1</v>
      </c>
      <c r="E102" s="520"/>
      <c r="F102" s="385"/>
      <c r="G102" s="509"/>
      <c r="H102" s="385"/>
      <c r="I102" s="509"/>
      <c r="J102" s="385"/>
      <c r="K102" s="509">
        <v>1</v>
      </c>
      <c r="L102" s="385"/>
      <c r="M102" s="509"/>
      <c r="N102" s="569"/>
      <c r="O102" s="345">
        <f t="shared" si="18"/>
        <v>1</v>
      </c>
      <c r="P102" s="694">
        <f t="shared" si="12"/>
        <v>3</v>
      </c>
      <c r="Q102" s="169">
        <v>61</v>
      </c>
      <c r="R102" s="14" t="s">
        <v>455</v>
      </c>
      <c r="S102" s="235">
        <v>46419</v>
      </c>
      <c r="T102" s="240">
        <v>0</v>
      </c>
      <c r="U102" s="240"/>
      <c r="V102" s="235">
        <v>45658</v>
      </c>
      <c r="W102" s="234">
        <v>1</v>
      </c>
      <c r="X102" s="234">
        <v>1</v>
      </c>
      <c r="Y102" s="234"/>
      <c r="Z102" s="234"/>
      <c r="AA102" s="224">
        <f t="shared" si="19"/>
        <v>2</v>
      </c>
      <c r="AB102" s="225">
        <f t="shared" si="20"/>
        <v>0.5</v>
      </c>
      <c r="AC102" s="225">
        <f t="shared" si="21"/>
        <v>2</v>
      </c>
      <c r="AD102" s="225">
        <f t="shared" si="22"/>
        <v>4</v>
      </c>
    </row>
    <row r="103" spans="1:31" ht="15.75" customHeight="1" x14ac:dyDescent="0.25">
      <c r="A103" s="16">
        <f t="shared" si="17"/>
        <v>102</v>
      </c>
      <c r="B103" s="164" t="s">
        <v>1354</v>
      </c>
      <c r="C103" s="284">
        <v>1</v>
      </c>
      <c r="D103" s="376"/>
      <c r="E103" s="483"/>
      <c r="F103" s="376"/>
      <c r="G103" s="483"/>
      <c r="H103" s="376"/>
      <c r="I103" s="483"/>
      <c r="J103" s="376"/>
      <c r="K103" s="483"/>
      <c r="L103" s="376"/>
      <c r="M103" s="483"/>
      <c r="N103" s="574"/>
      <c r="O103" s="345">
        <f t="shared" si="18"/>
        <v>1</v>
      </c>
      <c r="P103" s="102">
        <f t="shared" si="12"/>
        <v>-1</v>
      </c>
      <c r="Q103" s="169">
        <v>61</v>
      </c>
      <c r="R103" s="14" t="s">
        <v>455</v>
      </c>
      <c r="S103" s="81">
        <v>46447</v>
      </c>
      <c r="T103" s="14"/>
      <c r="U103" s="14"/>
      <c r="V103" s="81">
        <v>45658</v>
      </c>
      <c r="W103" s="14"/>
      <c r="X103" s="14"/>
      <c r="Y103" s="28"/>
      <c r="Z103" s="28"/>
      <c r="AA103" s="224">
        <f t="shared" si="19"/>
        <v>0</v>
      </c>
      <c r="AB103" s="225">
        <f t="shared" si="20"/>
        <v>0</v>
      </c>
      <c r="AC103" s="225">
        <f t="shared" si="21"/>
        <v>0</v>
      </c>
      <c r="AD103" s="225">
        <f t="shared" si="22"/>
        <v>0</v>
      </c>
    </row>
    <row r="104" spans="1:31" ht="15.75" customHeight="1" x14ac:dyDescent="0.25">
      <c r="A104" s="16">
        <f t="shared" si="17"/>
        <v>103</v>
      </c>
      <c r="B104" s="105" t="s">
        <v>1356</v>
      </c>
      <c r="C104" s="284">
        <v>1</v>
      </c>
      <c r="D104" s="376"/>
      <c r="E104" s="483"/>
      <c r="F104" s="376"/>
      <c r="G104" s="483"/>
      <c r="H104" s="376"/>
      <c r="I104" s="483"/>
      <c r="J104" s="376"/>
      <c r="K104" s="483"/>
      <c r="L104" s="376"/>
      <c r="M104" s="483"/>
      <c r="N104" s="574"/>
      <c r="O104" s="345">
        <f t="shared" si="18"/>
        <v>1</v>
      </c>
      <c r="P104" s="102">
        <f t="shared" si="12"/>
        <v>-1</v>
      </c>
      <c r="Q104" s="169">
        <v>61</v>
      </c>
      <c r="R104" s="14" t="s">
        <v>455</v>
      </c>
      <c r="S104" s="81">
        <v>46508</v>
      </c>
      <c r="T104" s="14"/>
      <c r="U104" s="14"/>
      <c r="V104" s="81">
        <v>45658</v>
      </c>
      <c r="W104" s="14"/>
      <c r="X104" s="14"/>
      <c r="Y104" s="14"/>
      <c r="Z104" s="28"/>
      <c r="AA104" s="224">
        <f t="shared" si="19"/>
        <v>0</v>
      </c>
      <c r="AB104" s="225">
        <f t="shared" si="20"/>
        <v>0</v>
      </c>
      <c r="AC104" s="225">
        <f t="shared" si="21"/>
        <v>0</v>
      </c>
      <c r="AD104" s="225">
        <f t="shared" si="22"/>
        <v>0</v>
      </c>
    </row>
    <row r="105" spans="1:31" ht="15.75" customHeight="1" x14ac:dyDescent="0.25">
      <c r="A105" s="16">
        <f t="shared" si="17"/>
        <v>104</v>
      </c>
      <c r="B105" s="164" t="s">
        <v>1377</v>
      </c>
      <c r="C105" s="284">
        <v>1</v>
      </c>
      <c r="D105" s="376"/>
      <c r="E105" s="483"/>
      <c r="F105" s="376"/>
      <c r="G105" s="483"/>
      <c r="H105" s="376"/>
      <c r="I105" s="483"/>
      <c r="J105" s="376"/>
      <c r="K105" s="483"/>
      <c r="L105" s="376"/>
      <c r="M105" s="483"/>
      <c r="N105" s="574"/>
      <c r="O105" s="345">
        <f t="shared" si="18"/>
        <v>1</v>
      </c>
      <c r="P105" s="102">
        <f t="shared" si="12"/>
        <v>-1</v>
      </c>
      <c r="Q105" s="169">
        <v>0</v>
      </c>
      <c r="R105" s="14" t="s">
        <v>455</v>
      </c>
      <c r="S105" s="81">
        <v>46204</v>
      </c>
      <c r="T105" s="14">
        <v>1</v>
      </c>
      <c r="U105" s="14"/>
      <c r="V105" s="81">
        <v>45658</v>
      </c>
      <c r="W105" s="14"/>
      <c r="X105" s="14"/>
      <c r="Y105" s="14"/>
      <c r="Z105" s="28"/>
      <c r="AA105" s="224">
        <f t="shared" si="19"/>
        <v>0</v>
      </c>
      <c r="AB105" s="225">
        <f t="shared" si="20"/>
        <v>0</v>
      </c>
      <c r="AC105" s="225">
        <f t="shared" si="21"/>
        <v>0</v>
      </c>
      <c r="AD105" s="225">
        <f t="shared" si="22"/>
        <v>0</v>
      </c>
    </row>
    <row r="106" spans="1:31" ht="15.75" customHeight="1" x14ac:dyDescent="0.25">
      <c r="A106" s="16">
        <f t="shared" si="17"/>
        <v>105</v>
      </c>
      <c r="B106" s="105" t="s">
        <v>1355</v>
      </c>
      <c r="C106" s="284">
        <v>1</v>
      </c>
      <c r="D106" s="376"/>
      <c r="E106" s="483"/>
      <c r="F106" s="376"/>
      <c r="G106" s="483"/>
      <c r="H106" s="376"/>
      <c r="I106" s="483"/>
      <c r="J106" s="376"/>
      <c r="K106" s="483"/>
      <c r="L106" s="376"/>
      <c r="M106" s="483"/>
      <c r="N106" s="574"/>
      <c r="O106" s="345">
        <f t="shared" si="18"/>
        <v>1</v>
      </c>
      <c r="P106" s="102">
        <f t="shared" si="12"/>
        <v>-1</v>
      </c>
      <c r="Q106" s="169">
        <v>61</v>
      </c>
      <c r="R106" s="14" t="s">
        <v>455</v>
      </c>
      <c r="S106" s="81">
        <v>46082</v>
      </c>
      <c r="T106" s="14"/>
      <c r="U106" s="14"/>
      <c r="V106" s="81">
        <v>45658</v>
      </c>
      <c r="W106" s="14"/>
      <c r="X106" s="14"/>
      <c r="Y106" s="28"/>
      <c r="Z106" s="28"/>
      <c r="AA106" s="224">
        <f t="shared" si="19"/>
        <v>0</v>
      </c>
      <c r="AB106" s="225">
        <f t="shared" si="20"/>
        <v>0</v>
      </c>
      <c r="AC106" s="225">
        <f t="shared" si="21"/>
        <v>0</v>
      </c>
      <c r="AD106" s="225">
        <f t="shared" si="22"/>
        <v>0</v>
      </c>
    </row>
    <row r="107" spans="1:31" ht="15.75" customHeight="1" x14ac:dyDescent="0.25">
      <c r="A107" s="16">
        <f t="shared" si="17"/>
        <v>106</v>
      </c>
      <c r="B107" s="315" t="s">
        <v>1353</v>
      </c>
      <c r="C107" s="284">
        <v>1</v>
      </c>
      <c r="D107" s="376"/>
      <c r="E107" s="483"/>
      <c r="F107" s="376"/>
      <c r="G107" s="483"/>
      <c r="H107" s="376"/>
      <c r="I107" s="483"/>
      <c r="J107" s="376"/>
      <c r="K107" s="483"/>
      <c r="L107" s="376"/>
      <c r="M107" s="483"/>
      <c r="N107" s="574"/>
      <c r="O107" s="345">
        <f t="shared" si="18"/>
        <v>1</v>
      </c>
      <c r="P107" s="102">
        <f t="shared" si="12"/>
        <v>-1</v>
      </c>
      <c r="Q107" s="169">
        <v>61</v>
      </c>
      <c r="R107" s="14" t="s">
        <v>455</v>
      </c>
      <c r="S107" s="81">
        <v>46266</v>
      </c>
      <c r="T107" s="14"/>
      <c r="U107" s="14"/>
      <c r="V107" s="81">
        <v>45658</v>
      </c>
      <c r="W107" s="14"/>
      <c r="X107" s="14"/>
      <c r="Y107" s="28"/>
      <c r="Z107" s="28"/>
      <c r="AA107" s="224">
        <f t="shared" si="19"/>
        <v>0</v>
      </c>
      <c r="AB107" s="225">
        <f t="shared" si="20"/>
        <v>0</v>
      </c>
      <c r="AC107" s="225">
        <f t="shared" si="21"/>
        <v>0</v>
      </c>
      <c r="AD107" s="225">
        <f t="shared" si="22"/>
        <v>0</v>
      </c>
    </row>
    <row r="108" spans="1:31" ht="15.75" customHeight="1" x14ac:dyDescent="0.25">
      <c r="A108" s="16">
        <f t="shared" si="17"/>
        <v>107</v>
      </c>
      <c r="B108" s="164" t="s">
        <v>389</v>
      </c>
      <c r="C108" s="284">
        <v>5</v>
      </c>
      <c r="D108" s="452"/>
      <c r="E108" s="513"/>
      <c r="F108" s="383"/>
      <c r="G108" s="508"/>
      <c r="H108" s="383"/>
      <c r="I108" s="508"/>
      <c r="J108" s="383"/>
      <c r="K108" s="508"/>
      <c r="L108" s="383"/>
      <c r="M108" s="508"/>
      <c r="N108" s="573"/>
      <c r="O108" s="345">
        <f t="shared" si="18"/>
        <v>5</v>
      </c>
      <c r="P108" s="694">
        <f t="shared" si="12"/>
        <v>3</v>
      </c>
      <c r="Q108" s="169">
        <v>30</v>
      </c>
      <c r="R108" s="102" t="s">
        <v>364</v>
      </c>
      <c r="S108" s="228">
        <v>46508</v>
      </c>
      <c r="T108" s="320">
        <v>5</v>
      </c>
      <c r="U108" s="320"/>
      <c r="V108" s="228">
        <v>45597</v>
      </c>
      <c r="W108" s="222">
        <v>1</v>
      </c>
      <c r="X108" s="223">
        <v>1</v>
      </c>
      <c r="Y108" s="223">
        <v>1</v>
      </c>
      <c r="Z108" s="223">
        <v>1</v>
      </c>
      <c r="AA108" s="224">
        <f t="shared" si="19"/>
        <v>4</v>
      </c>
      <c r="AB108" s="225">
        <f t="shared" si="20"/>
        <v>1</v>
      </c>
      <c r="AC108" s="225">
        <f t="shared" si="21"/>
        <v>4</v>
      </c>
      <c r="AD108" s="225">
        <f t="shared" si="22"/>
        <v>8</v>
      </c>
    </row>
    <row r="109" spans="1:31" x14ac:dyDescent="0.25">
      <c r="A109" s="16">
        <f t="shared" si="17"/>
        <v>108</v>
      </c>
      <c r="B109" s="164" t="s">
        <v>390</v>
      </c>
      <c r="C109" s="284">
        <v>3</v>
      </c>
      <c r="D109" s="452"/>
      <c r="E109" s="513"/>
      <c r="F109" s="383"/>
      <c r="G109" s="508">
        <v>1</v>
      </c>
      <c r="H109" s="383"/>
      <c r="I109" s="508"/>
      <c r="J109" s="383"/>
      <c r="K109" s="508"/>
      <c r="L109" s="383"/>
      <c r="M109" s="508"/>
      <c r="N109" s="573"/>
      <c r="O109" s="345">
        <f t="shared" si="18"/>
        <v>2</v>
      </c>
      <c r="P109" s="694">
        <f t="shared" si="12"/>
        <v>6</v>
      </c>
      <c r="Q109" s="169">
        <v>16</v>
      </c>
      <c r="R109" s="102" t="s">
        <v>364</v>
      </c>
      <c r="S109" s="228">
        <v>46508</v>
      </c>
      <c r="T109" s="320">
        <v>4</v>
      </c>
      <c r="U109" s="320"/>
      <c r="V109" s="228">
        <v>45597</v>
      </c>
      <c r="W109" s="222">
        <v>1</v>
      </c>
      <c r="X109" s="223">
        <v>1</v>
      </c>
      <c r="Y109" s="223">
        <v>1</v>
      </c>
      <c r="Z109" s="223">
        <v>1</v>
      </c>
      <c r="AA109" s="224">
        <f t="shared" si="19"/>
        <v>4</v>
      </c>
      <c r="AB109" s="225">
        <f t="shared" si="20"/>
        <v>1</v>
      </c>
      <c r="AC109" s="225">
        <f t="shared" si="21"/>
        <v>4</v>
      </c>
      <c r="AD109" s="225">
        <f t="shared" si="22"/>
        <v>8</v>
      </c>
    </row>
    <row r="110" spans="1:31" ht="15.75" customHeight="1" x14ac:dyDescent="0.25">
      <c r="A110" s="16">
        <f t="shared" si="17"/>
        <v>109</v>
      </c>
      <c r="B110" s="164" t="s">
        <v>391</v>
      </c>
      <c r="C110" s="617">
        <v>2</v>
      </c>
      <c r="D110" s="632"/>
      <c r="E110" s="633"/>
      <c r="F110" s="634"/>
      <c r="G110" s="635"/>
      <c r="H110" s="634"/>
      <c r="I110" s="635"/>
      <c r="J110" s="636"/>
      <c r="K110" s="637"/>
      <c r="L110" s="634"/>
      <c r="M110" s="635"/>
      <c r="N110" s="638"/>
      <c r="O110" s="345">
        <f t="shared" si="18"/>
        <v>2</v>
      </c>
      <c r="P110" s="694">
        <f t="shared" si="12"/>
        <v>6</v>
      </c>
      <c r="Q110" s="619">
        <v>22</v>
      </c>
      <c r="R110" s="618" t="s">
        <v>364</v>
      </c>
      <c r="S110" s="641"/>
      <c r="T110" s="642">
        <v>2</v>
      </c>
      <c r="U110" s="642"/>
      <c r="V110" s="645">
        <v>45474</v>
      </c>
      <c r="W110" s="623">
        <v>1</v>
      </c>
      <c r="X110" s="620">
        <v>1</v>
      </c>
      <c r="Y110" s="620">
        <v>1</v>
      </c>
      <c r="Z110" s="620">
        <v>1</v>
      </c>
      <c r="AA110" s="621">
        <f t="shared" si="19"/>
        <v>4</v>
      </c>
      <c r="AB110" s="622">
        <f t="shared" si="20"/>
        <v>1</v>
      </c>
      <c r="AC110" s="622">
        <f t="shared" si="21"/>
        <v>4</v>
      </c>
      <c r="AD110" s="622">
        <f t="shared" si="22"/>
        <v>8</v>
      </c>
    </row>
    <row r="111" spans="1:31" x14ac:dyDescent="0.25">
      <c r="A111" s="329">
        <f t="shared" si="17"/>
        <v>110</v>
      </c>
      <c r="B111" s="164" t="s">
        <v>392</v>
      </c>
      <c r="C111" s="284">
        <v>2</v>
      </c>
      <c r="D111" s="452"/>
      <c r="E111" s="513"/>
      <c r="F111" s="383"/>
      <c r="G111" s="508"/>
      <c r="H111" s="383"/>
      <c r="I111" s="508"/>
      <c r="J111" s="398"/>
      <c r="K111" s="524"/>
      <c r="L111" s="383"/>
      <c r="M111" s="508"/>
      <c r="N111" s="573"/>
      <c r="O111" s="345">
        <f t="shared" si="18"/>
        <v>2</v>
      </c>
      <c r="P111" s="694">
        <f t="shared" si="12"/>
        <v>6</v>
      </c>
      <c r="Q111" s="169">
        <v>12</v>
      </c>
      <c r="R111" s="618" t="s">
        <v>364</v>
      </c>
      <c r="S111" s="227"/>
      <c r="T111" s="320">
        <v>7</v>
      </c>
      <c r="U111" s="320"/>
      <c r="V111" s="228">
        <v>45474</v>
      </c>
      <c r="W111" s="222">
        <v>1</v>
      </c>
      <c r="X111" s="223">
        <v>1</v>
      </c>
      <c r="Y111" s="223">
        <v>1</v>
      </c>
      <c r="Z111" s="223">
        <v>1</v>
      </c>
      <c r="AA111" s="621">
        <f t="shared" si="19"/>
        <v>4</v>
      </c>
      <c r="AB111" s="622">
        <f t="shared" si="20"/>
        <v>1</v>
      </c>
      <c r="AC111" s="622">
        <f t="shared" si="21"/>
        <v>4</v>
      </c>
      <c r="AD111" s="622">
        <f t="shared" si="22"/>
        <v>8</v>
      </c>
      <c r="AE111" s="16"/>
    </row>
    <row r="112" spans="1:31" ht="15.75" customHeight="1" x14ac:dyDescent="0.25">
      <c r="A112" s="329">
        <f t="shared" ref="A112:A119" si="23">A111+1</f>
        <v>111</v>
      </c>
      <c r="B112" s="164" t="s">
        <v>393</v>
      </c>
      <c r="C112" s="284">
        <v>4</v>
      </c>
      <c r="D112" s="452"/>
      <c r="E112" s="513"/>
      <c r="F112" s="383"/>
      <c r="G112" s="508"/>
      <c r="H112" s="383"/>
      <c r="I112" s="508"/>
      <c r="J112" s="383"/>
      <c r="K112" s="508"/>
      <c r="L112" s="383"/>
      <c r="M112" s="508"/>
      <c r="N112" s="573"/>
      <c r="O112" s="345">
        <f t="shared" si="18"/>
        <v>4</v>
      </c>
      <c r="P112" s="694">
        <f t="shared" si="12"/>
        <v>10</v>
      </c>
      <c r="Q112" s="169">
        <v>15</v>
      </c>
      <c r="R112" s="618" t="s">
        <v>364</v>
      </c>
      <c r="S112" s="227"/>
      <c r="T112" s="320">
        <v>0</v>
      </c>
      <c r="U112" s="320"/>
      <c r="V112" s="228">
        <v>45627</v>
      </c>
      <c r="W112" s="222">
        <v>1</v>
      </c>
      <c r="X112" s="223">
        <v>1</v>
      </c>
      <c r="Y112" s="223">
        <v>1</v>
      </c>
      <c r="Z112" s="223">
        <v>4</v>
      </c>
      <c r="AA112" s="621">
        <f t="shared" si="19"/>
        <v>7</v>
      </c>
      <c r="AB112" s="622">
        <f t="shared" si="20"/>
        <v>1.75</v>
      </c>
      <c r="AC112" s="622">
        <f t="shared" si="21"/>
        <v>7</v>
      </c>
      <c r="AD112" s="622">
        <f t="shared" si="22"/>
        <v>14</v>
      </c>
      <c r="AE112" s="16"/>
    </row>
    <row r="113" spans="1:31" ht="15.75" customHeight="1" x14ac:dyDescent="0.25">
      <c r="A113" s="329">
        <f t="shared" si="23"/>
        <v>112</v>
      </c>
      <c r="B113" s="164" t="s">
        <v>394</v>
      </c>
      <c r="C113" s="284">
        <v>5</v>
      </c>
      <c r="D113" s="452"/>
      <c r="E113" s="513"/>
      <c r="F113" s="383"/>
      <c r="G113" s="508"/>
      <c r="H113" s="383"/>
      <c r="I113" s="508"/>
      <c r="J113" s="383"/>
      <c r="K113" s="508"/>
      <c r="L113" s="383">
        <v>1</v>
      </c>
      <c r="M113" s="508"/>
      <c r="N113" s="573"/>
      <c r="O113" s="345">
        <f t="shared" si="18"/>
        <v>4</v>
      </c>
      <c r="P113" s="694">
        <f t="shared" si="12"/>
        <v>4</v>
      </c>
      <c r="Q113" s="169">
        <v>8</v>
      </c>
      <c r="R113" s="618" t="s">
        <v>364</v>
      </c>
      <c r="S113" s="227"/>
      <c r="T113" s="646">
        <v>0</v>
      </c>
      <c r="U113" s="320"/>
      <c r="V113" s="228">
        <v>45627</v>
      </c>
      <c r="W113" s="222">
        <v>1</v>
      </c>
      <c r="X113" s="223">
        <v>1</v>
      </c>
      <c r="Y113" s="223">
        <v>1</v>
      </c>
      <c r="Z113" s="223">
        <v>1</v>
      </c>
      <c r="AA113" s="621">
        <f t="shared" si="19"/>
        <v>4</v>
      </c>
      <c r="AB113" s="622">
        <f t="shared" si="20"/>
        <v>1</v>
      </c>
      <c r="AC113" s="622">
        <f t="shared" si="21"/>
        <v>4</v>
      </c>
      <c r="AD113" s="622">
        <f t="shared" si="22"/>
        <v>8</v>
      </c>
      <c r="AE113" s="16"/>
    </row>
    <row r="114" spans="1:31" ht="15.75" customHeight="1" x14ac:dyDescent="0.25">
      <c r="A114" s="329">
        <f t="shared" si="23"/>
        <v>113</v>
      </c>
      <c r="B114" s="164" t="s">
        <v>509</v>
      </c>
      <c r="C114" s="284">
        <v>23</v>
      </c>
      <c r="D114" s="454"/>
      <c r="E114" s="518"/>
      <c r="F114" s="388"/>
      <c r="G114" s="507"/>
      <c r="H114" s="388"/>
      <c r="I114" s="507"/>
      <c r="J114" s="388"/>
      <c r="K114" s="507"/>
      <c r="L114" s="388"/>
      <c r="M114" s="507"/>
      <c r="N114" s="571"/>
      <c r="O114" s="345">
        <f t="shared" ref="O114:O120" si="24">SUM(C114-D114-E114-F114-G114-H114-I114-J114-K114-L114-M114-N114)</f>
        <v>23</v>
      </c>
      <c r="P114" s="102">
        <f t="shared" si="12"/>
        <v>-11</v>
      </c>
      <c r="Q114" s="169">
        <v>41</v>
      </c>
      <c r="R114" s="618" t="s">
        <v>881</v>
      </c>
      <c r="S114" s="235"/>
      <c r="T114" s="275">
        <v>102</v>
      </c>
      <c r="U114" s="275"/>
      <c r="V114" s="221">
        <v>45566</v>
      </c>
      <c r="W114" s="222">
        <v>2</v>
      </c>
      <c r="X114" s="223">
        <v>1</v>
      </c>
      <c r="Y114" s="223">
        <v>1</v>
      </c>
      <c r="Z114" s="223">
        <v>2</v>
      </c>
      <c r="AA114" s="621">
        <f t="shared" si="19"/>
        <v>6</v>
      </c>
      <c r="AB114" s="622">
        <f t="shared" si="20"/>
        <v>1.5</v>
      </c>
      <c r="AC114" s="622">
        <f t="shared" si="21"/>
        <v>6</v>
      </c>
      <c r="AD114" s="622">
        <f t="shared" si="22"/>
        <v>12</v>
      </c>
      <c r="AE114" s="16"/>
    </row>
    <row r="115" spans="1:31" ht="15.75" customHeight="1" x14ac:dyDescent="0.25">
      <c r="A115" s="329">
        <f t="shared" si="23"/>
        <v>114</v>
      </c>
      <c r="B115" s="314" t="s">
        <v>397</v>
      </c>
      <c r="C115" s="340">
        <v>3</v>
      </c>
      <c r="D115" s="380"/>
      <c r="E115" s="515"/>
      <c r="F115" s="380"/>
      <c r="G115" s="515"/>
      <c r="H115" s="380"/>
      <c r="I115" s="515"/>
      <c r="J115" s="380"/>
      <c r="K115" s="515"/>
      <c r="L115" s="380"/>
      <c r="M115" s="515"/>
      <c r="N115" s="580"/>
      <c r="O115" s="340">
        <f t="shared" si="24"/>
        <v>3</v>
      </c>
      <c r="P115" s="694">
        <f t="shared" si="12"/>
        <v>11</v>
      </c>
      <c r="Q115" s="133">
        <v>13</v>
      </c>
      <c r="R115" s="28" t="s">
        <v>226</v>
      </c>
      <c r="S115" s="28"/>
      <c r="T115" s="316">
        <v>24</v>
      </c>
      <c r="U115" s="316">
        <v>12</v>
      </c>
      <c r="V115" s="118">
        <v>45717</v>
      </c>
      <c r="W115" s="309">
        <v>1</v>
      </c>
      <c r="X115" s="309">
        <v>2</v>
      </c>
      <c r="Y115" s="309">
        <v>2</v>
      </c>
      <c r="Z115" s="309">
        <v>2</v>
      </c>
      <c r="AA115" s="675">
        <f t="shared" si="19"/>
        <v>7</v>
      </c>
      <c r="AB115" s="675">
        <f t="shared" si="20"/>
        <v>1.75</v>
      </c>
      <c r="AC115" s="675">
        <f t="shared" si="21"/>
        <v>7</v>
      </c>
      <c r="AD115" s="675">
        <f t="shared" si="22"/>
        <v>14</v>
      </c>
      <c r="AE115" s="16"/>
    </row>
    <row r="116" spans="1:31" ht="15.75" customHeight="1" x14ac:dyDescent="0.25">
      <c r="A116" s="329">
        <f t="shared" si="23"/>
        <v>115</v>
      </c>
      <c r="B116" s="164" t="s">
        <v>890</v>
      </c>
      <c r="C116" s="284">
        <v>4</v>
      </c>
      <c r="D116" s="452"/>
      <c r="E116" s="513"/>
      <c r="F116" s="383"/>
      <c r="G116" s="508"/>
      <c r="H116" s="383"/>
      <c r="I116" s="508">
        <v>1</v>
      </c>
      <c r="J116" s="383"/>
      <c r="K116" s="508"/>
      <c r="L116" s="383"/>
      <c r="M116" s="508"/>
      <c r="N116" s="573"/>
      <c r="O116" s="345">
        <f t="shared" si="24"/>
        <v>3</v>
      </c>
      <c r="P116" s="694">
        <f t="shared" si="12"/>
        <v>9</v>
      </c>
      <c r="Q116" s="169">
        <v>14</v>
      </c>
      <c r="R116" s="102" t="s">
        <v>226</v>
      </c>
      <c r="S116" s="227">
        <v>46113</v>
      </c>
      <c r="T116" s="320">
        <v>20</v>
      </c>
      <c r="U116" s="320">
        <v>24</v>
      </c>
      <c r="V116" s="228">
        <v>45717</v>
      </c>
      <c r="W116" s="222">
        <v>3</v>
      </c>
      <c r="X116" s="223">
        <v>1</v>
      </c>
      <c r="Y116" s="223">
        <v>1</v>
      </c>
      <c r="Z116" s="223">
        <v>1</v>
      </c>
      <c r="AA116" s="621">
        <f t="shared" si="19"/>
        <v>6</v>
      </c>
      <c r="AB116" s="622">
        <f t="shared" si="20"/>
        <v>1.5</v>
      </c>
      <c r="AC116" s="622">
        <f t="shared" si="21"/>
        <v>6</v>
      </c>
      <c r="AD116" s="622">
        <f t="shared" si="22"/>
        <v>12</v>
      </c>
      <c r="AE116" s="16"/>
    </row>
    <row r="117" spans="1:31" ht="15.75" customHeight="1" x14ac:dyDescent="0.25">
      <c r="A117" s="329">
        <f t="shared" si="23"/>
        <v>116</v>
      </c>
      <c r="B117" s="164" t="s">
        <v>973</v>
      </c>
      <c r="C117" s="284">
        <v>0</v>
      </c>
      <c r="D117" s="452"/>
      <c r="E117" s="514"/>
      <c r="F117" s="383"/>
      <c r="G117" s="508"/>
      <c r="H117" s="383"/>
      <c r="I117" s="508"/>
      <c r="J117" s="388"/>
      <c r="K117" s="507"/>
      <c r="L117" s="383"/>
      <c r="M117" s="508"/>
      <c r="N117" s="573"/>
      <c r="O117" s="345">
        <f t="shared" si="24"/>
        <v>0</v>
      </c>
      <c r="P117" s="694">
        <f t="shared" si="12"/>
        <v>2</v>
      </c>
      <c r="Q117" s="186">
        <v>14</v>
      </c>
      <c r="R117" s="102" t="s">
        <v>226</v>
      </c>
      <c r="S117" s="227"/>
      <c r="T117" s="320">
        <v>5</v>
      </c>
      <c r="U117" s="320"/>
      <c r="V117" s="227">
        <v>45505</v>
      </c>
      <c r="W117" s="223">
        <v>1</v>
      </c>
      <c r="X117" s="223"/>
      <c r="Y117" s="223"/>
      <c r="Z117" s="223"/>
      <c r="AA117" s="621">
        <f t="shared" si="19"/>
        <v>1</v>
      </c>
      <c r="AB117" s="622">
        <f t="shared" si="20"/>
        <v>0.25</v>
      </c>
      <c r="AC117" s="622">
        <f t="shared" si="21"/>
        <v>1</v>
      </c>
      <c r="AD117" s="622">
        <f t="shared" si="22"/>
        <v>2</v>
      </c>
      <c r="AE117" s="16"/>
    </row>
    <row r="118" spans="1:31" x14ac:dyDescent="0.25">
      <c r="A118" s="329">
        <f t="shared" si="23"/>
        <v>117</v>
      </c>
      <c r="B118" s="164" t="s">
        <v>797</v>
      </c>
      <c r="C118" s="28">
        <v>2</v>
      </c>
      <c r="D118" s="453"/>
      <c r="E118" s="517"/>
      <c r="F118" s="376"/>
      <c r="G118" s="483"/>
      <c r="H118" s="376"/>
      <c r="I118" s="483"/>
      <c r="J118" s="376"/>
      <c r="K118" s="483"/>
      <c r="L118" s="376"/>
      <c r="M118" s="483"/>
      <c r="N118" s="574"/>
      <c r="O118" s="345">
        <f t="shared" si="24"/>
        <v>2</v>
      </c>
      <c r="P118" s="694">
        <f t="shared" si="12"/>
        <v>2</v>
      </c>
      <c r="Q118" s="169">
        <v>15</v>
      </c>
      <c r="R118" s="14" t="s">
        <v>356</v>
      </c>
      <c r="S118" s="14"/>
      <c r="T118" s="14">
        <v>2</v>
      </c>
      <c r="U118" s="14"/>
      <c r="V118" s="81">
        <v>45323</v>
      </c>
      <c r="W118" s="14"/>
      <c r="X118" s="14"/>
      <c r="Y118" s="28"/>
      <c r="Z118" s="28">
        <v>2</v>
      </c>
      <c r="AA118" s="621">
        <f t="shared" si="19"/>
        <v>2</v>
      </c>
      <c r="AB118" s="622">
        <f t="shared" si="20"/>
        <v>0.5</v>
      </c>
      <c r="AC118" s="622">
        <f t="shared" si="21"/>
        <v>2</v>
      </c>
      <c r="AD118" s="622">
        <f t="shared" si="22"/>
        <v>4</v>
      </c>
      <c r="AE118" s="16"/>
    </row>
    <row r="119" spans="1:31" ht="15.75" customHeight="1" x14ac:dyDescent="0.25">
      <c r="A119" s="329">
        <f t="shared" si="23"/>
        <v>118</v>
      </c>
      <c r="B119" s="164" t="s">
        <v>704</v>
      </c>
      <c r="C119" s="284">
        <v>1</v>
      </c>
      <c r="D119" s="452"/>
      <c r="E119" s="514"/>
      <c r="F119" s="383"/>
      <c r="G119" s="508"/>
      <c r="H119" s="383"/>
      <c r="I119" s="508"/>
      <c r="J119" s="383"/>
      <c r="K119" s="508"/>
      <c r="L119" s="383"/>
      <c r="M119" s="508"/>
      <c r="N119" s="573"/>
      <c r="O119" s="345">
        <f t="shared" si="24"/>
        <v>1</v>
      </c>
      <c r="P119" s="694">
        <f t="shared" si="12"/>
        <v>5</v>
      </c>
      <c r="Q119" s="169">
        <v>28</v>
      </c>
      <c r="R119" s="102" t="s">
        <v>364</v>
      </c>
      <c r="S119" s="227"/>
      <c r="T119" s="320">
        <v>2</v>
      </c>
      <c r="U119" s="320"/>
      <c r="V119" s="227">
        <v>45658</v>
      </c>
      <c r="W119" s="223">
        <v>1</v>
      </c>
      <c r="X119" s="223"/>
      <c r="Y119" s="223">
        <v>1</v>
      </c>
      <c r="Z119" s="223">
        <v>1</v>
      </c>
      <c r="AA119" s="621">
        <f t="shared" si="19"/>
        <v>3</v>
      </c>
      <c r="AB119" s="622">
        <f t="shared" si="20"/>
        <v>0.75</v>
      </c>
      <c r="AC119" s="622">
        <f t="shared" si="21"/>
        <v>3</v>
      </c>
      <c r="AD119" s="622">
        <f t="shared" si="22"/>
        <v>6</v>
      </c>
      <c r="AE119" s="16"/>
    </row>
    <row r="120" spans="1:31" x14ac:dyDescent="0.25">
      <c r="A120" s="602">
        <f>A119+1</f>
        <v>119</v>
      </c>
      <c r="B120" s="164" t="s">
        <v>1334</v>
      </c>
      <c r="C120" s="284">
        <v>1</v>
      </c>
      <c r="D120" s="452"/>
      <c r="E120" s="514"/>
      <c r="F120" s="383"/>
      <c r="G120" s="508"/>
      <c r="H120" s="383"/>
      <c r="I120" s="508"/>
      <c r="J120" s="383"/>
      <c r="K120" s="508"/>
      <c r="L120" s="383"/>
      <c r="M120" s="508"/>
      <c r="N120" s="573"/>
      <c r="O120" s="345">
        <f t="shared" si="24"/>
        <v>1</v>
      </c>
      <c r="P120" s="694">
        <f t="shared" si="12"/>
        <v>3</v>
      </c>
      <c r="Q120" s="169">
        <v>12</v>
      </c>
      <c r="R120" s="223" t="s">
        <v>226</v>
      </c>
      <c r="S120" s="227">
        <v>46204</v>
      </c>
      <c r="T120" s="320">
        <v>2</v>
      </c>
      <c r="U120" s="320"/>
      <c r="V120" s="227">
        <v>45658</v>
      </c>
      <c r="W120" s="223"/>
      <c r="X120" s="223">
        <v>1</v>
      </c>
      <c r="Y120" s="223">
        <v>1</v>
      </c>
      <c r="Z120" s="223"/>
      <c r="AA120" s="224">
        <f t="shared" si="19"/>
        <v>2</v>
      </c>
      <c r="AB120" s="225">
        <f t="shared" si="20"/>
        <v>0.5</v>
      </c>
      <c r="AC120" s="225">
        <f t="shared" si="21"/>
        <v>2</v>
      </c>
      <c r="AD120" s="225">
        <f t="shared" si="22"/>
        <v>4</v>
      </c>
      <c r="AE120" s="16"/>
    </row>
    <row r="121" spans="1:31" x14ac:dyDescent="0.25">
      <c r="B121" s="315"/>
      <c r="C121" s="28"/>
      <c r="D121" s="376"/>
      <c r="E121" s="483"/>
      <c r="F121" s="376"/>
      <c r="G121" s="483"/>
      <c r="H121" s="376"/>
      <c r="I121" s="483"/>
      <c r="J121" s="376"/>
      <c r="K121" s="483"/>
      <c r="L121" s="376"/>
      <c r="M121" s="483"/>
      <c r="N121" s="574"/>
      <c r="O121" s="14"/>
      <c r="P121" s="223"/>
      <c r="Q121" s="28"/>
      <c r="R121" s="14"/>
      <c r="S121" s="14"/>
      <c r="T121" s="14"/>
      <c r="U121" s="14"/>
      <c r="V121" s="14"/>
      <c r="W121" s="14"/>
      <c r="X121" s="14"/>
      <c r="Y121" s="14"/>
      <c r="Z121" s="28"/>
      <c r="AA121" s="135"/>
      <c r="AB121" s="132"/>
      <c r="AC121" s="135"/>
      <c r="AD121" s="132"/>
      <c r="AE121" s="16"/>
    </row>
    <row r="122" spans="1:31" x14ac:dyDescent="0.25">
      <c r="B122" s="315"/>
      <c r="C122" s="28"/>
      <c r="D122" s="376"/>
      <c r="E122" s="483"/>
      <c r="F122" s="376"/>
      <c r="G122" s="483"/>
      <c r="H122" s="376"/>
      <c r="I122" s="483"/>
      <c r="J122" s="376"/>
      <c r="K122" s="483"/>
      <c r="L122" s="376"/>
      <c r="M122" s="483"/>
      <c r="N122" s="574"/>
      <c r="O122" s="14"/>
      <c r="P122" s="223"/>
      <c r="Q122" s="28"/>
      <c r="R122" s="14"/>
      <c r="S122" s="14"/>
      <c r="T122" s="14"/>
      <c r="U122" s="14"/>
      <c r="V122" s="14"/>
      <c r="W122" s="14"/>
      <c r="X122" s="14"/>
      <c r="Y122" s="14"/>
      <c r="Z122" s="28"/>
      <c r="AA122" s="135"/>
      <c r="AB122" s="132"/>
      <c r="AC122" s="135"/>
      <c r="AD122" s="132"/>
      <c r="AE122" s="16"/>
    </row>
    <row r="123" spans="1:31" x14ac:dyDescent="0.25">
      <c r="B123" s="315"/>
      <c r="C123" s="28"/>
      <c r="D123" s="376"/>
      <c r="E123" s="483"/>
      <c r="F123" s="376"/>
      <c r="G123" s="483"/>
      <c r="H123" s="376"/>
      <c r="I123" s="483"/>
      <c r="J123" s="376"/>
      <c r="K123" s="483"/>
      <c r="L123" s="376"/>
      <c r="M123" s="483"/>
      <c r="N123" s="574"/>
      <c r="O123" s="14"/>
      <c r="P123" s="223"/>
      <c r="Q123" s="28"/>
      <c r="R123" s="14"/>
      <c r="S123" s="14"/>
      <c r="T123" s="14"/>
      <c r="U123" s="14"/>
      <c r="V123" s="14"/>
      <c r="W123" s="14"/>
      <c r="X123" s="14"/>
      <c r="Y123" s="14"/>
      <c r="Z123" s="28"/>
      <c r="AA123" s="135"/>
      <c r="AB123" s="132"/>
      <c r="AC123" s="135"/>
      <c r="AD123" s="132"/>
      <c r="AE123" s="16"/>
    </row>
  </sheetData>
  <autoFilter ref="A1:AE121"/>
  <sortState ref="B2:AD120">
    <sortCondition ref="B2"/>
  </sortState>
  <pageMargins left="0.70866141732283472" right="0.70866141732283472" top="0.74803149606299213" bottom="0.74803149606299213" header="0.31496062992125984" footer="0.31496062992125984"/>
  <pageSetup paperSize="9" scale="70" fitToWidth="0" fitToHeight="0" orientation="portrait" horizontalDpi="4294967293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Q369"/>
  <sheetViews>
    <sheetView workbookViewId="0">
      <selection activeCell="H30" sqref="H30"/>
    </sheetView>
  </sheetViews>
  <sheetFormatPr baseColWidth="10" defaultRowHeight="15" x14ac:dyDescent="0.25"/>
  <cols>
    <col min="1" max="1" width="4.42578125" style="13" customWidth="1"/>
    <col min="2" max="2" width="46.28515625" style="16" bestFit="1" customWidth="1"/>
    <col min="3" max="3" width="8.28515625" style="28" customWidth="1"/>
    <col min="4" max="4" width="9.85546875" style="27" customWidth="1"/>
    <col min="5" max="5" width="8.5703125" style="44" customWidth="1"/>
    <col min="6" max="6" width="8.42578125" style="26" bestFit="1" customWidth="1"/>
    <col min="7" max="7" width="13.85546875" style="25" customWidth="1"/>
    <col min="8" max="8" width="13" style="24" bestFit="1" customWidth="1"/>
  </cols>
  <sheetData>
    <row r="1" spans="1:8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3">
        <v>1</v>
      </c>
      <c r="B2" s="4" t="s">
        <v>810</v>
      </c>
      <c r="C2" s="339">
        <v>1</v>
      </c>
      <c r="D2" s="15">
        <v>25</v>
      </c>
      <c r="E2" s="7">
        <v>47</v>
      </c>
      <c r="F2" s="26">
        <f t="shared" ref="F2:F27" si="0">(E2-D2)/(E2)</f>
        <v>0.46808510638297873</v>
      </c>
      <c r="G2" s="30">
        <f t="shared" ref="G2:G27" si="1">D2*C2</f>
        <v>25</v>
      </c>
      <c r="H2" s="25">
        <f t="shared" ref="H2:H27" si="2">E2*C2</f>
        <v>47</v>
      </c>
    </row>
    <row r="3" spans="1:8" x14ac:dyDescent="0.25">
      <c r="A3" s="13">
        <f>A2+1</f>
        <v>2</v>
      </c>
      <c r="B3" s="4" t="s">
        <v>802</v>
      </c>
      <c r="C3" s="340">
        <v>2</v>
      </c>
      <c r="D3" s="15">
        <v>9.1</v>
      </c>
      <c r="E3" s="7">
        <v>15</v>
      </c>
      <c r="F3" s="26">
        <f t="shared" si="0"/>
        <v>0.39333333333333337</v>
      </c>
      <c r="G3" s="30">
        <f t="shared" si="1"/>
        <v>18.2</v>
      </c>
      <c r="H3" s="25">
        <f t="shared" si="2"/>
        <v>30</v>
      </c>
    </row>
    <row r="4" spans="1:8" x14ac:dyDescent="0.25">
      <c r="A4" s="13">
        <f t="shared" ref="A4:A42" si="3">A3+1</f>
        <v>3</v>
      </c>
      <c r="B4" s="4" t="s">
        <v>478</v>
      </c>
      <c r="C4" s="340">
        <v>1</v>
      </c>
      <c r="D4" s="15">
        <v>39.85</v>
      </c>
      <c r="E4" s="7">
        <v>68</v>
      </c>
      <c r="F4" s="26">
        <f t="shared" si="0"/>
        <v>0.41397058823529409</v>
      </c>
      <c r="G4" s="30">
        <f t="shared" si="1"/>
        <v>39.85</v>
      </c>
      <c r="H4" s="25">
        <f t="shared" si="2"/>
        <v>68</v>
      </c>
    </row>
    <row r="5" spans="1:8" x14ac:dyDescent="0.25">
      <c r="A5" s="315">
        <f t="shared" si="3"/>
        <v>4</v>
      </c>
      <c r="B5" s="4" t="s">
        <v>796</v>
      </c>
      <c r="C5" s="340">
        <v>2</v>
      </c>
      <c r="D5" s="10">
        <v>40.924999999999997</v>
      </c>
      <c r="E5" s="7">
        <v>68</v>
      </c>
      <c r="F5" s="26">
        <f t="shared" si="0"/>
        <v>0.39816176470588238</v>
      </c>
      <c r="G5" s="30">
        <f t="shared" si="1"/>
        <v>81.849999999999994</v>
      </c>
      <c r="H5" s="25">
        <f t="shared" si="2"/>
        <v>136</v>
      </c>
    </row>
    <row r="6" spans="1:8" x14ac:dyDescent="0.25">
      <c r="A6" s="315">
        <f t="shared" si="3"/>
        <v>5</v>
      </c>
      <c r="B6" s="314" t="s">
        <v>760</v>
      </c>
      <c r="C6" s="340">
        <v>2</v>
      </c>
      <c r="D6" s="15">
        <v>10</v>
      </c>
      <c r="E6" s="7">
        <v>17</v>
      </c>
      <c r="F6" s="26">
        <f t="shared" si="0"/>
        <v>0.41176470588235292</v>
      </c>
      <c r="G6" s="30">
        <f t="shared" si="1"/>
        <v>20</v>
      </c>
      <c r="H6" s="25">
        <f t="shared" si="2"/>
        <v>34</v>
      </c>
    </row>
    <row r="7" spans="1:8" x14ac:dyDescent="0.25">
      <c r="A7" s="315">
        <f t="shared" si="3"/>
        <v>6</v>
      </c>
      <c r="B7" s="314" t="s">
        <v>93</v>
      </c>
      <c r="C7" s="340">
        <v>2</v>
      </c>
      <c r="D7" s="15">
        <v>8</v>
      </c>
      <c r="E7" s="7">
        <v>13</v>
      </c>
      <c r="F7" s="26">
        <f t="shared" si="0"/>
        <v>0.38461538461538464</v>
      </c>
      <c r="G7" s="30">
        <f t="shared" si="1"/>
        <v>16</v>
      </c>
      <c r="H7" s="25">
        <f t="shared" si="2"/>
        <v>26</v>
      </c>
    </row>
    <row r="8" spans="1:8" x14ac:dyDescent="0.25">
      <c r="A8" s="315">
        <f t="shared" si="3"/>
        <v>7</v>
      </c>
      <c r="B8" s="314" t="s">
        <v>352</v>
      </c>
      <c r="C8" s="340">
        <v>0</v>
      </c>
      <c r="D8" s="15">
        <v>15</v>
      </c>
      <c r="E8" s="7">
        <v>25</v>
      </c>
      <c r="F8" s="26">
        <f t="shared" si="0"/>
        <v>0.4</v>
      </c>
      <c r="G8" s="30">
        <f t="shared" si="1"/>
        <v>0</v>
      </c>
      <c r="H8" s="25">
        <f t="shared" si="2"/>
        <v>0</v>
      </c>
    </row>
    <row r="9" spans="1:8" x14ac:dyDescent="0.25">
      <c r="A9" s="315">
        <f t="shared" si="3"/>
        <v>8</v>
      </c>
      <c r="B9" s="314" t="s">
        <v>584</v>
      </c>
      <c r="C9" s="340">
        <v>83</v>
      </c>
      <c r="D9" s="15">
        <v>0.68</v>
      </c>
      <c r="E9" s="7">
        <v>1.25</v>
      </c>
      <c r="F9" s="26">
        <f t="shared" si="0"/>
        <v>0.45599999999999996</v>
      </c>
      <c r="G9" s="30">
        <f t="shared" si="1"/>
        <v>56.440000000000005</v>
      </c>
      <c r="H9" s="25">
        <f t="shared" si="2"/>
        <v>103.75</v>
      </c>
    </row>
    <row r="10" spans="1:8" x14ac:dyDescent="0.25">
      <c r="A10" s="315">
        <f t="shared" si="3"/>
        <v>9</v>
      </c>
      <c r="B10" s="314" t="s">
        <v>673</v>
      </c>
      <c r="C10" s="413">
        <v>9</v>
      </c>
      <c r="D10" s="404">
        <v>5.6</v>
      </c>
      <c r="E10" s="7">
        <v>12</v>
      </c>
      <c r="F10" s="26">
        <f t="shared" si="0"/>
        <v>0.53333333333333333</v>
      </c>
      <c r="G10" s="30">
        <f t="shared" si="1"/>
        <v>50.4</v>
      </c>
      <c r="H10" s="25">
        <f t="shared" si="2"/>
        <v>108</v>
      </c>
    </row>
    <row r="11" spans="1:8" x14ac:dyDescent="0.25">
      <c r="A11" s="315">
        <f t="shared" si="3"/>
        <v>10</v>
      </c>
      <c r="B11" s="4" t="s">
        <v>1315</v>
      </c>
      <c r="C11" s="340">
        <v>46</v>
      </c>
      <c r="D11" s="15">
        <v>3.95</v>
      </c>
      <c r="E11" s="7">
        <v>7</v>
      </c>
      <c r="F11" s="26">
        <f t="shared" si="0"/>
        <v>0.43571428571428567</v>
      </c>
      <c r="G11" s="30">
        <f t="shared" si="1"/>
        <v>181.70000000000002</v>
      </c>
      <c r="H11" s="25">
        <f t="shared" si="2"/>
        <v>322</v>
      </c>
    </row>
    <row r="12" spans="1:8" x14ac:dyDescent="0.25">
      <c r="A12" s="315">
        <f t="shared" si="3"/>
        <v>11</v>
      </c>
      <c r="B12" s="314" t="s">
        <v>516</v>
      </c>
      <c r="C12" s="340">
        <v>0</v>
      </c>
      <c r="D12" s="15">
        <v>0.85</v>
      </c>
      <c r="E12" s="7">
        <v>3</v>
      </c>
      <c r="F12" s="26">
        <f t="shared" si="0"/>
        <v>0.71666666666666667</v>
      </c>
      <c r="G12" s="30">
        <f t="shared" si="1"/>
        <v>0</v>
      </c>
      <c r="H12" s="25">
        <f t="shared" si="2"/>
        <v>0</v>
      </c>
    </row>
    <row r="13" spans="1:8" x14ac:dyDescent="0.25">
      <c r="A13" s="315">
        <f t="shared" si="3"/>
        <v>12</v>
      </c>
      <c r="B13" s="314" t="s">
        <v>517</v>
      </c>
      <c r="C13" s="340">
        <v>2</v>
      </c>
      <c r="D13" s="15">
        <v>0.85</v>
      </c>
      <c r="E13" s="7">
        <v>3</v>
      </c>
      <c r="F13" s="26">
        <f t="shared" si="0"/>
        <v>0.71666666666666667</v>
      </c>
      <c r="G13" s="30">
        <f t="shared" si="1"/>
        <v>1.7</v>
      </c>
      <c r="H13" s="25">
        <f t="shared" si="2"/>
        <v>6</v>
      </c>
    </row>
    <row r="14" spans="1:8" x14ac:dyDescent="0.25">
      <c r="A14" s="315">
        <f t="shared" si="3"/>
        <v>13</v>
      </c>
      <c r="B14" s="314" t="s">
        <v>353</v>
      </c>
      <c r="C14" s="340">
        <v>4</v>
      </c>
      <c r="D14" s="10">
        <v>0.85</v>
      </c>
      <c r="E14" s="7">
        <v>3</v>
      </c>
      <c r="F14" s="26">
        <f t="shared" si="0"/>
        <v>0.71666666666666667</v>
      </c>
      <c r="G14" s="30">
        <f t="shared" si="1"/>
        <v>3.4</v>
      </c>
      <c r="H14" s="25">
        <f t="shared" si="2"/>
        <v>12</v>
      </c>
    </row>
    <row r="15" spans="1:8" x14ac:dyDescent="0.25">
      <c r="A15" s="315">
        <f t="shared" si="3"/>
        <v>14</v>
      </c>
      <c r="B15" s="314" t="s">
        <v>1316</v>
      </c>
      <c r="C15" s="340">
        <v>2</v>
      </c>
      <c r="D15" s="15">
        <v>37.950000000000003</v>
      </c>
      <c r="E15" s="7">
        <v>65</v>
      </c>
      <c r="F15" s="26">
        <f t="shared" si="0"/>
        <v>0.4161538461538461</v>
      </c>
      <c r="G15" s="30">
        <f t="shared" si="1"/>
        <v>75.900000000000006</v>
      </c>
      <c r="H15" s="25">
        <f t="shared" si="2"/>
        <v>130</v>
      </c>
    </row>
    <row r="16" spans="1:8" x14ac:dyDescent="0.25">
      <c r="A16" s="315">
        <f t="shared" si="3"/>
        <v>15</v>
      </c>
      <c r="B16" s="4" t="s">
        <v>354</v>
      </c>
      <c r="C16" s="340">
        <v>3</v>
      </c>
      <c r="D16" s="15">
        <v>4.75</v>
      </c>
      <c r="E16" s="7">
        <v>8</v>
      </c>
      <c r="F16" s="26">
        <f t="shared" si="0"/>
        <v>0.40625</v>
      </c>
      <c r="G16" s="30">
        <f t="shared" si="1"/>
        <v>14.25</v>
      </c>
      <c r="H16" s="25">
        <f t="shared" si="2"/>
        <v>24</v>
      </c>
    </row>
    <row r="17" spans="1:8" x14ac:dyDescent="0.25">
      <c r="A17" s="315">
        <f t="shared" si="3"/>
        <v>16</v>
      </c>
      <c r="B17" s="314" t="s">
        <v>799</v>
      </c>
      <c r="C17" s="340">
        <v>4</v>
      </c>
      <c r="D17" s="15">
        <v>10</v>
      </c>
      <c r="E17" s="7">
        <v>25</v>
      </c>
      <c r="F17" s="26">
        <f t="shared" si="0"/>
        <v>0.6</v>
      </c>
      <c r="G17" s="30">
        <f t="shared" si="1"/>
        <v>40</v>
      </c>
      <c r="H17" s="25">
        <f t="shared" si="2"/>
        <v>100</v>
      </c>
    </row>
    <row r="18" spans="1:8" x14ac:dyDescent="0.25">
      <c r="A18" s="315">
        <f t="shared" si="3"/>
        <v>17</v>
      </c>
      <c r="B18" s="4" t="s">
        <v>812</v>
      </c>
      <c r="C18" s="340">
        <v>0</v>
      </c>
      <c r="D18" s="15">
        <v>8</v>
      </c>
      <c r="E18" s="7">
        <v>14</v>
      </c>
      <c r="F18" s="26">
        <f t="shared" si="0"/>
        <v>0.42857142857142855</v>
      </c>
      <c r="G18" s="30">
        <f t="shared" si="1"/>
        <v>0</v>
      </c>
      <c r="H18" s="25">
        <f t="shared" si="2"/>
        <v>0</v>
      </c>
    </row>
    <row r="19" spans="1:8" x14ac:dyDescent="0.25">
      <c r="A19" s="315">
        <f t="shared" si="3"/>
        <v>18</v>
      </c>
      <c r="B19" s="4" t="s">
        <v>151</v>
      </c>
      <c r="C19" s="340">
        <v>2</v>
      </c>
      <c r="D19" s="15">
        <v>9.1</v>
      </c>
      <c r="E19" s="7">
        <v>16</v>
      </c>
      <c r="F19" s="26">
        <f t="shared" si="0"/>
        <v>0.43125000000000002</v>
      </c>
      <c r="G19" s="30">
        <f t="shared" si="1"/>
        <v>18.2</v>
      </c>
      <c r="H19" s="25">
        <f t="shared" si="2"/>
        <v>32</v>
      </c>
    </row>
    <row r="20" spans="1:8" x14ac:dyDescent="0.25">
      <c r="A20" s="315">
        <f t="shared" si="3"/>
        <v>19</v>
      </c>
      <c r="B20" s="4" t="s">
        <v>355</v>
      </c>
      <c r="C20" s="340">
        <v>3</v>
      </c>
      <c r="D20" s="15">
        <v>1.35</v>
      </c>
      <c r="E20" s="7">
        <v>2.5</v>
      </c>
      <c r="F20" s="26">
        <f t="shared" si="0"/>
        <v>0.45999999999999996</v>
      </c>
      <c r="G20" s="30">
        <f t="shared" si="1"/>
        <v>4.0500000000000007</v>
      </c>
      <c r="H20" s="25">
        <f t="shared" si="2"/>
        <v>7.5</v>
      </c>
    </row>
    <row r="21" spans="1:8" x14ac:dyDescent="0.25">
      <c r="A21" s="315">
        <f t="shared" si="3"/>
        <v>20</v>
      </c>
      <c r="B21" s="314" t="s">
        <v>437</v>
      </c>
      <c r="C21" s="340">
        <v>13</v>
      </c>
      <c r="D21" s="15">
        <v>20.81</v>
      </c>
      <c r="E21" s="7">
        <v>45</v>
      </c>
      <c r="F21" s="26">
        <f t="shared" si="0"/>
        <v>0.53755555555555556</v>
      </c>
      <c r="G21" s="30">
        <f t="shared" si="1"/>
        <v>270.52999999999997</v>
      </c>
      <c r="H21" s="25">
        <f t="shared" si="2"/>
        <v>585</v>
      </c>
    </row>
    <row r="22" spans="1:8" x14ac:dyDescent="0.25">
      <c r="A22" s="315">
        <f t="shared" si="3"/>
        <v>21</v>
      </c>
      <c r="B22" s="314" t="s">
        <v>761</v>
      </c>
      <c r="C22" s="340">
        <v>2</v>
      </c>
      <c r="D22" s="15">
        <v>20</v>
      </c>
      <c r="E22" s="7">
        <v>50</v>
      </c>
      <c r="F22" s="26">
        <f t="shared" si="0"/>
        <v>0.6</v>
      </c>
      <c r="G22" s="30">
        <f t="shared" si="1"/>
        <v>40</v>
      </c>
      <c r="H22" s="25">
        <f t="shared" si="2"/>
        <v>100</v>
      </c>
    </row>
    <row r="23" spans="1:8" x14ac:dyDescent="0.25">
      <c r="A23" s="315">
        <f t="shared" si="3"/>
        <v>22</v>
      </c>
      <c r="B23" s="4" t="s">
        <v>856</v>
      </c>
      <c r="C23" s="340">
        <v>0</v>
      </c>
      <c r="D23" s="15">
        <v>12</v>
      </c>
      <c r="E23" s="7">
        <v>25</v>
      </c>
      <c r="F23" s="26">
        <f t="shared" si="0"/>
        <v>0.52</v>
      </c>
      <c r="G23" s="30">
        <f t="shared" si="1"/>
        <v>0</v>
      </c>
      <c r="H23" s="25">
        <f t="shared" si="2"/>
        <v>0</v>
      </c>
    </row>
    <row r="24" spans="1:8" x14ac:dyDescent="0.25">
      <c r="A24" s="315">
        <f t="shared" si="3"/>
        <v>23</v>
      </c>
      <c r="B24" s="4" t="s">
        <v>534</v>
      </c>
      <c r="C24" s="340">
        <v>3</v>
      </c>
      <c r="D24" s="10">
        <v>17.5</v>
      </c>
      <c r="E24" s="7">
        <v>30</v>
      </c>
      <c r="F24" s="26">
        <f t="shared" si="0"/>
        <v>0.41666666666666669</v>
      </c>
      <c r="G24" s="30">
        <f t="shared" si="1"/>
        <v>52.5</v>
      </c>
      <c r="H24" s="25">
        <f t="shared" si="2"/>
        <v>90</v>
      </c>
    </row>
    <row r="25" spans="1:8" x14ac:dyDescent="0.25">
      <c r="A25" s="315">
        <f t="shared" si="3"/>
        <v>24</v>
      </c>
      <c r="B25" s="314" t="s">
        <v>739</v>
      </c>
      <c r="C25" s="340">
        <v>8</v>
      </c>
      <c r="D25" s="15">
        <v>17.5</v>
      </c>
      <c r="E25" s="7">
        <v>30</v>
      </c>
      <c r="F25" s="26">
        <f t="shared" si="0"/>
        <v>0.41666666666666669</v>
      </c>
      <c r="G25" s="30">
        <f t="shared" si="1"/>
        <v>140</v>
      </c>
      <c r="H25" s="25">
        <f t="shared" si="2"/>
        <v>240</v>
      </c>
    </row>
    <row r="26" spans="1:8" x14ac:dyDescent="0.25">
      <c r="A26" s="315">
        <f t="shared" si="3"/>
        <v>25</v>
      </c>
      <c r="B26" s="314" t="s">
        <v>763</v>
      </c>
      <c r="C26" s="340">
        <v>1</v>
      </c>
      <c r="D26" s="15">
        <v>30</v>
      </c>
      <c r="E26" s="7">
        <v>70</v>
      </c>
      <c r="F26" s="26">
        <f>(E26-D26)/(E26)</f>
        <v>0.5714285714285714</v>
      </c>
      <c r="G26" s="30">
        <f t="shared" si="1"/>
        <v>30</v>
      </c>
      <c r="H26" s="25">
        <f t="shared" si="2"/>
        <v>70</v>
      </c>
    </row>
    <row r="27" spans="1:8" x14ac:dyDescent="0.25">
      <c r="A27" s="315">
        <f t="shared" si="3"/>
        <v>26</v>
      </c>
      <c r="B27" s="314" t="s">
        <v>764</v>
      </c>
      <c r="C27" s="340">
        <v>1</v>
      </c>
      <c r="D27" s="15">
        <v>30</v>
      </c>
      <c r="E27" s="7">
        <v>70</v>
      </c>
      <c r="F27" s="26">
        <f t="shared" si="0"/>
        <v>0.5714285714285714</v>
      </c>
      <c r="G27" s="30">
        <f t="shared" si="1"/>
        <v>30</v>
      </c>
      <c r="H27" s="25">
        <f t="shared" si="2"/>
        <v>70</v>
      </c>
    </row>
    <row r="28" spans="1:8" x14ac:dyDescent="0.25">
      <c r="A28" s="315">
        <f t="shared" si="3"/>
        <v>27</v>
      </c>
      <c r="B28" s="314"/>
      <c r="C28" s="340"/>
      <c r="D28" s="15"/>
      <c r="E28" s="7"/>
      <c r="G28" s="30">
        <f>D28*C28</f>
        <v>0</v>
      </c>
      <c r="H28" s="25">
        <f>E28*C28</f>
        <v>0</v>
      </c>
    </row>
    <row r="29" spans="1:8" x14ac:dyDescent="0.25">
      <c r="A29" s="315">
        <f t="shared" si="3"/>
        <v>28</v>
      </c>
      <c r="B29" s="4"/>
      <c r="C29" s="340"/>
      <c r="D29" s="15"/>
      <c r="E29" s="7"/>
      <c r="G29" s="30">
        <f>D29*C29</f>
        <v>0</v>
      </c>
      <c r="H29" s="25">
        <f>E29*C29</f>
        <v>0</v>
      </c>
    </row>
    <row r="30" spans="1:8" x14ac:dyDescent="0.25">
      <c r="A30" s="315">
        <f t="shared" si="3"/>
        <v>29</v>
      </c>
      <c r="B30" s="4"/>
      <c r="C30" s="47"/>
      <c r="D30" s="15"/>
      <c r="E30" s="7"/>
      <c r="G30" s="30">
        <f>SUM(G2:G29)</f>
        <v>1209.97</v>
      </c>
      <c r="H30" s="25">
        <f>SUM(H2:H29)</f>
        <v>2341.25</v>
      </c>
    </row>
    <row r="31" spans="1:8" x14ac:dyDescent="0.25">
      <c r="A31" s="315">
        <f t="shared" si="3"/>
        <v>30</v>
      </c>
      <c r="B31" s="4"/>
      <c r="C31" s="47"/>
      <c r="D31" s="15"/>
      <c r="E31" s="7"/>
      <c r="G31" s="30"/>
      <c r="H31" s="29"/>
    </row>
    <row r="32" spans="1:8" x14ac:dyDescent="0.25">
      <c r="A32" s="315">
        <f t="shared" si="3"/>
        <v>31</v>
      </c>
      <c r="B32" s="4"/>
      <c r="C32" s="47"/>
      <c r="D32" s="15"/>
      <c r="E32" s="7"/>
      <c r="G32" s="30"/>
      <c r="H32" s="217">
        <f>H30-G30</f>
        <v>1131.28</v>
      </c>
    </row>
    <row r="33" spans="1:8" x14ac:dyDescent="0.25">
      <c r="A33" s="315">
        <f t="shared" si="3"/>
        <v>32</v>
      </c>
      <c r="B33" s="4"/>
      <c r="C33" s="47"/>
      <c r="D33" s="15"/>
      <c r="E33" s="7"/>
      <c r="G33" s="30"/>
      <c r="H33" s="25"/>
    </row>
    <row r="34" spans="1:8" x14ac:dyDescent="0.25">
      <c r="A34" s="315">
        <f t="shared" si="3"/>
        <v>33</v>
      </c>
      <c r="B34" s="4"/>
      <c r="C34" s="47"/>
      <c r="D34" s="15"/>
      <c r="E34" s="7"/>
      <c r="G34" s="30"/>
      <c r="H34" s="29">
        <f>H32/H30</f>
        <v>0.48319487453283499</v>
      </c>
    </row>
    <row r="35" spans="1:8" x14ac:dyDescent="0.25">
      <c r="A35" s="315">
        <f t="shared" si="3"/>
        <v>34</v>
      </c>
      <c r="B35" s="4"/>
      <c r="C35" s="47"/>
      <c r="D35" s="15"/>
      <c r="E35" s="7"/>
      <c r="G35" s="30"/>
      <c r="H35" s="25"/>
    </row>
    <row r="36" spans="1:8" x14ac:dyDescent="0.25">
      <c r="A36" s="315">
        <f t="shared" si="3"/>
        <v>35</v>
      </c>
      <c r="B36" s="4"/>
      <c r="C36" s="47"/>
      <c r="D36" s="15"/>
      <c r="E36" s="7"/>
      <c r="G36" s="30"/>
      <c r="H36" s="25"/>
    </row>
    <row r="37" spans="1:8" x14ac:dyDescent="0.25">
      <c r="A37" s="315">
        <f t="shared" si="3"/>
        <v>36</v>
      </c>
      <c r="B37" s="4"/>
      <c r="C37" s="47"/>
      <c r="D37" s="15"/>
      <c r="E37" s="7"/>
      <c r="G37" s="30"/>
      <c r="H37" s="25"/>
    </row>
    <row r="38" spans="1:8" x14ac:dyDescent="0.25">
      <c r="A38" s="315">
        <f t="shared" si="3"/>
        <v>37</v>
      </c>
      <c r="B38" s="4"/>
      <c r="C38" s="47"/>
      <c r="D38" s="15"/>
      <c r="E38" s="7"/>
      <c r="G38" s="30"/>
      <c r="H38" s="25"/>
    </row>
    <row r="39" spans="1:8" x14ac:dyDescent="0.25">
      <c r="A39" s="315">
        <f t="shared" si="3"/>
        <v>38</v>
      </c>
      <c r="B39" s="4"/>
      <c r="C39" s="47"/>
      <c r="D39" s="15"/>
      <c r="E39" s="7"/>
      <c r="G39" s="30"/>
      <c r="H39" s="25"/>
    </row>
    <row r="40" spans="1:8" x14ac:dyDescent="0.25">
      <c r="A40" s="315">
        <f t="shared" si="3"/>
        <v>39</v>
      </c>
      <c r="B40" s="4"/>
      <c r="C40" s="47"/>
      <c r="D40" s="15"/>
      <c r="E40" s="7"/>
      <c r="G40" s="30"/>
      <c r="H40" s="25"/>
    </row>
    <row r="41" spans="1:8" x14ac:dyDescent="0.25">
      <c r="A41" s="315">
        <f t="shared" si="3"/>
        <v>40</v>
      </c>
      <c r="B41" s="4"/>
      <c r="C41" s="47"/>
      <c r="D41" s="15"/>
      <c r="E41" s="7"/>
      <c r="G41" s="30"/>
      <c r="H41" s="25"/>
    </row>
    <row r="42" spans="1:8" x14ac:dyDescent="0.25">
      <c r="A42" s="315">
        <f t="shared" si="3"/>
        <v>41</v>
      </c>
      <c r="B42" s="4"/>
      <c r="C42" s="47"/>
      <c r="D42" s="15"/>
      <c r="E42" s="7"/>
      <c r="G42" s="30"/>
      <c r="H42" s="25"/>
    </row>
    <row r="43" spans="1:8" x14ac:dyDescent="0.25">
      <c r="B43" s="4"/>
      <c r="C43" s="47"/>
      <c r="D43" s="15"/>
      <c r="E43" s="7"/>
      <c r="G43" s="30"/>
      <c r="H43" s="25"/>
    </row>
    <row r="44" spans="1:8" x14ac:dyDescent="0.25">
      <c r="B44" s="4"/>
      <c r="C44" s="47"/>
      <c r="D44" s="15"/>
      <c r="E44" s="7"/>
      <c r="G44" s="30"/>
      <c r="H44" s="25"/>
    </row>
    <row r="45" spans="1:8" x14ac:dyDescent="0.25">
      <c r="B45" s="4"/>
      <c r="C45" s="47"/>
      <c r="D45" s="15"/>
      <c r="E45" s="7"/>
      <c r="G45" s="30"/>
      <c r="H45" s="25"/>
    </row>
    <row r="46" spans="1:8" x14ac:dyDescent="0.25">
      <c r="B46" s="4"/>
      <c r="C46" s="47"/>
      <c r="D46" s="15"/>
      <c r="E46" s="7"/>
      <c r="G46" s="30"/>
      <c r="H46" s="25"/>
    </row>
    <row r="47" spans="1:8" x14ac:dyDescent="0.25">
      <c r="B47" s="4"/>
      <c r="C47" s="47"/>
      <c r="D47" s="15"/>
      <c r="E47" s="7"/>
      <c r="G47" s="30"/>
      <c r="H47" s="25"/>
    </row>
    <row r="48" spans="1:8" x14ac:dyDescent="0.25">
      <c r="B48" s="4"/>
      <c r="C48" s="9"/>
      <c r="D48" s="15"/>
      <c r="E48" s="7"/>
      <c r="G48" s="30"/>
      <c r="H48" s="25"/>
    </row>
    <row r="49" spans="2:17" x14ac:dyDescent="0.25">
      <c r="B49" s="4"/>
      <c r="C49" s="8"/>
      <c r="D49" s="15"/>
      <c r="E49" s="7"/>
      <c r="G49" s="30"/>
      <c r="H49" s="25"/>
    </row>
    <row r="50" spans="2:17" x14ac:dyDescent="0.25">
      <c r="B50" s="4"/>
      <c r="C50" s="9"/>
      <c r="D50" s="15"/>
      <c r="E50" s="7"/>
      <c r="G50" s="30"/>
      <c r="H50" s="25"/>
    </row>
    <row r="51" spans="2:17" x14ac:dyDescent="0.25">
      <c r="B51" s="4"/>
      <c r="C51" s="9"/>
      <c r="D51" s="15"/>
      <c r="E51" s="7"/>
      <c r="G51" s="30"/>
      <c r="H51" s="25"/>
    </row>
    <row r="52" spans="2:17" x14ac:dyDescent="0.25">
      <c r="B52" s="4"/>
      <c r="C52" s="8"/>
      <c r="D52" s="15"/>
      <c r="E52" s="7"/>
      <c r="G52" s="30"/>
      <c r="H52" s="25"/>
      <c r="J52" s="38"/>
      <c r="K52" s="38"/>
      <c r="L52" s="37"/>
      <c r="M52" s="36"/>
      <c r="N52" s="36"/>
      <c r="O52" s="35"/>
      <c r="P52" s="34"/>
      <c r="Q52" s="33"/>
    </row>
    <row r="53" spans="2:17" x14ac:dyDescent="0.25">
      <c r="B53" s="4"/>
      <c r="C53" s="9"/>
      <c r="D53" s="15"/>
      <c r="E53" s="7"/>
      <c r="G53" s="30"/>
      <c r="H53" s="25"/>
    </row>
    <row r="54" spans="2:17" x14ac:dyDescent="0.25">
      <c r="B54" s="4"/>
      <c r="C54" s="8"/>
      <c r="D54" s="15"/>
      <c r="E54" s="7"/>
      <c r="G54" s="30"/>
      <c r="H54" s="25"/>
    </row>
    <row r="55" spans="2:17" x14ac:dyDescent="0.25">
      <c r="B55" s="4"/>
      <c r="C55" s="8"/>
      <c r="D55" s="15"/>
      <c r="E55" s="7"/>
      <c r="G55" s="30"/>
      <c r="H55" s="25"/>
    </row>
    <row r="56" spans="2:17" x14ac:dyDescent="0.25">
      <c r="B56" s="4"/>
      <c r="C56" s="8"/>
      <c r="D56" s="15"/>
      <c r="E56" s="7"/>
      <c r="G56" s="30"/>
      <c r="H56" s="25"/>
    </row>
    <row r="57" spans="2:17" x14ac:dyDescent="0.25">
      <c r="B57" s="4"/>
      <c r="C57" s="9"/>
      <c r="D57" s="15"/>
      <c r="E57" s="7"/>
      <c r="G57" s="30"/>
      <c r="H57" s="25"/>
    </row>
    <row r="58" spans="2:17" x14ac:dyDescent="0.25">
      <c r="B58" s="4"/>
      <c r="C58" s="9"/>
      <c r="D58" s="15"/>
      <c r="E58" s="7"/>
      <c r="G58" s="30"/>
      <c r="H58" s="25"/>
    </row>
    <row r="59" spans="2:17" x14ac:dyDescent="0.25">
      <c r="B59" s="4"/>
      <c r="C59" s="9"/>
      <c r="D59" s="15"/>
      <c r="E59" s="7"/>
      <c r="G59" s="30"/>
      <c r="H59" s="25"/>
    </row>
    <row r="60" spans="2:17" x14ac:dyDescent="0.25">
      <c r="B60" s="4"/>
      <c r="C60" s="9"/>
      <c r="D60" s="15"/>
      <c r="E60" s="7"/>
      <c r="G60" s="30"/>
      <c r="H60" s="25"/>
    </row>
    <row r="61" spans="2:17" x14ac:dyDescent="0.25">
      <c r="B61" s="4"/>
      <c r="C61" s="9"/>
      <c r="D61" s="15"/>
      <c r="E61" s="7"/>
      <c r="G61" s="30"/>
      <c r="H61" s="25"/>
    </row>
    <row r="62" spans="2:17" x14ac:dyDescent="0.25">
      <c r="B62" s="4"/>
      <c r="C62" s="9"/>
      <c r="D62" s="15"/>
      <c r="E62" s="7"/>
      <c r="G62" s="30"/>
      <c r="H62" s="25"/>
    </row>
    <row r="63" spans="2:17" x14ac:dyDescent="0.25">
      <c r="B63" s="4"/>
      <c r="C63" s="8"/>
      <c r="D63" s="15"/>
      <c r="E63" s="7"/>
      <c r="G63" s="30"/>
      <c r="H63" s="25"/>
    </row>
    <row r="64" spans="2:17" x14ac:dyDescent="0.25">
      <c r="B64" s="4"/>
      <c r="C64" s="9"/>
      <c r="D64" s="15"/>
      <c r="E64" s="7"/>
      <c r="G64" s="30"/>
      <c r="H64" s="25"/>
    </row>
    <row r="65" spans="2:8" x14ac:dyDescent="0.25">
      <c r="B65" s="4"/>
      <c r="C65" s="9"/>
      <c r="D65" s="10"/>
      <c r="E65" s="7"/>
      <c r="G65" s="30"/>
      <c r="H65" s="25"/>
    </row>
    <row r="66" spans="2:8" x14ac:dyDescent="0.25">
      <c r="B66" s="4"/>
      <c r="C66" s="9"/>
      <c r="D66" s="15"/>
      <c r="E66" s="7"/>
      <c r="G66" s="30"/>
      <c r="H66" s="25"/>
    </row>
    <row r="67" spans="2:8" x14ac:dyDescent="0.25">
      <c r="B67" s="4"/>
      <c r="C67" s="9"/>
      <c r="D67" s="15"/>
      <c r="E67" s="7"/>
      <c r="G67" s="30"/>
      <c r="H67" s="25"/>
    </row>
    <row r="68" spans="2:8" x14ac:dyDescent="0.25">
      <c r="B68" s="4"/>
      <c r="C68" s="9"/>
      <c r="D68" s="15"/>
      <c r="E68" s="7"/>
      <c r="G68" s="30"/>
      <c r="H68" s="25"/>
    </row>
    <row r="69" spans="2:8" x14ac:dyDescent="0.25">
      <c r="B69" s="4"/>
      <c r="C69" s="9"/>
      <c r="D69" s="15"/>
      <c r="E69" s="7"/>
      <c r="G69" s="30"/>
      <c r="H69" s="25"/>
    </row>
    <row r="70" spans="2:8" x14ac:dyDescent="0.25">
      <c r="B70" s="4"/>
      <c r="C70" s="9"/>
      <c r="D70" s="15"/>
      <c r="E70" s="7"/>
      <c r="G70" s="30"/>
      <c r="H70" s="25"/>
    </row>
    <row r="71" spans="2:8" x14ac:dyDescent="0.25">
      <c r="B71" s="4"/>
      <c r="C71" s="9"/>
      <c r="D71" s="15"/>
      <c r="E71" s="7"/>
      <c r="G71" s="30"/>
      <c r="H71" s="25"/>
    </row>
    <row r="72" spans="2:8" x14ac:dyDescent="0.25">
      <c r="B72" s="3"/>
      <c r="C72" s="9"/>
      <c r="D72" s="15"/>
      <c r="E72" s="7"/>
      <c r="G72" s="30"/>
      <c r="H72" s="25"/>
    </row>
    <row r="73" spans="2:8" x14ac:dyDescent="0.25">
      <c r="B73" s="4"/>
      <c r="C73" s="9"/>
      <c r="D73" s="15"/>
      <c r="E73" s="7"/>
      <c r="G73" s="30"/>
      <c r="H73" s="25"/>
    </row>
    <row r="74" spans="2:8" x14ac:dyDescent="0.25">
      <c r="B74" s="4"/>
      <c r="C74" s="9"/>
      <c r="D74" s="15"/>
      <c r="E74" s="7"/>
      <c r="G74" s="30"/>
      <c r="H74" s="25"/>
    </row>
    <row r="75" spans="2:8" x14ac:dyDescent="0.25">
      <c r="B75" s="4"/>
      <c r="C75" s="9"/>
      <c r="D75" s="15"/>
      <c r="E75" s="7"/>
      <c r="G75" s="30"/>
      <c r="H75" s="25"/>
    </row>
    <row r="76" spans="2:8" x14ac:dyDescent="0.25">
      <c r="B76" s="4"/>
      <c r="C76" s="9"/>
      <c r="D76" s="15"/>
      <c r="E76" s="7"/>
      <c r="G76" s="30"/>
      <c r="H76" s="25"/>
    </row>
    <row r="77" spans="2:8" x14ac:dyDescent="0.25">
      <c r="B77" s="4"/>
      <c r="C77" s="9"/>
      <c r="D77" s="15"/>
      <c r="E77" s="7"/>
      <c r="G77" s="30"/>
      <c r="H77" s="25"/>
    </row>
    <row r="78" spans="2:8" x14ac:dyDescent="0.25">
      <c r="B78" s="4"/>
      <c r="C78" s="9"/>
      <c r="D78" s="15"/>
      <c r="E78" s="7"/>
      <c r="G78" s="30"/>
      <c r="H78" s="25"/>
    </row>
    <row r="79" spans="2:8" ht="14.25" customHeight="1" x14ac:dyDescent="0.25">
      <c r="B79" s="4"/>
      <c r="C79" s="9"/>
      <c r="D79" s="15"/>
      <c r="E79" s="7"/>
      <c r="G79" s="30"/>
      <c r="H79" s="25"/>
    </row>
    <row r="80" spans="2:8" x14ac:dyDescent="0.25">
      <c r="B80" s="4"/>
      <c r="C80" s="9"/>
      <c r="D80" s="15"/>
      <c r="E80" s="7"/>
      <c r="G80" s="30"/>
      <c r="H80" s="25"/>
    </row>
    <row r="81" spans="2:9" x14ac:dyDescent="0.25">
      <c r="B81" s="4"/>
      <c r="C81" s="9"/>
      <c r="D81" s="15"/>
      <c r="E81" s="7"/>
      <c r="G81" s="30"/>
      <c r="H81" s="25"/>
    </row>
    <row r="82" spans="2:9" x14ac:dyDescent="0.25">
      <c r="B82" s="4"/>
      <c r="C82" s="9"/>
      <c r="D82" s="15"/>
      <c r="E82" s="7"/>
      <c r="G82" s="30"/>
      <c r="H82" s="25"/>
    </row>
    <row r="83" spans="2:9" x14ac:dyDescent="0.25">
      <c r="B83" s="4"/>
      <c r="C83" s="9"/>
      <c r="D83" s="15"/>
      <c r="E83" s="7"/>
      <c r="G83" s="30"/>
      <c r="H83" s="25"/>
    </row>
    <row r="84" spans="2:9" x14ac:dyDescent="0.25">
      <c r="B84" s="4"/>
      <c r="C84" s="9"/>
      <c r="D84" s="15"/>
      <c r="E84" s="7"/>
      <c r="G84" s="30"/>
      <c r="H84" s="25"/>
    </row>
    <row r="85" spans="2:9" x14ac:dyDescent="0.25">
      <c r="B85" s="4"/>
      <c r="C85" s="9"/>
      <c r="D85" s="15"/>
      <c r="E85" s="7"/>
      <c r="G85" s="30"/>
      <c r="H85" s="25"/>
    </row>
    <row r="86" spans="2:9" x14ac:dyDescent="0.25">
      <c r="B86" s="4"/>
      <c r="C86" s="9"/>
      <c r="D86" s="15"/>
      <c r="E86" s="7"/>
      <c r="G86" s="30"/>
      <c r="H86" s="25"/>
      <c r="I86" s="32"/>
    </row>
    <row r="87" spans="2:9" x14ac:dyDescent="0.25">
      <c r="B87" s="4"/>
      <c r="C87" s="9"/>
      <c r="D87" s="15"/>
      <c r="E87" s="7"/>
      <c r="G87" s="30"/>
      <c r="H87" s="25"/>
      <c r="I87" s="31"/>
    </row>
    <row r="88" spans="2:9" x14ac:dyDescent="0.25">
      <c r="B88" s="4"/>
      <c r="C88" s="9"/>
      <c r="D88" s="15"/>
      <c r="E88" s="7"/>
      <c r="G88" s="30"/>
      <c r="H88" s="25"/>
      <c r="I88" s="32"/>
    </row>
    <row r="89" spans="2:9" x14ac:dyDescent="0.25">
      <c r="B89" s="4"/>
      <c r="C89" s="9"/>
      <c r="D89" s="15"/>
      <c r="E89" s="7"/>
      <c r="G89" s="30"/>
      <c r="H89" s="25"/>
      <c r="I89" s="32"/>
    </row>
    <row r="90" spans="2:9" ht="14.25" customHeight="1" x14ac:dyDescent="0.25">
      <c r="B90" s="4"/>
      <c r="C90" s="8"/>
      <c r="D90" s="15"/>
      <c r="E90" s="7"/>
      <c r="G90" s="30"/>
      <c r="H90" s="25"/>
    </row>
    <row r="91" spans="2:9" x14ac:dyDescent="0.25">
      <c r="B91" s="3"/>
      <c r="C91" s="8"/>
      <c r="D91" s="15"/>
      <c r="E91" s="7"/>
      <c r="G91" s="30"/>
      <c r="H91" s="25"/>
    </row>
    <row r="92" spans="2:9" x14ac:dyDescent="0.25">
      <c r="B92" s="4"/>
      <c r="C92" s="8"/>
      <c r="D92" s="15"/>
      <c r="E92" s="7"/>
      <c r="G92" s="30"/>
      <c r="H92" s="25"/>
      <c r="I92" s="31"/>
    </row>
    <row r="93" spans="2:9" x14ac:dyDescent="0.25">
      <c r="B93" s="4"/>
      <c r="C93" s="9"/>
      <c r="D93" s="15"/>
      <c r="E93" s="7"/>
      <c r="G93" s="30"/>
      <c r="H93" s="25"/>
    </row>
    <row r="94" spans="2:9" x14ac:dyDescent="0.25">
      <c r="B94" s="4"/>
      <c r="C94" s="9"/>
      <c r="D94" s="15"/>
      <c r="E94" s="7"/>
      <c r="G94" s="30"/>
      <c r="H94" s="29"/>
    </row>
    <row r="95" spans="2:9" x14ac:dyDescent="0.25">
      <c r="B95" s="4"/>
      <c r="C95" s="9"/>
      <c r="D95" s="15"/>
      <c r="E95" s="7"/>
      <c r="G95" s="30"/>
      <c r="H95" s="25"/>
    </row>
    <row r="96" spans="2:9" x14ac:dyDescent="0.25">
      <c r="B96" s="4"/>
      <c r="C96" s="9"/>
      <c r="D96" s="15"/>
      <c r="E96" s="7"/>
      <c r="G96" s="30"/>
      <c r="H96" s="25"/>
    </row>
    <row r="97" spans="2:8" x14ac:dyDescent="0.25">
      <c r="B97" s="4"/>
      <c r="C97" s="8"/>
      <c r="D97" s="15"/>
      <c r="E97" s="7"/>
      <c r="G97" s="30"/>
      <c r="H97" s="25"/>
    </row>
    <row r="98" spans="2:8" x14ac:dyDescent="0.25">
      <c r="B98" s="4"/>
      <c r="C98" s="9"/>
      <c r="D98" s="10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4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3"/>
      <c r="C103" s="8"/>
      <c r="D103" s="15"/>
      <c r="E103" s="7"/>
      <c r="G103" s="30"/>
      <c r="H103" s="25"/>
    </row>
    <row r="104" spans="2:8" x14ac:dyDescent="0.25">
      <c r="B104" s="4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9"/>
      <c r="D106" s="15"/>
      <c r="E106" s="7"/>
      <c r="G106" s="30"/>
      <c r="H106" s="25"/>
    </row>
    <row r="107" spans="2:8" x14ac:dyDescent="0.25">
      <c r="B107" s="4"/>
      <c r="C107" s="8"/>
      <c r="D107" s="15"/>
      <c r="E107" s="7"/>
      <c r="G107" s="30"/>
      <c r="H107" s="25"/>
    </row>
    <row r="108" spans="2:8" x14ac:dyDescent="0.25">
      <c r="B108" s="4"/>
      <c r="C108" s="8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3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9"/>
      <c r="D115" s="15"/>
      <c r="E115" s="7"/>
      <c r="G115" s="30"/>
      <c r="H115" s="25"/>
    </row>
    <row r="116" spans="2:8" x14ac:dyDescent="0.25">
      <c r="B116" s="4"/>
      <c r="C116" s="8"/>
      <c r="D116" s="15"/>
      <c r="E116" s="7"/>
      <c r="G116" s="30"/>
      <c r="H116" s="25"/>
    </row>
    <row r="117" spans="2:8" x14ac:dyDescent="0.25">
      <c r="B117" s="4"/>
      <c r="C117" s="9"/>
      <c r="D117" s="15"/>
      <c r="E117" s="7"/>
      <c r="G117" s="30"/>
      <c r="H117" s="25"/>
    </row>
    <row r="118" spans="2:8" x14ac:dyDescent="0.25">
      <c r="B118" s="4"/>
      <c r="C118" s="9"/>
      <c r="D118" s="15"/>
      <c r="E118" s="7"/>
      <c r="G118" s="30"/>
      <c r="H118" s="25"/>
    </row>
    <row r="119" spans="2:8" x14ac:dyDescent="0.25">
      <c r="B119" s="4"/>
      <c r="C119" s="9"/>
      <c r="D119" s="15"/>
      <c r="E119" s="7"/>
      <c r="G119" s="30"/>
      <c r="H119" s="25"/>
    </row>
    <row r="120" spans="2:8" x14ac:dyDescent="0.25">
      <c r="B120" s="4"/>
      <c r="C120" s="9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4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0"/>
      <c r="E127" s="7"/>
      <c r="G127" s="30"/>
      <c r="H127" s="25"/>
    </row>
    <row r="128" spans="2:8" x14ac:dyDescent="0.25">
      <c r="B128" s="4"/>
      <c r="C128" s="9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9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9"/>
      <c r="D138" s="15"/>
      <c r="E138" s="7"/>
      <c r="G138" s="30"/>
      <c r="H138" s="25"/>
    </row>
    <row r="139" spans="2:8" x14ac:dyDescent="0.25">
      <c r="B139" s="4"/>
      <c r="C139" s="9"/>
      <c r="D139" s="15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8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8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8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4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3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0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3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9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9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8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8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8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8"/>
      <c r="D201" s="15"/>
      <c r="E201" s="7"/>
      <c r="G201" s="30"/>
      <c r="H201" s="25"/>
    </row>
    <row r="202" spans="2:8" x14ac:dyDescent="0.25">
      <c r="B202" s="3"/>
      <c r="C202" s="9"/>
      <c r="D202" s="15"/>
      <c r="E202" s="7"/>
      <c r="G202" s="30"/>
      <c r="H202" s="25"/>
    </row>
    <row r="203" spans="2:8" x14ac:dyDescent="0.25">
      <c r="B203" s="4"/>
      <c r="C203" s="9"/>
      <c r="D203" s="15"/>
      <c r="E203" s="7"/>
      <c r="G203" s="30"/>
      <c r="H203" s="25"/>
    </row>
    <row r="204" spans="2:8" x14ac:dyDescent="0.25">
      <c r="B204" s="4"/>
      <c r="C204" s="9"/>
      <c r="D204" s="15"/>
      <c r="E204" s="7"/>
      <c r="G204" s="30"/>
      <c r="H204" s="25"/>
    </row>
    <row r="205" spans="2:8" x14ac:dyDescent="0.25">
      <c r="B205" s="4"/>
      <c r="C205" s="8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8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8"/>
      <c r="D213" s="15"/>
      <c r="E213" s="7"/>
      <c r="G213" s="30"/>
      <c r="H213" s="25"/>
    </row>
    <row r="214" spans="2:8" x14ac:dyDescent="0.25">
      <c r="B214" s="4"/>
      <c r="C214" s="8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8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8"/>
      <c r="D222" s="15"/>
      <c r="E222" s="7"/>
      <c r="G222" s="30"/>
      <c r="H222" s="25"/>
    </row>
    <row r="223" spans="2:8" x14ac:dyDescent="0.25">
      <c r="B223" s="3"/>
      <c r="C223" s="9"/>
      <c r="D223" s="15"/>
      <c r="E223" s="7"/>
      <c r="G223" s="30"/>
      <c r="H223" s="25"/>
    </row>
    <row r="224" spans="2:8" x14ac:dyDescent="0.25">
      <c r="B224" s="4"/>
      <c r="C224" s="9"/>
      <c r="D224" s="15"/>
      <c r="E224" s="7"/>
      <c r="G224" s="30"/>
      <c r="H224" s="25"/>
    </row>
    <row r="225" spans="2:8" x14ac:dyDescent="0.25">
      <c r="B225" s="4"/>
      <c r="C225" s="9"/>
      <c r="D225" s="15"/>
      <c r="E225" s="7"/>
      <c r="G225" s="30"/>
      <c r="H225" s="25"/>
    </row>
    <row r="226" spans="2:8" x14ac:dyDescent="0.25">
      <c r="B226" s="4"/>
      <c r="C226" s="8"/>
      <c r="D226" s="15"/>
      <c r="E226" s="7"/>
      <c r="G226" s="30"/>
      <c r="H226" s="25"/>
    </row>
    <row r="227" spans="2:8" x14ac:dyDescent="0.25">
      <c r="B227" s="4"/>
      <c r="C227" s="9"/>
      <c r="D227" s="15"/>
      <c r="E227" s="7"/>
      <c r="G227" s="30"/>
      <c r="H227" s="25"/>
    </row>
    <row r="228" spans="2:8" x14ac:dyDescent="0.25">
      <c r="B228" s="4"/>
      <c r="C228" s="9"/>
      <c r="D228" s="15"/>
      <c r="E228" s="7"/>
      <c r="G228" s="30"/>
      <c r="H228" s="25"/>
    </row>
    <row r="229" spans="2:8" x14ac:dyDescent="0.25">
      <c r="B229" s="4"/>
      <c r="C229" s="9"/>
      <c r="D229" s="15"/>
      <c r="E229" s="7"/>
      <c r="G229" s="30"/>
      <c r="H229" s="25"/>
    </row>
    <row r="230" spans="2:8" x14ac:dyDescent="0.25">
      <c r="B230" s="4"/>
      <c r="C230" s="9"/>
      <c r="D230" s="15"/>
      <c r="E230" s="7"/>
      <c r="G230" s="30"/>
      <c r="H230" s="25"/>
    </row>
    <row r="231" spans="2:8" x14ac:dyDescent="0.25">
      <c r="B231" s="4"/>
      <c r="C231" s="9"/>
      <c r="D231" s="15"/>
      <c r="E231" s="7"/>
      <c r="G231" s="30"/>
      <c r="H231" s="25"/>
    </row>
    <row r="232" spans="2:8" x14ac:dyDescent="0.25">
      <c r="B232" s="4"/>
      <c r="C232" s="9"/>
      <c r="D232" s="15"/>
      <c r="E232" s="7"/>
      <c r="G232" s="30"/>
      <c r="H232" s="25"/>
    </row>
    <row r="233" spans="2:8" x14ac:dyDescent="0.25">
      <c r="B233" s="4"/>
      <c r="C233" s="9"/>
      <c r="D233" s="15"/>
      <c r="E233" s="7"/>
      <c r="G233" s="30"/>
      <c r="H233" s="25"/>
    </row>
    <row r="234" spans="2:8" x14ac:dyDescent="0.25">
      <c r="B234" s="4"/>
      <c r="C234" s="8"/>
      <c r="D234" s="15"/>
      <c r="E234" s="7"/>
      <c r="G234" s="30"/>
      <c r="H234" s="25"/>
    </row>
    <row r="235" spans="2:8" x14ac:dyDescent="0.25">
      <c r="B235" s="4"/>
      <c r="C235" s="9"/>
      <c r="D235" s="15"/>
      <c r="E235" s="7"/>
      <c r="G235" s="30"/>
      <c r="H235" s="25"/>
    </row>
    <row r="236" spans="2:8" x14ac:dyDescent="0.25">
      <c r="B236" s="4"/>
      <c r="C236" s="9"/>
      <c r="D236" s="15"/>
      <c r="E236" s="7"/>
      <c r="G236" s="30"/>
      <c r="H236" s="25"/>
    </row>
    <row r="237" spans="2:8" x14ac:dyDescent="0.25">
      <c r="B237" s="4"/>
      <c r="C237" s="9"/>
      <c r="D237" s="15"/>
      <c r="E237" s="7"/>
      <c r="G237" s="30"/>
      <c r="H237" s="25"/>
    </row>
    <row r="238" spans="2:8" ht="13.5" customHeight="1" x14ac:dyDescent="0.25">
      <c r="B238" s="4"/>
      <c r="C238" s="9"/>
      <c r="D238" s="15"/>
      <c r="E238" s="7"/>
      <c r="G238" s="30"/>
      <c r="H238" s="25"/>
    </row>
    <row r="239" spans="2:8" ht="13.5" customHeight="1" x14ac:dyDescent="0.25">
      <c r="B239" s="4"/>
      <c r="C239" s="8"/>
      <c r="D239" s="15"/>
      <c r="E239" s="7"/>
      <c r="G239" s="30"/>
      <c r="H239" s="25"/>
    </row>
    <row r="240" spans="2:8" ht="13.5" customHeight="1" x14ac:dyDescent="0.25">
      <c r="B240" s="4"/>
      <c r="C240" s="9"/>
      <c r="D240" s="15"/>
      <c r="E240" s="7"/>
      <c r="G240" s="30"/>
      <c r="H240" s="25"/>
    </row>
    <row r="241" spans="2:8" ht="13.5" customHeight="1" x14ac:dyDescent="0.25">
      <c r="B241" s="4"/>
      <c r="C241" s="9"/>
      <c r="D241" s="15"/>
      <c r="E241" s="7"/>
      <c r="G241" s="30"/>
      <c r="H241" s="25"/>
    </row>
    <row r="242" spans="2:8" ht="13.5" customHeight="1" x14ac:dyDescent="0.25">
      <c r="B242" s="4"/>
      <c r="C242" s="9"/>
      <c r="D242" s="15"/>
      <c r="E242" s="7"/>
      <c r="G242" s="30"/>
      <c r="H242" s="25"/>
    </row>
    <row r="243" spans="2:8" ht="13.5" customHeight="1" x14ac:dyDescent="0.25">
      <c r="B243" s="4"/>
      <c r="C243" s="9"/>
      <c r="D243" s="15"/>
      <c r="E243" s="7"/>
      <c r="G243" s="30"/>
      <c r="H243" s="25"/>
    </row>
    <row r="244" spans="2:8" ht="13.5" customHeight="1" x14ac:dyDescent="0.25">
      <c r="B244" s="4"/>
      <c r="C244" s="9"/>
      <c r="D244" s="15"/>
      <c r="E244" s="7"/>
      <c r="G244" s="30"/>
      <c r="H244" s="25"/>
    </row>
    <row r="245" spans="2:8" ht="13.5" customHeight="1" x14ac:dyDescent="0.25">
      <c r="B245" s="4"/>
      <c r="C245" s="9"/>
      <c r="D245" s="15"/>
      <c r="E245" s="7"/>
      <c r="G245" s="30"/>
      <c r="H245" s="25"/>
    </row>
    <row r="246" spans="2:8" ht="13.5" customHeight="1" x14ac:dyDescent="0.25">
      <c r="B246" s="4"/>
      <c r="C246" s="8"/>
      <c r="D246" s="15"/>
      <c r="E246" s="7"/>
      <c r="G246" s="30"/>
      <c r="H246" s="25"/>
    </row>
    <row r="247" spans="2:8" ht="13.5" customHeight="1" x14ac:dyDescent="0.25">
      <c r="B247" s="4"/>
      <c r="C247" s="9"/>
      <c r="D247" s="15"/>
      <c r="E247" s="7"/>
      <c r="G247" s="30"/>
      <c r="H247" s="25"/>
    </row>
    <row r="248" spans="2:8" ht="13.5" customHeight="1" x14ac:dyDescent="0.25">
      <c r="B248" s="4"/>
      <c r="C248" s="9"/>
      <c r="D248" s="15"/>
      <c r="E248" s="7"/>
      <c r="G248" s="30"/>
      <c r="H248" s="25"/>
    </row>
    <row r="249" spans="2:8" ht="13.5" customHeight="1" x14ac:dyDescent="0.25">
      <c r="B249" s="4"/>
      <c r="C249" s="9"/>
      <c r="D249" s="15"/>
      <c r="E249" s="7"/>
      <c r="G249" s="30"/>
      <c r="H249" s="25"/>
    </row>
    <row r="250" spans="2:8" ht="13.5" customHeight="1" x14ac:dyDescent="0.25">
      <c r="B250" s="4"/>
      <c r="C250" s="9"/>
      <c r="D250" s="10"/>
      <c r="E250" s="7"/>
      <c r="G250" s="30"/>
      <c r="H250" s="25"/>
    </row>
    <row r="251" spans="2:8" ht="13.5" customHeight="1" x14ac:dyDescent="0.25">
      <c r="B251" s="4"/>
      <c r="C251" s="9"/>
      <c r="D251" s="15"/>
      <c r="E251" s="7"/>
      <c r="G251" s="30"/>
      <c r="H251" s="25"/>
    </row>
    <row r="252" spans="2:8" ht="13.5" customHeight="1" x14ac:dyDescent="0.25">
      <c r="B252" s="4"/>
      <c r="C252" s="9"/>
      <c r="D252" s="15"/>
      <c r="E252" s="7"/>
      <c r="G252" s="30"/>
      <c r="H252" s="25"/>
    </row>
    <row r="253" spans="2:8" ht="13.5" customHeight="1" x14ac:dyDescent="0.25">
      <c r="C253" s="9"/>
      <c r="D253" s="10"/>
      <c r="E253" s="7"/>
      <c r="G253" s="30"/>
      <c r="H253" s="25"/>
    </row>
    <row r="254" spans="2:8" ht="13.5" customHeight="1" x14ac:dyDescent="0.25">
      <c r="C254" s="9"/>
      <c r="D254" s="10"/>
      <c r="E254" s="7"/>
      <c r="G254" s="30"/>
      <c r="H254" s="25"/>
    </row>
    <row r="255" spans="2:8" ht="13.5" customHeight="1" x14ac:dyDescent="0.25">
      <c r="C255" s="8"/>
      <c r="D255" s="15"/>
      <c r="E255" s="7"/>
      <c r="G255" s="30"/>
      <c r="H255" s="25"/>
    </row>
    <row r="256" spans="2:8" ht="13.5" customHeight="1" x14ac:dyDescent="0.25">
      <c r="G256" s="30"/>
      <c r="H256" s="25"/>
    </row>
    <row r="257" spans="2:8" ht="13.5" customHeight="1" x14ac:dyDescent="0.25">
      <c r="B257" s="4"/>
      <c r="G257" s="30"/>
      <c r="H257" s="25"/>
    </row>
    <row r="258" spans="2:8" ht="13.5" customHeight="1" x14ac:dyDescent="0.25">
      <c r="B258" s="4"/>
      <c r="G258" s="30"/>
      <c r="H258" s="25"/>
    </row>
    <row r="259" spans="2:8" ht="13.5" customHeight="1" x14ac:dyDescent="0.25">
      <c r="B259" s="4"/>
      <c r="G259" s="30"/>
      <c r="H259" s="25"/>
    </row>
    <row r="260" spans="2:8" ht="13.5" customHeight="1" x14ac:dyDescent="0.25">
      <c r="B260" s="4"/>
      <c r="C260" s="9"/>
      <c r="D260" s="15"/>
      <c r="E260" s="7"/>
      <c r="G260" s="30"/>
      <c r="H260" s="25"/>
    </row>
    <row r="261" spans="2:8" x14ac:dyDescent="0.25">
      <c r="B261" s="4"/>
      <c r="C261" s="9"/>
      <c r="D261" s="10"/>
      <c r="E261" s="7"/>
      <c r="G261" s="30"/>
      <c r="H261" s="25"/>
    </row>
    <row r="262" spans="2:8" x14ac:dyDescent="0.25">
      <c r="B262" s="4"/>
      <c r="C262" s="9"/>
      <c r="D262" s="10"/>
      <c r="E262" s="7"/>
      <c r="G262" s="30"/>
      <c r="H262" s="25"/>
    </row>
    <row r="263" spans="2:8" x14ac:dyDescent="0.25">
      <c r="B263" s="4"/>
      <c r="C263" s="8"/>
      <c r="D263" s="10"/>
      <c r="E263" s="7"/>
      <c r="G263" s="30"/>
      <c r="H263" s="25"/>
    </row>
    <row r="264" spans="2:8" x14ac:dyDescent="0.25">
      <c r="B264" s="4"/>
      <c r="C264" s="8"/>
      <c r="D264" s="15"/>
      <c r="E264" s="7"/>
      <c r="G264" s="30"/>
      <c r="H264" s="25"/>
    </row>
    <row r="265" spans="2:8" x14ac:dyDescent="0.25">
      <c r="B265" s="4"/>
      <c r="C265" s="8"/>
      <c r="D265" s="10"/>
      <c r="E265" s="7"/>
      <c r="H265" s="25"/>
    </row>
    <row r="266" spans="2:8" x14ac:dyDescent="0.25">
      <c r="B266" s="4"/>
      <c r="C266" s="8"/>
      <c r="D266" s="10"/>
      <c r="E266" s="7"/>
      <c r="H266" s="25"/>
    </row>
    <row r="267" spans="2:8" x14ac:dyDescent="0.25">
      <c r="B267" s="4"/>
      <c r="C267" s="9"/>
      <c r="D267" s="10"/>
      <c r="E267" s="7"/>
      <c r="H267" s="25"/>
    </row>
    <row r="268" spans="2:8" x14ac:dyDescent="0.25">
      <c r="B268" s="4"/>
      <c r="C268" s="9"/>
      <c r="D268" s="15"/>
      <c r="E268" s="7"/>
      <c r="H268" s="25"/>
    </row>
    <row r="269" spans="2:8" x14ac:dyDescent="0.25">
      <c r="B269" s="4"/>
      <c r="C269" s="8"/>
      <c r="D269" s="15"/>
      <c r="E269" s="7"/>
      <c r="H269" s="25"/>
    </row>
    <row r="270" spans="2:8" x14ac:dyDescent="0.25">
      <c r="B270" s="4"/>
      <c r="C270" s="8"/>
      <c r="D270" s="10"/>
      <c r="E270" s="7"/>
      <c r="H270" s="25"/>
    </row>
    <row r="271" spans="2:8" x14ac:dyDescent="0.25">
      <c r="B271" s="4"/>
      <c r="C271" s="9"/>
      <c r="D271" s="10"/>
      <c r="E271" s="7"/>
      <c r="H271" s="25"/>
    </row>
    <row r="272" spans="2:8" x14ac:dyDescent="0.25">
      <c r="B272" s="4"/>
      <c r="C272" s="9"/>
      <c r="D272" s="15"/>
      <c r="E272" s="7"/>
      <c r="H272" s="25"/>
    </row>
    <row r="273" spans="2:8" x14ac:dyDescent="0.25">
      <c r="B273" s="4"/>
      <c r="C273" s="9"/>
      <c r="D273" s="10"/>
      <c r="E273" s="7"/>
      <c r="H273" s="25"/>
    </row>
    <row r="274" spans="2:8" x14ac:dyDescent="0.25">
      <c r="B274" s="4"/>
      <c r="C274" s="9"/>
      <c r="D274" s="15"/>
      <c r="E274" s="7"/>
      <c r="H274" s="25"/>
    </row>
    <row r="275" spans="2:8" x14ac:dyDescent="0.25">
      <c r="B275" s="4"/>
      <c r="C275" s="9"/>
      <c r="D275" s="10"/>
      <c r="E275" s="7"/>
      <c r="H275" s="25"/>
    </row>
    <row r="276" spans="2:8" x14ac:dyDescent="0.25">
      <c r="B276" s="4"/>
      <c r="C276" s="8"/>
      <c r="D276" s="15"/>
      <c r="E276" s="7"/>
      <c r="H276" s="25"/>
    </row>
    <row r="277" spans="2:8" x14ac:dyDescent="0.25">
      <c r="B277" s="4"/>
      <c r="C277" s="9"/>
      <c r="D277" s="15"/>
      <c r="E277" s="7"/>
      <c r="H277" s="25"/>
    </row>
    <row r="278" spans="2:8" x14ac:dyDescent="0.25">
      <c r="B278" s="4"/>
      <c r="C278" s="9"/>
      <c r="D278" s="10"/>
      <c r="E278" s="7"/>
      <c r="H278" s="25"/>
    </row>
    <row r="279" spans="2:8" x14ac:dyDescent="0.25">
      <c r="B279" s="4"/>
      <c r="C279" s="9"/>
      <c r="D279" s="15"/>
      <c r="E279" s="7"/>
      <c r="H279" s="25"/>
    </row>
    <row r="280" spans="2:8" x14ac:dyDescent="0.25">
      <c r="B280" s="4"/>
      <c r="C280" s="9"/>
      <c r="D280" s="15"/>
      <c r="E280" s="7"/>
      <c r="H280" s="25"/>
    </row>
    <row r="281" spans="2:8" x14ac:dyDescent="0.25">
      <c r="B281" s="4"/>
      <c r="C281" s="9"/>
      <c r="D281" s="10"/>
      <c r="E281" s="7"/>
      <c r="H281" s="25"/>
    </row>
    <row r="282" spans="2:8" x14ac:dyDescent="0.25">
      <c r="B282" s="4"/>
      <c r="C282" s="9"/>
      <c r="D282" s="15"/>
      <c r="E282" s="7"/>
      <c r="H282" s="25"/>
    </row>
    <row r="283" spans="2:8" x14ac:dyDescent="0.25">
      <c r="B283" s="4"/>
      <c r="C283" s="9"/>
      <c r="D283" s="10"/>
      <c r="E283" s="7"/>
      <c r="H283" s="25"/>
    </row>
    <row r="284" spans="2:8" x14ac:dyDescent="0.25">
      <c r="B284" s="4"/>
      <c r="C284" s="9"/>
      <c r="D284" s="10"/>
      <c r="E284" s="7"/>
      <c r="H284" s="25"/>
    </row>
    <row r="285" spans="2:8" x14ac:dyDescent="0.25">
      <c r="B285" s="4"/>
      <c r="C285" s="9"/>
      <c r="D285" s="15"/>
      <c r="E285" s="7"/>
      <c r="H285" s="25"/>
    </row>
    <row r="286" spans="2:8" x14ac:dyDescent="0.25">
      <c r="B286" s="4"/>
      <c r="C286" s="9"/>
      <c r="D286" s="10"/>
      <c r="E286" s="7"/>
      <c r="H286" s="25"/>
    </row>
    <row r="287" spans="2:8" x14ac:dyDescent="0.25">
      <c r="B287" s="4"/>
      <c r="C287" s="8"/>
      <c r="D287" s="10"/>
      <c r="E287" s="7"/>
      <c r="H287" s="25"/>
    </row>
    <row r="288" spans="2:8" x14ac:dyDescent="0.25">
      <c r="B288" s="4"/>
      <c r="C288" s="8"/>
      <c r="D288" s="10"/>
      <c r="E288" s="7"/>
      <c r="H288" s="25"/>
    </row>
    <row r="289" spans="2:8" x14ac:dyDescent="0.25">
      <c r="B289" s="4"/>
      <c r="C289" s="8"/>
      <c r="D289" s="10"/>
      <c r="E289" s="7"/>
      <c r="H289" s="25"/>
    </row>
    <row r="290" spans="2:8" x14ac:dyDescent="0.25">
      <c r="B290" s="4"/>
      <c r="C290" s="9"/>
      <c r="D290" s="10"/>
      <c r="E290" s="7"/>
      <c r="H290" s="25"/>
    </row>
    <row r="291" spans="2:8" x14ac:dyDescent="0.25">
      <c r="B291" s="4"/>
      <c r="C291" s="9"/>
      <c r="D291" s="15"/>
      <c r="E291" s="7"/>
      <c r="H291" s="25"/>
    </row>
    <row r="292" spans="2:8" x14ac:dyDescent="0.25">
      <c r="B292" s="4"/>
      <c r="C292" s="8"/>
      <c r="D292" s="15"/>
      <c r="E292" s="7"/>
      <c r="H292" s="25"/>
    </row>
    <row r="293" spans="2:8" x14ac:dyDescent="0.25">
      <c r="B293" s="4"/>
      <c r="C293" s="9"/>
      <c r="D293" s="10"/>
      <c r="E293" s="7"/>
      <c r="H293" s="25"/>
    </row>
    <row r="294" spans="2:8" x14ac:dyDescent="0.25">
      <c r="B294" s="4"/>
      <c r="C294" s="9"/>
      <c r="D294" s="10"/>
      <c r="E294" s="7"/>
      <c r="H294" s="25"/>
    </row>
    <row r="295" spans="2:8" x14ac:dyDescent="0.25">
      <c r="B295" s="4"/>
      <c r="C295" s="9"/>
      <c r="D295" s="10"/>
      <c r="E295" s="7"/>
      <c r="H295" s="25"/>
    </row>
    <row r="296" spans="2:8" x14ac:dyDescent="0.25">
      <c r="B296" s="4"/>
      <c r="C296" s="9"/>
      <c r="D296" s="15"/>
      <c r="E296" s="7"/>
      <c r="H296" s="25"/>
    </row>
    <row r="297" spans="2:8" x14ac:dyDescent="0.25">
      <c r="B297" s="4"/>
      <c r="C297" s="9"/>
      <c r="D297" s="15"/>
      <c r="E297" s="7"/>
      <c r="H297" s="25"/>
    </row>
    <row r="298" spans="2:8" x14ac:dyDescent="0.25">
      <c r="B298" s="4"/>
      <c r="C298" s="8"/>
      <c r="D298" s="15"/>
      <c r="E298" s="7"/>
      <c r="H298" s="25"/>
    </row>
    <row r="299" spans="2:8" x14ac:dyDescent="0.25">
      <c r="B299" s="4"/>
      <c r="C299" s="9"/>
      <c r="D299" s="10"/>
      <c r="E299" s="7"/>
      <c r="H299" s="25"/>
    </row>
    <row r="300" spans="2:8" x14ac:dyDescent="0.25">
      <c r="B300" s="4"/>
      <c r="C300" s="9"/>
      <c r="D300" s="10"/>
      <c r="E300" s="7"/>
      <c r="H300" s="25"/>
    </row>
    <row r="301" spans="2:8" x14ac:dyDescent="0.25">
      <c r="B301" s="4"/>
      <c r="C301" s="9"/>
      <c r="D301" s="10"/>
      <c r="E301" s="7"/>
      <c r="H301" s="25"/>
    </row>
    <row r="302" spans="2:8" x14ac:dyDescent="0.25">
      <c r="B302" s="4"/>
      <c r="C302" s="9"/>
      <c r="D302" s="10"/>
      <c r="E302" s="7"/>
      <c r="H302" s="25"/>
    </row>
    <row r="303" spans="2:8" x14ac:dyDescent="0.25">
      <c r="B303" s="4"/>
      <c r="C303" s="9"/>
      <c r="D303" s="10"/>
      <c r="E303" s="7"/>
      <c r="H303" s="25"/>
    </row>
    <row r="304" spans="2:8" x14ac:dyDescent="0.25">
      <c r="B304" s="4"/>
      <c r="C304" s="9"/>
      <c r="D304" s="10"/>
      <c r="E304" s="7"/>
      <c r="H304" s="25"/>
    </row>
    <row r="305" spans="2:8" x14ac:dyDescent="0.25">
      <c r="B305" s="4"/>
      <c r="C305" s="9"/>
      <c r="D305" s="15"/>
      <c r="E305" s="7"/>
      <c r="H305" s="25"/>
    </row>
    <row r="306" spans="2:8" x14ac:dyDescent="0.25">
      <c r="B306" s="4"/>
      <c r="C306" s="9"/>
      <c r="D306" s="10"/>
      <c r="E306" s="7"/>
      <c r="H306" s="25"/>
    </row>
    <row r="307" spans="2:8" x14ac:dyDescent="0.25">
      <c r="B307" s="4"/>
      <c r="C307" s="9"/>
      <c r="D307" s="10"/>
      <c r="E307" s="7"/>
      <c r="H307" s="25"/>
    </row>
    <row r="308" spans="2:8" x14ac:dyDescent="0.25">
      <c r="B308" s="4"/>
      <c r="C308" s="8"/>
      <c r="D308" s="15"/>
      <c r="E308" s="7"/>
      <c r="H308" s="25"/>
    </row>
    <row r="309" spans="2:8" x14ac:dyDescent="0.25">
      <c r="B309" s="4"/>
      <c r="C309" s="9"/>
      <c r="D309" s="10"/>
      <c r="E309" s="7"/>
      <c r="H309" s="25"/>
    </row>
    <row r="310" spans="2:8" x14ac:dyDescent="0.25">
      <c r="B310" s="4"/>
      <c r="C310" s="9"/>
      <c r="D310" s="10"/>
      <c r="E310" s="7"/>
      <c r="H310" s="25"/>
    </row>
    <row r="311" spans="2:8" x14ac:dyDescent="0.25">
      <c r="B311" s="4"/>
      <c r="C311" s="8"/>
      <c r="D311" s="10"/>
      <c r="E311" s="7"/>
      <c r="H311" s="25"/>
    </row>
    <row r="312" spans="2:8" x14ac:dyDescent="0.25">
      <c r="B312" s="4"/>
      <c r="C312" s="8"/>
      <c r="D312" s="10"/>
      <c r="E312" s="7"/>
      <c r="H312" s="25"/>
    </row>
    <row r="313" spans="2:8" x14ac:dyDescent="0.25">
      <c r="B313" s="4"/>
      <c r="C313" s="9"/>
      <c r="D313" s="10"/>
      <c r="E313" s="7"/>
      <c r="H313" s="25"/>
    </row>
    <row r="314" spans="2:8" x14ac:dyDescent="0.25">
      <c r="B314" s="4"/>
      <c r="C314" s="9"/>
      <c r="D314" s="10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9"/>
      <c r="D316" s="10"/>
      <c r="E316" s="7"/>
      <c r="H316" s="25"/>
    </row>
    <row r="317" spans="2:8" x14ac:dyDescent="0.25">
      <c r="B317" s="4"/>
      <c r="C317" s="8"/>
      <c r="D317" s="10"/>
      <c r="E317" s="7"/>
      <c r="H317" s="25"/>
    </row>
    <row r="318" spans="2:8" x14ac:dyDescent="0.25">
      <c r="B318" s="4"/>
      <c r="C318" s="9"/>
      <c r="D318" s="10"/>
      <c r="E318" s="7"/>
      <c r="H318" s="25"/>
    </row>
    <row r="319" spans="2:8" x14ac:dyDescent="0.25">
      <c r="B319" s="4"/>
      <c r="C319" s="9"/>
      <c r="D319" s="15"/>
      <c r="E319" s="7"/>
      <c r="H319" s="25"/>
    </row>
    <row r="320" spans="2:8" x14ac:dyDescent="0.25">
      <c r="B320" s="4"/>
      <c r="C320" s="8"/>
      <c r="D320" s="15"/>
      <c r="E320" s="7"/>
      <c r="H320" s="25"/>
    </row>
    <row r="321" spans="2:8" x14ac:dyDescent="0.25">
      <c r="B321" s="4"/>
      <c r="C321" s="9"/>
      <c r="D321" s="10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8"/>
      <c r="D323" s="10"/>
      <c r="E323" s="7"/>
      <c r="H323" s="25"/>
    </row>
    <row r="324" spans="2:8" x14ac:dyDescent="0.25">
      <c r="B324" s="4"/>
      <c r="C324" s="9"/>
      <c r="D324" s="10"/>
      <c r="E324" s="7"/>
      <c r="H324" s="25"/>
    </row>
    <row r="325" spans="2:8" x14ac:dyDescent="0.25">
      <c r="B325" s="4"/>
      <c r="C325" s="9"/>
      <c r="D325" s="10"/>
      <c r="E325" s="7"/>
      <c r="H325" s="25"/>
    </row>
    <row r="326" spans="2:8" x14ac:dyDescent="0.25">
      <c r="B326" s="4"/>
      <c r="C326" s="8"/>
      <c r="D326" s="15"/>
      <c r="E326" s="7"/>
      <c r="H326" s="25"/>
    </row>
    <row r="327" spans="2:8" x14ac:dyDescent="0.25">
      <c r="B327" s="4"/>
      <c r="C327" s="9"/>
      <c r="D327" s="15"/>
      <c r="E327" s="7"/>
      <c r="H327" s="25"/>
    </row>
    <row r="328" spans="2:8" x14ac:dyDescent="0.25">
      <c r="B328" s="4"/>
      <c r="C328" s="9"/>
      <c r="D328" s="10"/>
      <c r="E328" s="7"/>
      <c r="H328" s="25"/>
    </row>
    <row r="329" spans="2:8" x14ac:dyDescent="0.25">
      <c r="B329" s="4"/>
      <c r="C329" s="9"/>
      <c r="D329" s="15"/>
      <c r="E329" s="7"/>
      <c r="H329" s="25"/>
    </row>
    <row r="330" spans="2:8" x14ac:dyDescent="0.25">
      <c r="B330" s="4"/>
      <c r="C330" s="8"/>
      <c r="D330" s="10"/>
      <c r="E330" s="7"/>
      <c r="H330" s="25"/>
    </row>
    <row r="331" spans="2:8" x14ac:dyDescent="0.25">
      <c r="B331" s="4"/>
      <c r="C331" s="9"/>
      <c r="D331" s="15"/>
      <c r="E331" s="7"/>
      <c r="H331" s="25"/>
    </row>
    <row r="332" spans="2:8" x14ac:dyDescent="0.25">
      <c r="B332" s="4"/>
      <c r="C332" s="9"/>
      <c r="D332" s="10"/>
      <c r="E332" s="7"/>
      <c r="H332" s="25"/>
    </row>
    <row r="333" spans="2:8" x14ac:dyDescent="0.25">
      <c r="B333" s="4"/>
      <c r="C333" s="9"/>
      <c r="D333" s="15"/>
      <c r="E333" s="7"/>
      <c r="H333" s="25"/>
    </row>
    <row r="334" spans="2:8" x14ac:dyDescent="0.25">
      <c r="B334" s="4"/>
      <c r="C334" s="9"/>
      <c r="D334" s="10"/>
      <c r="E334" s="7"/>
      <c r="H334" s="25"/>
    </row>
    <row r="335" spans="2:8" x14ac:dyDescent="0.25">
      <c r="B335" s="4"/>
      <c r="C335" s="9"/>
      <c r="D335" s="10"/>
      <c r="E335" s="7"/>
      <c r="H335" s="25"/>
    </row>
    <row r="336" spans="2:8" x14ac:dyDescent="0.25">
      <c r="B336" s="4"/>
      <c r="C336" s="9"/>
      <c r="D336" s="15"/>
      <c r="E336" s="7"/>
      <c r="H336" s="25"/>
    </row>
    <row r="337" spans="2:8" x14ac:dyDescent="0.25">
      <c r="B337" s="4"/>
      <c r="C337" s="9"/>
      <c r="D337" s="15"/>
      <c r="E337" s="7"/>
      <c r="H337" s="25"/>
    </row>
    <row r="338" spans="2:8" x14ac:dyDescent="0.25">
      <c r="B338" s="4"/>
      <c r="C338" s="9"/>
      <c r="D338" s="15"/>
      <c r="E338" s="7"/>
      <c r="H338" s="25"/>
    </row>
    <row r="339" spans="2:8" x14ac:dyDescent="0.25">
      <c r="B339" s="4"/>
      <c r="C339" s="9"/>
      <c r="D339" s="15"/>
      <c r="E339" s="7"/>
      <c r="H339" s="25"/>
    </row>
    <row r="340" spans="2:8" x14ac:dyDescent="0.25">
      <c r="B340" s="4"/>
      <c r="C340" s="8"/>
      <c r="D340" s="10"/>
      <c r="E340" s="7"/>
      <c r="H340" s="25"/>
    </row>
    <row r="341" spans="2:8" x14ac:dyDescent="0.25">
      <c r="B341" s="4"/>
      <c r="C341" s="9"/>
      <c r="D341" s="15"/>
      <c r="E341" s="7"/>
      <c r="H341" s="25"/>
    </row>
    <row r="342" spans="2:8" x14ac:dyDescent="0.25">
      <c r="B342" s="4"/>
      <c r="C342" s="9"/>
      <c r="D342" s="15"/>
      <c r="E342" s="7"/>
      <c r="H342" s="25"/>
    </row>
    <row r="343" spans="2:8" x14ac:dyDescent="0.25">
      <c r="B343" s="4"/>
      <c r="C343" s="9"/>
      <c r="D343" s="10"/>
      <c r="E343" s="7"/>
      <c r="H343" s="25"/>
    </row>
    <row r="344" spans="2:8" x14ac:dyDescent="0.25">
      <c r="B344" s="4"/>
      <c r="C344" s="9"/>
      <c r="D344" s="15"/>
      <c r="E344" s="7"/>
      <c r="H344" s="25"/>
    </row>
    <row r="345" spans="2:8" x14ac:dyDescent="0.25">
      <c r="B345" s="4"/>
      <c r="C345" s="8"/>
      <c r="D345" s="15"/>
      <c r="E345" s="7"/>
      <c r="H345" s="25"/>
    </row>
    <row r="346" spans="2:8" x14ac:dyDescent="0.25">
      <c r="B346" s="4"/>
      <c r="C346" s="9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0"/>
      <c r="E348" s="7"/>
      <c r="H348" s="25"/>
    </row>
    <row r="349" spans="2:8" x14ac:dyDescent="0.25">
      <c r="B349" s="4"/>
      <c r="C349" s="8"/>
      <c r="D349" s="15"/>
      <c r="E349" s="7"/>
      <c r="H349" s="25"/>
    </row>
    <row r="350" spans="2:8" x14ac:dyDescent="0.25">
      <c r="B350" s="4"/>
      <c r="C350" s="9"/>
      <c r="D350" s="10"/>
      <c r="E350" s="7"/>
      <c r="H350" s="25"/>
    </row>
    <row r="351" spans="2:8" x14ac:dyDescent="0.25">
      <c r="B351" s="4"/>
      <c r="C351" s="9"/>
      <c r="D351" s="15"/>
      <c r="E351" s="7"/>
      <c r="H351" s="25"/>
    </row>
    <row r="352" spans="2:8" x14ac:dyDescent="0.25">
      <c r="B352" s="4"/>
      <c r="C352" s="9"/>
      <c r="D352" s="10"/>
      <c r="E352" s="7"/>
      <c r="H352" s="25"/>
    </row>
    <row r="353" spans="2:8" x14ac:dyDescent="0.25">
      <c r="B353" s="4"/>
      <c r="C353" s="9"/>
      <c r="D353" s="10"/>
      <c r="E353" s="7"/>
      <c r="H353" s="25"/>
    </row>
    <row r="354" spans="2:8" x14ac:dyDescent="0.25">
      <c r="B354" s="4"/>
      <c r="C354" s="9"/>
      <c r="D354" s="10"/>
      <c r="E354" s="7"/>
      <c r="H354" s="25"/>
    </row>
    <row r="355" spans="2:8" x14ac:dyDescent="0.25">
      <c r="B355" s="4"/>
      <c r="C355" s="9"/>
      <c r="D355" s="15"/>
      <c r="E355" s="7"/>
      <c r="H355" s="25"/>
    </row>
    <row r="356" spans="2:8" x14ac:dyDescent="0.25">
      <c r="B356" s="4"/>
      <c r="C356" s="9"/>
      <c r="D356" s="10"/>
      <c r="E356" s="7"/>
      <c r="H356" s="25"/>
    </row>
    <row r="357" spans="2:8" x14ac:dyDescent="0.25">
      <c r="B357" s="4"/>
      <c r="C357" s="9"/>
      <c r="D357" s="10"/>
      <c r="E357" s="7"/>
      <c r="H357" s="25"/>
    </row>
    <row r="358" spans="2:8" x14ac:dyDescent="0.25">
      <c r="B358" s="4"/>
      <c r="C358" s="9"/>
      <c r="D358" s="10"/>
      <c r="E358" s="7"/>
      <c r="H358" s="25"/>
    </row>
    <row r="359" spans="2:8" x14ac:dyDescent="0.25">
      <c r="C359" s="8"/>
      <c r="D359" s="10"/>
      <c r="E359" s="7"/>
      <c r="H359" s="25"/>
    </row>
    <row r="360" spans="2:8" x14ac:dyDescent="0.25">
      <c r="C360" s="9"/>
      <c r="D360" s="15"/>
      <c r="E360" s="7"/>
      <c r="H360" s="25"/>
    </row>
    <row r="361" spans="2:8" x14ac:dyDescent="0.25">
      <c r="C361" s="9"/>
      <c r="D361" s="10"/>
      <c r="E361" s="7"/>
      <c r="H361" s="25"/>
    </row>
    <row r="362" spans="2:8" x14ac:dyDescent="0.25">
      <c r="H362" s="25"/>
    </row>
    <row r="363" spans="2:8" x14ac:dyDescent="0.25">
      <c r="H363" s="25"/>
    </row>
    <row r="364" spans="2:8" x14ac:dyDescent="0.25">
      <c r="H364" s="25"/>
    </row>
    <row r="365" spans="2:8" x14ac:dyDescent="0.25">
      <c r="H365" s="25"/>
    </row>
    <row r="366" spans="2:8" x14ac:dyDescent="0.25">
      <c r="H366" s="25"/>
    </row>
    <row r="367" spans="2:8" x14ac:dyDescent="0.25">
      <c r="H367" s="25"/>
    </row>
    <row r="368" spans="2:8" x14ac:dyDescent="0.25">
      <c r="H368" s="25"/>
    </row>
    <row r="369" spans="8:8" x14ac:dyDescent="0.25">
      <c r="H369" s="29"/>
    </row>
  </sheetData>
  <autoFilter ref="C1:C365"/>
  <sortState ref="B2:H32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/>
  <dimension ref="A1:AE354"/>
  <sheetViews>
    <sheetView zoomScaleNormal="100" workbookViewId="0">
      <pane ySplit="1" topLeftCell="A2" activePane="bottomLeft" state="frozen"/>
      <selection activeCell="T161" sqref="T161"/>
      <selection pane="bottomLeft" activeCell="W1" sqref="W1:Z1"/>
    </sheetView>
  </sheetViews>
  <sheetFormatPr baseColWidth="10" defaultRowHeight="15" x14ac:dyDescent="0.25"/>
  <cols>
    <col min="1" max="1" width="4.28515625" style="23" customWidth="1"/>
    <col min="2" max="2" width="43.7109375" style="20" bestFit="1" customWidth="1"/>
    <col min="3" max="3" width="4.7109375" style="21" bestFit="1" customWidth="1"/>
    <col min="4" max="4" width="3.7109375" style="375" bestFit="1" customWidth="1"/>
    <col min="5" max="5" width="3.7109375" style="492" customWidth="1"/>
    <col min="6" max="6" width="3.28515625" style="375" customWidth="1"/>
    <col min="7" max="7" width="3.7109375" style="492" customWidth="1"/>
    <col min="8" max="8" width="3.28515625" style="375" customWidth="1"/>
    <col min="9" max="9" width="3.7109375" style="492" customWidth="1"/>
    <col min="10" max="10" width="3.5703125" style="375" customWidth="1"/>
    <col min="11" max="11" width="3.7109375" style="492" customWidth="1"/>
    <col min="12" max="12" width="3.5703125" style="375" customWidth="1"/>
    <col min="13" max="13" width="3.7109375" style="492" customWidth="1"/>
    <col min="14" max="14" width="3.7109375" style="567" bestFit="1" customWidth="1"/>
    <col min="15" max="15" width="5" style="52" customWidth="1"/>
    <col min="16" max="16" width="5.42578125" style="21" customWidth="1"/>
    <col min="17" max="17" width="6.85546875" style="18" bestFit="1" customWidth="1"/>
    <col min="18" max="18" width="11.5703125" style="150" customWidth="1"/>
    <col min="19" max="19" width="8.28515625" style="14" customWidth="1"/>
    <col min="20" max="20" width="3.85546875" style="14" customWidth="1"/>
    <col min="21" max="21" width="3.7109375" style="14" customWidth="1"/>
    <col min="22" max="22" width="7.5703125" style="14" bestFit="1" customWidth="1"/>
    <col min="23" max="23" width="3.7109375" style="14" customWidth="1"/>
    <col min="24" max="24" width="3.85546875" style="14" customWidth="1"/>
    <col min="25" max="25" width="3.7109375" style="14" customWidth="1"/>
    <col min="26" max="26" width="3" style="28" customWidth="1"/>
    <col min="27" max="27" width="3.5703125" style="135" customWidth="1"/>
    <col min="28" max="28" width="3.85546875" style="135" customWidth="1"/>
    <col min="29" max="29" width="3.85546875" style="132" customWidth="1"/>
    <col min="30" max="30" width="4" style="135" customWidth="1"/>
  </cols>
  <sheetData>
    <row r="1" spans="1:31" ht="83.25" customHeight="1" x14ac:dyDescent="0.25">
      <c r="A1" s="116" t="s">
        <v>0</v>
      </c>
      <c r="B1" s="116" t="s">
        <v>1</v>
      </c>
      <c r="C1" s="2" t="s">
        <v>2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560" t="s">
        <v>3</v>
      </c>
      <c r="O1" s="182" t="s">
        <v>4</v>
      </c>
      <c r="P1" s="226" t="s">
        <v>110</v>
      </c>
      <c r="Q1" s="183" t="s">
        <v>5</v>
      </c>
      <c r="R1" s="68" t="s">
        <v>111</v>
      </c>
      <c r="S1" s="555" t="s">
        <v>107</v>
      </c>
      <c r="T1" s="277" t="s">
        <v>539</v>
      </c>
      <c r="U1" s="278" t="s">
        <v>540</v>
      </c>
      <c r="V1" s="556" t="s">
        <v>108</v>
      </c>
      <c r="W1" s="299" t="s">
        <v>1472</v>
      </c>
      <c r="X1" s="265" t="s">
        <v>1473</v>
      </c>
      <c r="Y1" s="346" t="s">
        <v>1434</v>
      </c>
      <c r="Z1" s="299" t="s">
        <v>1488</v>
      </c>
      <c r="AA1" s="260" t="s">
        <v>119</v>
      </c>
      <c r="AB1" s="260" t="s">
        <v>120</v>
      </c>
      <c r="AC1" s="260" t="s">
        <v>118</v>
      </c>
      <c r="AD1" s="260" t="s">
        <v>117</v>
      </c>
    </row>
    <row r="2" spans="1:31" x14ac:dyDescent="0.25">
      <c r="A2" s="3">
        <v>1</v>
      </c>
      <c r="B2" s="4" t="s">
        <v>810</v>
      </c>
      <c r="C2" s="339">
        <v>1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561"/>
      <c r="O2" s="340">
        <f t="shared" ref="O2:O27" si="0">SUM(C2-D2-E2-F2-G2-H2-I2-J2-K2-L2-M2-N2)</f>
        <v>1</v>
      </c>
      <c r="P2" s="438">
        <f>AD2-O2</f>
        <v>7</v>
      </c>
      <c r="Q2" s="10">
        <v>47</v>
      </c>
      <c r="R2" s="63" t="s">
        <v>807</v>
      </c>
      <c r="S2" s="81">
        <v>46357</v>
      </c>
      <c r="T2" s="14">
        <v>0</v>
      </c>
      <c r="V2" s="81">
        <v>45505</v>
      </c>
      <c r="W2" s="14">
        <v>1</v>
      </c>
      <c r="X2" s="14">
        <v>1</v>
      </c>
      <c r="Y2" s="14">
        <v>1</v>
      </c>
      <c r="Z2" s="28">
        <v>1</v>
      </c>
      <c r="AA2" s="184">
        <f t="shared" ref="AA2:AA10" si="1">W2+X2+Y2+Z2</f>
        <v>4</v>
      </c>
      <c r="AB2" s="185">
        <f t="shared" ref="AB2:AB10" si="2">AA2/4</f>
        <v>1</v>
      </c>
      <c r="AC2" s="185">
        <f t="shared" ref="AC2:AC10" si="3">AB2*4</f>
        <v>4</v>
      </c>
      <c r="AD2" s="185">
        <f t="shared" ref="AD2:AD10" si="4">AC2*2</f>
        <v>8</v>
      </c>
    </row>
    <row r="3" spans="1:31" x14ac:dyDescent="0.25">
      <c r="A3" s="13">
        <v>2</v>
      </c>
      <c r="B3" s="4" t="s">
        <v>802</v>
      </c>
      <c r="C3" s="340">
        <v>2</v>
      </c>
      <c r="D3" s="359"/>
      <c r="E3" s="478"/>
      <c r="F3" s="359"/>
      <c r="G3" s="478">
        <v>1</v>
      </c>
      <c r="H3" s="359"/>
      <c r="I3" s="478"/>
      <c r="J3" s="359"/>
      <c r="K3" s="478"/>
      <c r="L3" s="359"/>
      <c r="M3" s="478"/>
      <c r="N3" s="561"/>
      <c r="O3" s="340">
        <f t="shared" si="0"/>
        <v>1</v>
      </c>
      <c r="P3" s="438">
        <f t="shared" ref="P3:P27" si="5">AD3-O3</f>
        <v>3</v>
      </c>
      <c r="Q3" s="7">
        <v>15</v>
      </c>
      <c r="R3" s="63"/>
      <c r="S3" s="107"/>
      <c r="T3" s="107">
        <v>2</v>
      </c>
      <c r="U3" s="127"/>
      <c r="V3" s="199">
        <v>44652</v>
      </c>
      <c r="W3" s="107"/>
      <c r="X3" s="107">
        <v>1</v>
      </c>
      <c r="Y3" s="107">
        <v>1</v>
      </c>
      <c r="Z3" s="309"/>
      <c r="AA3" s="184">
        <f t="shared" si="1"/>
        <v>2</v>
      </c>
      <c r="AB3" s="185">
        <f t="shared" si="2"/>
        <v>0.5</v>
      </c>
      <c r="AC3" s="185">
        <f t="shared" si="3"/>
        <v>2</v>
      </c>
      <c r="AD3" s="185">
        <f t="shared" si="4"/>
        <v>4</v>
      </c>
    </row>
    <row r="4" spans="1:31" x14ac:dyDescent="0.25">
      <c r="A4" s="13">
        <f t="shared" ref="A4:A32" si="6">A3+1</f>
        <v>3</v>
      </c>
      <c r="B4" s="4" t="s">
        <v>478</v>
      </c>
      <c r="C4" s="340">
        <v>1</v>
      </c>
      <c r="D4" s="359"/>
      <c r="E4" s="478"/>
      <c r="F4" s="359"/>
      <c r="G4" s="478"/>
      <c r="H4" s="359"/>
      <c r="I4" s="478"/>
      <c r="J4" s="359"/>
      <c r="K4" s="478"/>
      <c r="L4" s="359"/>
      <c r="M4" s="478"/>
      <c r="N4" s="561"/>
      <c r="O4" s="340">
        <f t="shared" si="0"/>
        <v>1</v>
      </c>
      <c r="P4" s="438">
        <f t="shared" si="5"/>
        <v>1</v>
      </c>
      <c r="Q4" s="7">
        <v>68</v>
      </c>
      <c r="R4" s="63"/>
      <c r="S4" s="107"/>
      <c r="T4" s="107">
        <v>0</v>
      </c>
      <c r="U4" s="127"/>
      <c r="V4" s="199">
        <v>45627</v>
      </c>
      <c r="W4" s="199"/>
      <c r="X4" s="107">
        <v>1</v>
      </c>
      <c r="Y4" s="107"/>
      <c r="Z4" s="309"/>
      <c r="AA4" s="184">
        <f t="shared" si="1"/>
        <v>1</v>
      </c>
      <c r="AB4" s="185">
        <f t="shared" si="2"/>
        <v>0.25</v>
      </c>
      <c r="AC4" s="185">
        <f t="shared" si="3"/>
        <v>1</v>
      </c>
      <c r="AD4" s="185">
        <f t="shared" si="4"/>
        <v>2</v>
      </c>
    </row>
    <row r="5" spans="1:31" x14ac:dyDescent="0.25">
      <c r="A5" s="315">
        <f t="shared" si="6"/>
        <v>4</v>
      </c>
      <c r="B5" s="4" t="s">
        <v>796</v>
      </c>
      <c r="C5" s="340">
        <v>2</v>
      </c>
      <c r="D5" s="359"/>
      <c r="E5" s="478"/>
      <c r="F5" s="359"/>
      <c r="G5" s="478"/>
      <c r="H5" s="359"/>
      <c r="I5" s="478"/>
      <c r="J5" s="359"/>
      <c r="K5" s="478"/>
      <c r="L5" s="359"/>
      <c r="M5" s="478"/>
      <c r="N5" s="561"/>
      <c r="O5" s="340">
        <f t="shared" si="0"/>
        <v>2</v>
      </c>
      <c r="P5" s="689">
        <f t="shared" si="5"/>
        <v>0</v>
      </c>
      <c r="Q5" s="7">
        <v>68</v>
      </c>
      <c r="R5" s="63"/>
      <c r="S5" s="107"/>
      <c r="T5" s="107">
        <v>2</v>
      </c>
      <c r="U5" s="127"/>
      <c r="V5" s="199">
        <v>45627</v>
      </c>
      <c r="W5" s="107"/>
      <c r="X5" s="107">
        <v>1</v>
      </c>
      <c r="Y5" s="107"/>
      <c r="Z5" s="309"/>
      <c r="AA5" s="184">
        <f t="shared" si="1"/>
        <v>1</v>
      </c>
      <c r="AB5" s="185">
        <f t="shared" si="2"/>
        <v>0.25</v>
      </c>
      <c r="AC5" s="185">
        <f t="shared" si="3"/>
        <v>1</v>
      </c>
      <c r="AD5" s="185">
        <f t="shared" si="4"/>
        <v>2</v>
      </c>
    </row>
    <row r="6" spans="1:31" s="113" customFormat="1" x14ac:dyDescent="0.25">
      <c r="A6" s="315">
        <f t="shared" si="6"/>
        <v>5</v>
      </c>
      <c r="B6" s="314" t="s">
        <v>760</v>
      </c>
      <c r="C6" s="340">
        <v>2</v>
      </c>
      <c r="D6" s="359"/>
      <c r="E6" s="478"/>
      <c r="F6" s="359"/>
      <c r="G6" s="478"/>
      <c r="H6" s="359"/>
      <c r="I6" s="478"/>
      <c r="J6" s="359"/>
      <c r="K6" s="478"/>
      <c r="L6" s="359"/>
      <c r="M6" s="478"/>
      <c r="N6" s="561"/>
      <c r="O6" s="340">
        <f t="shared" si="0"/>
        <v>2</v>
      </c>
      <c r="P6" s="438">
        <f t="shared" si="5"/>
        <v>4</v>
      </c>
      <c r="Q6" s="7">
        <v>17</v>
      </c>
      <c r="R6" s="63" t="s">
        <v>807</v>
      </c>
      <c r="S6" s="107"/>
      <c r="T6" s="107">
        <v>1</v>
      </c>
      <c r="U6" s="127"/>
      <c r="V6" s="199">
        <v>45413</v>
      </c>
      <c r="W6" s="107">
        <v>1</v>
      </c>
      <c r="X6" s="107">
        <v>1</v>
      </c>
      <c r="Y6" s="107">
        <v>1</v>
      </c>
      <c r="Z6" s="309"/>
      <c r="AA6" s="184">
        <f t="shared" si="1"/>
        <v>3</v>
      </c>
      <c r="AB6" s="185">
        <f t="shared" si="2"/>
        <v>0.75</v>
      </c>
      <c r="AC6" s="185">
        <f t="shared" si="3"/>
        <v>3</v>
      </c>
      <c r="AD6" s="185">
        <f t="shared" si="4"/>
        <v>6</v>
      </c>
    </row>
    <row r="7" spans="1:31" x14ac:dyDescent="0.25">
      <c r="A7" s="315">
        <f t="shared" si="6"/>
        <v>6</v>
      </c>
      <c r="B7" s="314" t="s">
        <v>93</v>
      </c>
      <c r="C7" s="340">
        <v>2</v>
      </c>
      <c r="D7" s="359"/>
      <c r="E7" s="478"/>
      <c r="F7" s="359"/>
      <c r="G7" s="478"/>
      <c r="H7" s="359"/>
      <c r="I7" s="478"/>
      <c r="J7" s="359"/>
      <c r="K7" s="478"/>
      <c r="L7" s="359"/>
      <c r="M7" s="478"/>
      <c r="N7" s="561"/>
      <c r="O7" s="340">
        <f t="shared" si="0"/>
        <v>2</v>
      </c>
      <c r="P7" s="695">
        <v>3</v>
      </c>
      <c r="Q7" s="7">
        <v>13</v>
      </c>
      <c r="R7" s="63"/>
      <c r="S7" s="309"/>
      <c r="T7" s="309">
        <v>0</v>
      </c>
      <c r="U7" s="318"/>
      <c r="V7" s="344">
        <v>45627</v>
      </c>
      <c r="W7" s="309">
        <v>1</v>
      </c>
      <c r="X7" s="309">
        <v>1</v>
      </c>
      <c r="Y7" s="309">
        <v>1</v>
      </c>
      <c r="Z7" s="309">
        <v>1</v>
      </c>
      <c r="AA7" s="184">
        <f t="shared" si="1"/>
        <v>4</v>
      </c>
      <c r="AB7" s="185">
        <f t="shared" si="2"/>
        <v>1</v>
      </c>
      <c r="AC7" s="185">
        <f t="shared" si="3"/>
        <v>4</v>
      </c>
      <c r="AD7" s="185">
        <f t="shared" si="4"/>
        <v>8</v>
      </c>
    </row>
    <row r="8" spans="1:31" s="113" customFormat="1" x14ac:dyDescent="0.25">
      <c r="A8" s="315">
        <f t="shared" si="6"/>
        <v>7</v>
      </c>
      <c r="B8" s="314" t="s">
        <v>352</v>
      </c>
      <c r="C8" s="340">
        <v>0</v>
      </c>
      <c r="D8" s="359"/>
      <c r="E8" s="478"/>
      <c r="F8" s="359"/>
      <c r="G8" s="478"/>
      <c r="H8" s="359"/>
      <c r="I8" s="478"/>
      <c r="J8" s="359"/>
      <c r="K8" s="478"/>
      <c r="L8" s="359"/>
      <c r="M8" s="478"/>
      <c r="N8" s="561"/>
      <c r="O8" s="340">
        <f t="shared" si="0"/>
        <v>0</v>
      </c>
      <c r="P8" s="695">
        <v>3</v>
      </c>
      <c r="Q8" s="7">
        <v>25</v>
      </c>
      <c r="R8" s="63"/>
      <c r="S8" s="309"/>
      <c r="T8" s="309">
        <v>0</v>
      </c>
      <c r="U8" s="318"/>
      <c r="V8" s="344">
        <v>45231</v>
      </c>
      <c r="W8" s="309">
        <v>1</v>
      </c>
      <c r="X8" s="309">
        <v>1</v>
      </c>
      <c r="Y8" s="309">
        <v>1</v>
      </c>
      <c r="Z8" s="309">
        <v>1</v>
      </c>
      <c r="AA8" s="184">
        <f t="shared" si="1"/>
        <v>4</v>
      </c>
      <c r="AB8" s="185">
        <f t="shared" si="2"/>
        <v>1</v>
      </c>
      <c r="AC8" s="185">
        <f t="shared" si="3"/>
        <v>4</v>
      </c>
      <c r="AD8" s="185">
        <f t="shared" si="4"/>
        <v>8</v>
      </c>
      <c r="AE8"/>
    </row>
    <row r="9" spans="1:31" s="97" customFormat="1" x14ac:dyDescent="0.25">
      <c r="A9" s="315">
        <f t="shared" si="6"/>
        <v>8</v>
      </c>
      <c r="B9" s="314" t="s">
        <v>584</v>
      </c>
      <c r="C9" s="340">
        <v>83</v>
      </c>
      <c r="D9" s="359"/>
      <c r="E9" s="478"/>
      <c r="F9" s="359"/>
      <c r="G9" s="478"/>
      <c r="H9" s="359"/>
      <c r="I9" s="478"/>
      <c r="J9" s="359"/>
      <c r="K9" s="478"/>
      <c r="L9" s="359"/>
      <c r="M9" s="478"/>
      <c r="N9" s="561"/>
      <c r="O9" s="340">
        <f t="shared" si="0"/>
        <v>83</v>
      </c>
      <c r="P9" s="438">
        <f t="shared" si="5"/>
        <v>49</v>
      </c>
      <c r="Q9" s="7">
        <v>1.25</v>
      </c>
      <c r="R9" s="8"/>
      <c r="S9" s="81">
        <v>46023</v>
      </c>
      <c r="T9" s="14"/>
      <c r="U9" s="45"/>
      <c r="V9" s="81">
        <v>45627</v>
      </c>
      <c r="W9" s="14">
        <v>1</v>
      </c>
      <c r="X9" s="14">
        <v>22</v>
      </c>
      <c r="Y9" s="14">
        <v>40</v>
      </c>
      <c r="Z9" s="28">
        <v>3</v>
      </c>
      <c r="AA9" s="184">
        <f t="shared" si="1"/>
        <v>66</v>
      </c>
      <c r="AB9" s="185">
        <f t="shared" si="2"/>
        <v>16.5</v>
      </c>
      <c r="AC9" s="185">
        <f t="shared" si="3"/>
        <v>66</v>
      </c>
      <c r="AD9" s="185">
        <f t="shared" si="4"/>
        <v>132</v>
      </c>
    </row>
    <row r="10" spans="1:31" s="97" customFormat="1" x14ac:dyDescent="0.25">
      <c r="A10" s="315">
        <f t="shared" si="6"/>
        <v>9</v>
      </c>
      <c r="B10" s="314" t="s">
        <v>1075</v>
      </c>
      <c r="C10" s="413">
        <v>9</v>
      </c>
      <c r="D10" s="367"/>
      <c r="E10" s="479"/>
      <c r="F10" s="364"/>
      <c r="G10" s="486"/>
      <c r="H10" s="364"/>
      <c r="I10" s="486"/>
      <c r="J10" s="381"/>
      <c r="K10" s="487">
        <v>5</v>
      </c>
      <c r="L10" s="364"/>
      <c r="M10" s="486"/>
      <c r="N10" s="568"/>
      <c r="O10" s="340">
        <f t="shared" si="0"/>
        <v>4</v>
      </c>
      <c r="P10" s="438">
        <f t="shared" si="5"/>
        <v>10</v>
      </c>
      <c r="Q10" s="7">
        <v>12</v>
      </c>
      <c r="R10" s="8" t="s">
        <v>807</v>
      </c>
      <c r="S10" s="110">
        <v>46784</v>
      </c>
      <c r="T10" s="53">
        <v>0</v>
      </c>
      <c r="U10" s="53"/>
      <c r="V10" s="110">
        <v>45658</v>
      </c>
      <c r="W10" s="315">
        <v>1</v>
      </c>
      <c r="X10" s="315">
        <v>3</v>
      </c>
      <c r="Y10" s="315">
        <v>2</v>
      </c>
      <c r="Z10" s="315">
        <v>1</v>
      </c>
      <c r="AA10" s="184">
        <f t="shared" si="1"/>
        <v>7</v>
      </c>
      <c r="AB10" s="185">
        <f t="shared" si="2"/>
        <v>1.75</v>
      </c>
      <c r="AC10" s="185">
        <f t="shared" si="3"/>
        <v>7</v>
      </c>
      <c r="AD10" s="185">
        <f t="shared" si="4"/>
        <v>14</v>
      </c>
    </row>
    <row r="11" spans="1:31" x14ac:dyDescent="0.25">
      <c r="A11" s="315">
        <f t="shared" si="6"/>
        <v>10</v>
      </c>
      <c r="B11" s="4" t="s">
        <v>1315</v>
      </c>
      <c r="C11" s="340">
        <v>46</v>
      </c>
      <c r="D11" s="359"/>
      <c r="E11" s="478"/>
      <c r="F11" s="359"/>
      <c r="G11" s="478"/>
      <c r="H11" s="359"/>
      <c r="I11" s="478"/>
      <c r="J11" s="359"/>
      <c r="K11" s="478"/>
      <c r="L11" s="359"/>
      <c r="M11" s="478">
        <v>2</v>
      </c>
      <c r="N11" s="561"/>
      <c r="O11" s="340">
        <f t="shared" si="0"/>
        <v>44</v>
      </c>
      <c r="P11" s="340">
        <f t="shared" si="5"/>
        <v>-44</v>
      </c>
      <c r="Q11" s="10">
        <v>7</v>
      </c>
      <c r="R11" s="63"/>
      <c r="S11" s="81">
        <v>46844</v>
      </c>
      <c r="V11" s="81">
        <v>45627</v>
      </c>
      <c r="X11" s="14">
        <v>1</v>
      </c>
    </row>
    <row r="12" spans="1:31" x14ac:dyDescent="0.25">
      <c r="A12" s="315">
        <f t="shared" si="6"/>
        <v>11</v>
      </c>
      <c r="B12" s="314" t="s">
        <v>516</v>
      </c>
      <c r="C12" s="340">
        <v>0</v>
      </c>
      <c r="D12" s="359"/>
      <c r="E12" s="478"/>
      <c r="F12" s="359"/>
      <c r="G12" s="478"/>
      <c r="H12" s="359"/>
      <c r="I12" s="478"/>
      <c r="J12" s="359"/>
      <c r="K12" s="478"/>
      <c r="L12" s="359"/>
      <c r="M12" s="478"/>
      <c r="N12" s="561"/>
      <c r="O12" s="340">
        <f t="shared" si="0"/>
        <v>0</v>
      </c>
      <c r="P12" s="438">
        <f t="shared" si="5"/>
        <v>2</v>
      </c>
      <c r="Q12" s="7">
        <v>3</v>
      </c>
      <c r="R12" s="63"/>
      <c r="S12" s="16"/>
      <c r="T12" s="16"/>
      <c r="U12" s="306"/>
      <c r="V12" s="77">
        <v>45231</v>
      </c>
      <c r="W12" s="16"/>
      <c r="X12" s="16">
        <v>1</v>
      </c>
      <c r="Y12" s="16"/>
      <c r="Z12" s="315"/>
      <c r="AA12" s="184">
        <f>W12+X12+Y12+Z12</f>
        <v>1</v>
      </c>
      <c r="AB12" s="185">
        <f>AA12/4</f>
        <v>0.25</v>
      </c>
      <c r="AC12" s="185">
        <f>AB12*4</f>
        <v>1</v>
      </c>
      <c r="AD12" s="185">
        <f>AC12*2</f>
        <v>2</v>
      </c>
    </row>
    <row r="13" spans="1:31" x14ac:dyDescent="0.25">
      <c r="A13" s="315">
        <f t="shared" si="6"/>
        <v>12</v>
      </c>
      <c r="B13" s="314" t="s">
        <v>517</v>
      </c>
      <c r="C13" s="340">
        <v>2</v>
      </c>
      <c r="D13" s="359"/>
      <c r="E13" s="478"/>
      <c r="F13" s="359"/>
      <c r="G13" s="478"/>
      <c r="H13" s="359"/>
      <c r="I13" s="478"/>
      <c r="J13" s="359"/>
      <c r="K13" s="478"/>
      <c r="L13" s="359"/>
      <c r="M13" s="478"/>
      <c r="N13" s="561"/>
      <c r="O13" s="340">
        <f t="shared" si="0"/>
        <v>2</v>
      </c>
      <c r="P13" s="438">
        <f t="shared" si="5"/>
        <v>6</v>
      </c>
      <c r="Q13" s="7">
        <v>3</v>
      </c>
      <c r="R13" s="63"/>
      <c r="S13" s="83">
        <v>46508</v>
      </c>
      <c r="T13" s="83"/>
      <c r="U13" s="321"/>
      <c r="V13" s="83">
        <v>45231</v>
      </c>
      <c r="W13" s="315"/>
      <c r="X13" s="315">
        <v>1</v>
      </c>
      <c r="Y13" s="315">
        <v>2</v>
      </c>
      <c r="Z13" s="315">
        <v>1</v>
      </c>
      <c r="AA13" s="184">
        <f>W13+X13+Y13+Z13</f>
        <v>4</v>
      </c>
      <c r="AB13" s="185">
        <f>AA13/4</f>
        <v>1</v>
      </c>
      <c r="AC13" s="185">
        <f>AB13*4</f>
        <v>4</v>
      </c>
      <c r="AD13" s="185">
        <f>AC13*2</f>
        <v>8</v>
      </c>
    </row>
    <row r="14" spans="1:31" x14ac:dyDescent="0.25">
      <c r="A14" s="315">
        <f t="shared" si="6"/>
        <v>13</v>
      </c>
      <c r="B14" s="314" t="s">
        <v>353</v>
      </c>
      <c r="C14" s="340">
        <v>4</v>
      </c>
      <c r="D14" s="359"/>
      <c r="E14" s="478"/>
      <c r="F14" s="359"/>
      <c r="G14" s="478"/>
      <c r="H14" s="359"/>
      <c r="I14" s="478"/>
      <c r="J14" s="359"/>
      <c r="K14" s="478"/>
      <c r="L14" s="359"/>
      <c r="M14" s="478"/>
      <c r="N14" s="561"/>
      <c r="O14" s="340">
        <f t="shared" si="0"/>
        <v>4</v>
      </c>
      <c r="P14" s="340">
        <f t="shared" si="5"/>
        <v>-4</v>
      </c>
      <c r="Q14" s="7">
        <v>3</v>
      </c>
      <c r="R14" s="63"/>
      <c r="S14" s="83"/>
      <c r="T14" s="83"/>
      <c r="U14" s="321"/>
      <c r="V14" s="83">
        <v>44652</v>
      </c>
      <c r="W14" s="315"/>
      <c r="X14" s="315"/>
      <c r="Y14" s="315"/>
      <c r="Z14" s="315"/>
      <c r="AA14" s="184">
        <f>W14+X14+Y14+Z14</f>
        <v>0</v>
      </c>
      <c r="AB14" s="185">
        <f>AA14/4</f>
        <v>0</v>
      </c>
      <c r="AC14" s="185">
        <f>AB14*4</f>
        <v>0</v>
      </c>
      <c r="AD14" s="185">
        <f>AC14*2</f>
        <v>0</v>
      </c>
    </row>
    <row r="15" spans="1:31" x14ac:dyDescent="0.25">
      <c r="A15" s="315">
        <f t="shared" si="6"/>
        <v>14</v>
      </c>
      <c r="B15" s="314" t="s">
        <v>1316</v>
      </c>
      <c r="C15" s="340">
        <v>2</v>
      </c>
      <c r="D15" s="359"/>
      <c r="E15" s="478"/>
      <c r="F15" s="359"/>
      <c r="G15" s="478"/>
      <c r="H15" s="359"/>
      <c r="I15" s="478"/>
      <c r="J15" s="359"/>
      <c r="K15" s="478"/>
      <c r="L15" s="359"/>
      <c r="M15" s="478"/>
      <c r="N15" s="561"/>
      <c r="O15" s="340">
        <f t="shared" si="0"/>
        <v>2</v>
      </c>
      <c r="P15" s="340">
        <f t="shared" si="5"/>
        <v>-2</v>
      </c>
      <c r="Q15" s="10">
        <v>65</v>
      </c>
      <c r="R15" s="63"/>
      <c r="S15" s="81">
        <v>46600</v>
      </c>
      <c r="T15" s="14">
        <v>2</v>
      </c>
      <c r="V15" s="81">
        <v>45627</v>
      </c>
    </row>
    <row r="16" spans="1:31" x14ac:dyDescent="0.25">
      <c r="A16" s="315">
        <f t="shared" si="6"/>
        <v>15</v>
      </c>
      <c r="B16" s="4" t="s">
        <v>354</v>
      </c>
      <c r="C16" s="340">
        <v>3</v>
      </c>
      <c r="D16" s="359"/>
      <c r="E16" s="478"/>
      <c r="F16" s="359"/>
      <c r="G16" s="478"/>
      <c r="H16" s="359"/>
      <c r="I16" s="478"/>
      <c r="J16" s="359"/>
      <c r="K16" s="478"/>
      <c r="L16" s="359"/>
      <c r="M16" s="478"/>
      <c r="N16" s="561"/>
      <c r="O16" s="340">
        <f t="shared" si="0"/>
        <v>3</v>
      </c>
      <c r="P16" s="438">
        <f t="shared" si="5"/>
        <v>5</v>
      </c>
      <c r="Q16" s="7">
        <v>8</v>
      </c>
      <c r="R16" s="63"/>
      <c r="S16" s="107"/>
      <c r="T16" s="127">
        <v>4</v>
      </c>
      <c r="U16" s="127"/>
      <c r="V16" s="199">
        <v>45627</v>
      </c>
      <c r="W16" s="107">
        <v>1</v>
      </c>
      <c r="X16" s="107">
        <v>1</v>
      </c>
      <c r="Y16" s="107">
        <v>1</v>
      </c>
      <c r="Z16" s="309">
        <v>1</v>
      </c>
      <c r="AA16" s="184">
        <f t="shared" ref="AA16:AA27" si="7">W16+X16+Y16+Z16</f>
        <v>4</v>
      </c>
      <c r="AB16" s="185">
        <f t="shared" ref="AB16:AB27" si="8">AA16/4</f>
        <v>1</v>
      </c>
      <c r="AC16" s="185">
        <f t="shared" ref="AC16:AC27" si="9">AB16*4</f>
        <v>4</v>
      </c>
      <c r="AD16" s="185">
        <f t="shared" ref="AD16:AD27" si="10">AC16*2</f>
        <v>8</v>
      </c>
    </row>
    <row r="17" spans="1:30" x14ac:dyDescent="0.25">
      <c r="A17" s="315">
        <f t="shared" si="6"/>
        <v>16</v>
      </c>
      <c r="B17" s="314" t="s">
        <v>799</v>
      </c>
      <c r="C17" s="340">
        <v>4</v>
      </c>
      <c r="D17" s="359"/>
      <c r="E17" s="478"/>
      <c r="F17" s="359"/>
      <c r="G17" s="478"/>
      <c r="H17" s="359"/>
      <c r="I17" s="478"/>
      <c r="J17" s="359"/>
      <c r="K17" s="478"/>
      <c r="L17" s="359"/>
      <c r="M17" s="478"/>
      <c r="N17" s="561"/>
      <c r="O17" s="340">
        <f t="shared" si="0"/>
        <v>4</v>
      </c>
      <c r="P17" s="438">
        <f t="shared" si="5"/>
        <v>10</v>
      </c>
      <c r="Q17" s="7">
        <v>25</v>
      </c>
      <c r="R17" s="63" t="s">
        <v>807</v>
      </c>
      <c r="S17" s="81">
        <v>46357</v>
      </c>
      <c r="T17" s="14">
        <v>6</v>
      </c>
      <c r="V17" s="81">
        <v>45658</v>
      </c>
      <c r="W17" s="14">
        <v>1</v>
      </c>
      <c r="X17" s="14">
        <v>3</v>
      </c>
      <c r="Y17" s="14">
        <v>1</v>
      </c>
      <c r="Z17" s="28">
        <v>2</v>
      </c>
      <c r="AA17" s="184">
        <f t="shared" si="7"/>
        <v>7</v>
      </c>
      <c r="AB17" s="185">
        <f t="shared" si="8"/>
        <v>1.75</v>
      </c>
      <c r="AC17" s="185">
        <f t="shared" si="9"/>
        <v>7</v>
      </c>
      <c r="AD17" s="185">
        <f t="shared" si="10"/>
        <v>14</v>
      </c>
    </row>
    <row r="18" spans="1:30" x14ac:dyDescent="0.25">
      <c r="A18" s="315">
        <f t="shared" si="6"/>
        <v>17</v>
      </c>
      <c r="B18" s="4" t="s">
        <v>812</v>
      </c>
      <c r="C18" s="340">
        <v>0</v>
      </c>
      <c r="D18" s="359"/>
      <c r="E18" s="478"/>
      <c r="F18" s="359"/>
      <c r="G18" s="478"/>
      <c r="H18" s="359"/>
      <c r="I18" s="478"/>
      <c r="J18" s="359"/>
      <c r="K18" s="478"/>
      <c r="L18" s="359"/>
      <c r="M18" s="478"/>
      <c r="N18" s="561"/>
      <c r="O18" s="340">
        <f t="shared" si="0"/>
        <v>0</v>
      </c>
      <c r="P18" s="438">
        <f t="shared" si="5"/>
        <v>6</v>
      </c>
      <c r="Q18" s="10">
        <v>14</v>
      </c>
      <c r="R18" s="63" t="s">
        <v>807</v>
      </c>
      <c r="S18" s="118"/>
      <c r="V18" s="81">
        <v>45352</v>
      </c>
      <c r="W18" s="14">
        <v>1</v>
      </c>
      <c r="Y18" s="14">
        <v>1</v>
      </c>
      <c r="Z18" s="28">
        <v>1</v>
      </c>
      <c r="AA18" s="184">
        <f t="shared" si="7"/>
        <v>3</v>
      </c>
      <c r="AB18" s="185">
        <f t="shared" si="8"/>
        <v>0.75</v>
      </c>
      <c r="AC18" s="185">
        <f t="shared" si="9"/>
        <v>3</v>
      </c>
      <c r="AD18" s="185">
        <f t="shared" si="10"/>
        <v>6</v>
      </c>
    </row>
    <row r="19" spans="1:30" x14ac:dyDescent="0.25">
      <c r="A19" s="315">
        <f t="shared" si="6"/>
        <v>18</v>
      </c>
      <c r="B19" s="4" t="s">
        <v>151</v>
      </c>
      <c r="C19" s="340">
        <v>2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561"/>
      <c r="O19" s="340">
        <f t="shared" si="0"/>
        <v>2</v>
      </c>
      <c r="P19" s="695">
        <v>5</v>
      </c>
      <c r="Q19" s="7">
        <v>16</v>
      </c>
      <c r="R19" s="63"/>
      <c r="S19" s="199">
        <v>46235</v>
      </c>
      <c r="T19" s="127">
        <v>0</v>
      </c>
      <c r="U19" s="127"/>
      <c r="V19" s="199">
        <v>45627</v>
      </c>
      <c r="W19" s="107">
        <v>1</v>
      </c>
      <c r="X19" s="107">
        <v>1</v>
      </c>
      <c r="Y19" s="107">
        <v>2</v>
      </c>
      <c r="Z19" s="309">
        <v>1</v>
      </c>
      <c r="AA19" s="184">
        <f t="shared" si="7"/>
        <v>5</v>
      </c>
      <c r="AB19" s="185">
        <f t="shared" si="8"/>
        <v>1.25</v>
      </c>
      <c r="AC19" s="185">
        <f t="shared" si="9"/>
        <v>5</v>
      </c>
      <c r="AD19" s="185">
        <f t="shared" si="10"/>
        <v>10</v>
      </c>
    </row>
    <row r="20" spans="1:30" x14ac:dyDescent="0.25">
      <c r="A20" s="315">
        <f t="shared" si="6"/>
        <v>19</v>
      </c>
      <c r="B20" s="4" t="s">
        <v>355</v>
      </c>
      <c r="C20" s="340">
        <v>3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561"/>
      <c r="O20" s="340">
        <f t="shared" si="0"/>
        <v>3</v>
      </c>
      <c r="P20" s="695">
        <f t="shared" si="5"/>
        <v>9</v>
      </c>
      <c r="Q20" s="7">
        <v>2.5</v>
      </c>
      <c r="R20" s="63"/>
      <c r="S20" s="107"/>
      <c r="T20" s="127">
        <v>0</v>
      </c>
      <c r="U20" s="127"/>
      <c r="V20" s="199">
        <v>45078</v>
      </c>
      <c r="W20" s="107">
        <v>1</v>
      </c>
      <c r="X20" s="107">
        <v>1</v>
      </c>
      <c r="Y20" s="107">
        <v>3</v>
      </c>
      <c r="Z20" s="309">
        <v>1</v>
      </c>
      <c r="AA20" s="184">
        <f t="shared" si="7"/>
        <v>6</v>
      </c>
      <c r="AB20" s="185">
        <f t="shared" si="8"/>
        <v>1.5</v>
      </c>
      <c r="AC20" s="185">
        <f t="shared" si="9"/>
        <v>6</v>
      </c>
      <c r="AD20" s="185">
        <f t="shared" si="10"/>
        <v>12</v>
      </c>
    </row>
    <row r="21" spans="1:30" x14ac:dyDescent="0.25">
      <c r="A21" s="315">
        <f t="shared" si="6"/>
        <v>20</v>
      </c>
      <c r="B21" s="314" t="s">
        <v>437</v>
      </c>
      <c r="C21" s="340">
        <v>13</v>
      </c>
      <c r="D21" s="359"/>
      <c r="E21" s="478"/>
      <c r="F21" s="359"/>
      <c r="G21" s="478"/>
      <c r="H21" s="359"/>
      <c r="I21" s="478"/>
      <c r="J21" s="359"/>
      <c r="K21" s="478"/>
      <c r="L21" s="359"/>
      <c r="M21" s="478"/>
      <c r="N21" s="561"/>
      <c r="O21" s="340">
        <f t="shared" si="0"/>
        <v>13</v>
      </c>
      <c r="P21" s="438">
        <f t="shared" si="5"/>
        <v>3</v>
      </c>
      <c r="Q21" s="7">
        <v>45</v>
      </c>
      <c r="R21" s="63" t="s">
        <v>807</v>
      </c>
      <c r="S21" s="81">
        <v>46296</v>
      </c>
      <c r="T21" s="14">
        <v>6</v>
      </c>
      <c r="V21" s="81">
        <v>45658</v>
      </c>
      <c r="W21" s="14">
        <v>1</v>
      </c>
      <c r="X21" s="14">
        <v>2</v>
      </c>
      <c r="Y21" s="14">
        <v>2</v>
      </c>
      <c r="Z21" s="28">
        <v>3</v>
      </c>
      <c r="AA21" s="184">
        <f t="shared" si="7"/>
        <v>8</v>
      </c>
      <c r="AB21" s="185">
        <f t="shared" si="8"/>
        <v>2</v>
      </c>
      <c r="AC21" s="185">
        <f t="shared" si="9"/>
        <v>8</v>
      </c>
      <c r="AD21" s="185">
        <f t="shared" si="10"/>
        <v>16</v>
      </c>
    </row>
    <row r="22" spans="1:30" x14ac:dyDescent="0.25">
      <c r="A22" s="315">
        <f t="shared" si="6"/>
        <v>21</v>
      </c>
      <c r="B22" s="314" t="s">
        <v>761</v>
      </c>
      <c r="C22" s="340">
        <v>2</v>
      </c>
      <c r="D22" s="359"/>
      <c r="E22" s="478"/>
      <c r="F22" s="359"/>
      <c r="G22" s="478"/>
      <c r="H22" s="359"/>
      <c r="I22" s="478"/>
      <c r="J22" s="359"/>
      <c r="K22" s="478"/>
      <c r="L22" s="359"/>
      <c r="M22" s="478"/>
      <c r="N22" s="561"/>
      <c r="O22" s="340">
        <f t="shared" si="0"/>
        <v>2</v>
      </c>
      <c r="P22" s="438">
        <f t="shared" si="5"/>
        <v>6</v>
      </c>
      <c r="Q22" s="7">
        <v>50</v>
      </c>
      <c r="R22" s="63" t="s">
        <v>807</v>
      </c>
      <c r="S22" s="81">
        <v>45962</v>
      </c>
      <c r="T22" s="45">
        <v>0</v>
      </c>
      <c r="U22" s="45"/>
      <c r="V22" s="81">
        <v>45627</v>
      </c>
      <c r="W22" s="14">
        <v>1</v>
      </c>
      <c r="X22" s="14">
        <v>1</v>
      </c>
      <c r="Y22" s="14">
        <v>1</v>
      </c>
      <c r="Z22" s="28">
        <v>1</v>
      </c>
      <c r="AA22" s="184">
        <f t="shared" si="7"/>
        <v>4</v>
      </c>
      <c r="AB22" s="185">
        <f t="shared" si="8"/>
        <v>1</v>
      </c>
      <c r="AC22" s="185">
        <f t="shared" si="9"/>
        <v>4</v>
      </c>
      <c r="AD22" s="185">
        <f t="shared" si="10"/>
        <v>8</v>
      </c>
    </row>
    <row r="23" spans="1:30" x14ac:dyDescent="0.25">
      <c r="A23" s="315">
        <f t="shared" si="6"/>
        <v>22</v>
      </c>
      <c r="B23" s="4" t="s">
        <v>856</v>
      </c>
      <c r="C23" s="340">
        <v>0</v>
      </c>
      <c r="D23" s="359"/>
      <c r="E23" s="478"/>
      <c r="F23" s="359"/>
      <c r="G23" s="478"/>
      <c r="H23" s="359"/>
      <c r="I23" s="478"/>
      <c r="J23" s="359"/>
      <c r="K23" s="478"/>
      <c r="L23" s="359"/>
      <c r="M23" s="478"/>
      <c r="N23" s="561"/>
      <c r="O23" s="340">
        <f t="shared" si="0"/>
        <v>0</v>
      </c>
      <c r="P23" s="438">
        <f t="shared" si="5"/>
        <v>6</v>
      </c>
      <c r="Q23" s="10">
        <v>25</v>
      </c>
      <c r="R23" s="63" t="s">
        <v>807</v>
      </c>
      <c r="S23" s="81">
        <v>46722</v>
      </c>
      <c r="T23" s="14">
        <v>0</v>
      </c>
      <c r="V23" s="81">
        <v>45536</v>
      </c>
      <c r="W23" s="14">
        <v>1</v>
      </c>
      <c r="Y23" s="14">
        <v>1</v>
      </c>
      <c r="Z23" s="28">
        <v>1</v>
      </c>
      <c r="AA23" s="184">
        <f t="shared" si="7"/>
        <v>3</v>
      </c>
      <c r="AB23" s="185">
        <f t="shared" si="8"/>
        <v>0.75</v>
      </c>
      <c r="AC23" s="185">
        <f t="shared" si="9"/>
        <v>3</v>
      </c>
      <c r="AD23" s="185">
        <f t="shared" si="10"/>
        <v>6</v>
      </c>
    </row>
    <row r="24" spans="1:30" x14ac:dyDescent="0.25">
      <c r="A24" s="315">
        <f t="shared" si="6"/>
        <v>23</v>
      </c>
      <c r="B24" s="4" t="s">
        <v>534</v>
      </c>
      <c r="C24" s="340">
        <v>3</v>
      </c>
      <c r="D24" s="359"/>
      <c r="E24" s="478"/>
      <c r="F24" s="359"/>
      <c r="G24" s="478"/>
      <c r="H24" s="359"/>
      <c r="I24" s="478"/>
      <c r="J24" s="359"/>
      <c r="K24" s="478"/>
      <c r="L24" s="359"/>
      <c r="M24" s="478"/>
      <c r="N24" s="561"/>
      <c r="O24" s="340">
        <f t="shared" si="0"/>
        <v>3</v>
      </c>
      <c r="P24" s="438">
        <f t="shared" si="5"/>
        <v>5</v>
      </c>
      <c r="Q24" s="7">
        <v>30</v>
      </c>
      <c r="R24" s="63"/>
      <c r="S24" s="199">
        <v>46388</v>
      </c>
      <c r="T24" s="127"/>
      <c r="U24" s="127"/>
      <c r="V24" s="199">
        <v>45231</v>
      </c>
      <c r="W24" s="107"/>
      <c r="X24" s="107">
        <v>1</v>
      </c>
      <c r="Y24" s="107"/>
      <c r="Z24" s="309">
        <v>3</v>
      </c>
      <c r="AA24" s="184">
        <f t="shared" si="7"/>
        <v>4</v>
      </c>
      <c r="AB24" s="185">
        <f t="shared" si="8"/>
        <v>1</v>
      </c>
      <c r="AC24" s="185">
        <f t="shared" si="9"/>
        <v>4</v>
      </c>
      <c r="AD24" s="185">
        <f t="shared" si="10"/>
        <v>8</v>
      </c>
    </row>
    <row r="25" spans="1:30" x14ac:dyDescent="0.25">
      <c r="A25" s="315">
        <f t="shared" si="6"/>
        <v>24</v>
      </c>
      <c r="B25" s="314" t="s">
        <v>739</v>
      </c>
      <c r="C25" s="340">
        <v>8</v>
      </c>
      <c r="D25" s="359"/>
      <c r="E25" s="478"/>
      <c r="F25" s="359"/>
      <c r="G25" s="478"/>
      <c r="H25" s="359"/>
      <c r="I25" s="478"/>
      <c r="J25" s="359"/>
      <c r="K25" s="478"/>
      <c r="L25" s="359"/>
      <c r="M25" s="478"/>
      <c r="N25" s="561"/>
      <c r="O25" s="340">
        <f t="shared" si="0"/>
        <v>8</v>
      </c>
      <c r="P25" s="689">
        <f t="shared" si="5"/>
        <v>0</v>
      </c>
      <c r="Q25" s="7">
        <v>30</v>
      </c>
      <c r="R25" s="63"/>
      <c r="S25" s="81">
        <v>46631</v>
      </c>
      <c r="V25" s="81">
        <v>45231</v>
      </c>
      <c r="W25" s="107"/>
      <c r="X25" s="107">
        <v>1</v>
      </c>
      <c r="Y25" s="107">
        <v>3</v>
      </c>
      <c r="Z25" s="309"/>
      <c r="AA25" s="184">
        <f t="shared" si="7"/>
        <v>4</v>
      </c>
      <c r="AB25" s="185">
        <f t="shared" si="8"/>
        <v>1</v>
      </c>
      <c r="AC25" s="185">
        <f t="shared" si="9"/>
        <v>4</v>
      </c>
      <c r="AD25" s="185">
        <f t="shared" si="10"/>
        <v>8</v>
      </c>
    </row>
    <row r="26" spans="1:30" x14ac:dyDescent="0.25">
      <c r="A26" s="315">
        <f t="shared" si="6"/>
        <v>25</v>
      </c>
      <c r="B26" s="314" t="s">
        <v>763</v>
      </c>
      <c r="C26" s="340">
        <v>1</v>
      </c>
      <c r="D26" s="359"/>
      <c r="E26" s="478"/>
      <c r="F26" s="359"/>
      <c r="G26" s="478"/>
      <c r="H26" s="359"/>
      <c r="I26" s="478"/>
      <c r="J26" s="359"/>
      <c r="K26" s="478"/>
      <c r="L26" s="359"/>
      <c r="M26" s="478"/>
      <c r="N26" s="561"/>
      <c r="O26" s="340">
        <f t="shared" si="0"/>
        <v>1</v>
      </c>
      <c r="P26" s="438">
        <f t="shared" si="5"/>
        <v>9</v>
      </c>
      <c r="Q26" s="7">
        <v>70</v>
      </c>
      <c r="R26" s="63" t="s">
        <v>807</v>
      </c>
      <c r="S26" s="81">
        <v>46722</v>
      </c>
      <c r="T26" s="14">
        <v>1</v>
      </c>
      <c r="V26" s="81">
        <v>45505</v>
      </c>
      <c r="W26" s="14">
        <v>1</v>
      </c>
      <c r="X26" s="14">
        <v>1</v>
      </c>
      <c r="Y26" s="14">
        <v>2</v>
      </c>
      <c r="Z26" s="28">
        <v>1</v>
      </c>
      <c r="AA26" s="184">
        <f t="shared" si="7"/>
        <v>5</v>
      </c>
      <c r="AB26" s="185">
        <f t="shared" si="8"/>
        <v>1.25</v>
      </c>
      <c r="AC26" s="185">
        <f t="shared" si="9"/>
        <v>5</v>
      </c>
      <c r="AD26" s="185">
        <f t="shared" si="10"/>
        <v>10</v>
      </c>
    </row>
    <row r="27" spans="1:30" x14ac:dyDescent="0.25">
      <c r="A27" s="315">
        <f t="shared" si="6"/>
        <v>26</v>
      </c>
      <c r="B27" s="314" t="s">
        <v>764</v>
      </c>
      <c r="C27" s="340">
        <v>1</v>
      </c>
      <c r="D27" s="359"/>
      <c r="E27" s="478"/>
      <c r="F27" s="359"/>
      <c r="G27" s="478"/>
      <c r="H27" s="359"/>
      <c r="I27" s="478"/>
      <c r="J27" s="359"/>
      <c r="K27" s="478">
        <v>1</v>
      </c>
      <c r="L27" s="359"/>
      <c r="M27" s="478"/>
      <c r="N27" s="561"/>
      <c r="O27" s="340">
        <f t="shared" si="0"/>
        <v>0</v>
      </c>
      <c r="P27" s="340">
        <f t="shared" si="5"/>
        <v>0</v>
      </c>
      <c r="Q27" s="7">
        <v>70</v>
      </c>
      <c r="R27" s="63" t="s">
        <v>807</v>
      </c>
      <c r="S27" s="81">
        <v>46722</v>
      </c>
      <c r="T27" s="14">
        <v>2</v>
      </c>
      <c r="V27" s="81">
        <v>45292</v>
      </c>
      <c r="AA27" s="184">
        <f t="shared" si="7"/>
        <v>0</v>
      </c>
      <c r="AB27" s="185">
        <f t="shared" si="8"/>
        <v>0</v>
      </c>
      <c r="AC27" s="185">
        <f t="shared" si="9"/>
        <v>0</v>
      </c>
      <c r="AD27" s="185">
        <f t="shared" si="10"/>
        <v>0</v>
      </c>
    </row>
    <row r="28" spans="1:30" x14ac:dyDescent="0.25">
      <c r="A28" s="315">
        <f t="shared" si="6"/>
        <v>27</v>
      </c>
      <c r="B28" s="4"/>
      <c r="C28" s="340"/>
      <c r="D28" s="359"/>
      <c r="E28" s="478"/>
      <c r="F28" s="359"/>
      <c r="G28" s="478"/>
      <c r="H28" s="359"/>
      <c r="I28" s="478"/>
      <c r="J28" s="359"/>
      <c r="K28" s="478"/>
      <c r="L28" s="359"/>
      <c r="M28" s="478"/>
      <c r="N28" s="561"/>
      <c r="O28" s="340"/>
      <c r="P28" s="338"/>
      <c r="Q28" s="10"/>
      <c r="R28" s="63"/>
    </row>
    <row r="29" spans="1:30" x14ac:dyDescent="0.25">
      <c r="A29" s="315">
        <f t="shared" si="6"/>
        <v>28</v>
      </c>
      <c r="B29" s="4"/>
      <c r="C29" s="8"/>
      <c r="D29" s="359"/>
      <c r="E29" s="478"/>
      <c r="F29" s="359"/>
      <c r="G29" s="478"/>
      <c r="H29" s="359"/>
      <c r="I29" s="478"/>
      <c r="J29" s="359"/>
      <c r="K29" s="478"/>
      <c r="L29" s="359"/>
      <c r="M29" s="478"/>
      <c r="N29" s="561"/>
      <c r="O29" s="47"/>
      <c r="P29" s="338"/>
      <c r="Q29" s="10"/>
      <c r="R29" s="63"/>
    </row>
    <row r="30" spans="1:30" x14ac:dyDescent="0.25">
      <c r="A30" s="315">
        <f t="shared" si="6"/>
        <v>29</v>
      </c>
      <c r="B30" s="4"/>
      <c r="C30" s="9"/>
      <c r="D30" s="359"/>
      <c r="E30" s="478"/>
      <c r="F30" s="359"/>
      <c r="G30" s="478"/>
      <c r="H30" s="359"/>
      <c r="I30" s="478"/>
      <c r="J30" s="359"/>
      <c r="K30" s="478"/>
      <c r="L30" s="359"/>
      <c r="M30" s="478"/>
      <c r="N30" s="561"/>
      <c r="O30" s="47"/>
      <c r="P30" s="338"/>
      <c r="Q30" s="10"/>
      <c r="R30" s="63"/>
    </row>
    <row r="31" spans="1:30" x14ac:dyDescent="0.25">
      <c r="A31" s="315">
        <f t="shared" si="6"/>
        <v>30</v>
      </c>
      <c r="B31" s="4"/>
      <c r="C31" s="8"/>
      <c r="D31" s="359"/>
      <c r="E31" s="478"/>
      <c r="F31" s="359"/>
      <c r="G31" s="478"/>
      <c r="H31" s="359"/>
      <c r="I31" s="478"/>
      <c r="J31" s="359"/>
      <c r="K31" s="478"/>
      <c r="L31" s="359"/>
      <c r="M31" s="478"/>
      <c r="N31" s="561"/>
      <c r="O31" s="47"/>
      <c r="P31" s="338"/>
      <c r="Q31" s="10"/>
      <c r="R31" s="63"/>
    </row>
    <row r="32" spans="1:30" x14ac:dyDescent="0.25">
      <c r="A32" s="315">
        <f t="shared" si="6"/>
        <v>31</v>
      </c>
      <c r="B32" s="4"/>
      <c r="C32" s="8"/>
      <c r="D32" s="359"/>
      <c r="E32" s="478"/>
      <c r="F32" s="359"/>
      <c r="G32" s="478"/>
      <c r="H32" s="359"/>
      <c r="I32" s="478"/>
      <c r="J32" s="359"/>
      <c r="K32" s="478"/>
      <c r="L32" s="359"/>
      <c r="M32" s="478"/>
      <c r="N32" s="561"/>
      <c r="O32" s="47"/>
      <c r="P32" s="338"/>
      <c r="Q32" s="10"/>
      <c r="R32" s="63"/>
    </row>
    <row r="33" spans="1:18" x14ac:dyDescent="0.25">
      <c r="A33" s="315"/>
      <c r="B33" s="4"/>
      <c r="C33" s="8"/>
      <c r="D33" s="359"/>
      <c r="E33" s="478"/>
      <c r="F33" s="359"/>
      <c r="G33" s="478"/>
      <c r="H33" s="359"/>
      <c r="I33" s="478"/>
      <c r="J33" s="359"/>
      <c r="K33" s="478"/>
      <c r="L33" s="359"/>
      <c r="M33" s="478"/>
      <c r="N33" s="561"/>
      <c r="O33" s="47"/>
      <c r="P33" s="338"/>
      <c r="Q33" s="10"/>
      <c r="R33" s="63"/>
    </row>
    <row r="34" spans="1:18" x14ac:dyDescent="0.25">
      <c r="A34" s="315"/>
      <c r="B34" s="4"/>
      <c r="C34" s="9"/>
      <c r="D34" s="359"/>
      <c r="E34" s="478"/>
      <c r="F34" s="359"/>
      <c r="G34" s="478"/>
      <c r="H34" s="359"/>
      <c r="I34" s="478"/>
      <c r="J34" s="359"/>
      <c r="K34" s="478"/>
      <c r="L34" s="359"/>
      <c r="M34" s="478"/>
      <c r="N34" s="561"/>
      <c r="O34" s="47"/>
      <c r="P34" s="338"/>
      <c r="Q34" s="10"/>
      <c r="R34" s="63"/>
    </row>
    <row r="35" spans="1:18" x14ac:dyDescent="0.25">
      <c r="A35" s="315"/>
      <c r="B35" s="4"/>
      <c r="C35" s="9"/>
      <c r="D35" s="359"/>
      <c r="E35" s="478"/>
      <c r="F35" s="359"/>
      <c r="G35" s="478"/>
      <c r="H35" s="359"/>
      <c r="I35" s="478"/>
      <c r="J35" s="359"/>
      <c r="K35" s="478"/>
      <c r="L35" s="359"/>
      <c r="M35" s="478"/>
      <c r="N35" s="561"/>
      <c r="O35" s="47"/>
      <c r="P35" s="338"/>
      <c r="Q35" s="10"/>
      <c r="R35" s="63"/>
    </row>
    <row r="36" spans="1:18" x14ac:dyDescent="0.25">
      <c r="A36" s="315"/>
      <c r="B36" s="4"/>
      <c r="C36" s="9"/>
      <c r="D36" s="359"/>
      <c r="E36" s="478"/>
      <c r="F36" s="359"/>
      <c r="G36" s="478"/>
      <c r="H36" s="359"/>
      <c r="I36" s="478"/>
      <c r="J36" s="359"/>
      <c r="K36" s="478"/>
      <c r="L36" s="359"/>
      <c r="M36" s="478"/>
      <c r="N36" s="561"/>
      <c r="O36" s="47"/>
      <c r="P36" s="338"/>
      <c r="Q36" s="10"/>
      <c r="R36" s="63"/>
    </row>
    <row r="37" spans="1:18" x14ac:dyDescent="0.25">
      <c r="A37" s="315"/>
      <c r="B37" s="4"/>
      <c r="C37" s="9"/>
      <c r="D37" s="359"/>
      <c r="E37" s="478"/>
      <c r="F37" s="359"/>
      <c r="G37" s="478"/>
      <c r="H37" s="359"/>
      <c r="I37" s="478"/>
      <c r="J37" s="359"/>
      <c r="K37" s="478"/>
      <c r="L37" s="359"/>
      <c r="M37" s="478"/>
      <c r="N37" s="561"/>
      <c r="O37" s="47"/>
      <c r="P37" s="338"/>
      <c r="Q37" s="10"/>
      <c r="R37" s="63"/>
    </row>
    <row r="38" spans="1:18" x14ac:dyDescent="0.25">
      <c r="A38" s="315"/>
      <c r="B38" s="4"/>
      <c r="C38" s="9"/>
      <c r="D38" s="359"/>
      <c r="E38" s="478"/>
      <c r="F38" s="359"/>
      <c r="G38" s="478"/>
      <c r="H38" s="359"/>
      <c r="I38" s="478"/>
      <c r="J38" s="359"/>
      <c r="K38" s="478"/>
      <c r="L38" s="359"/>
      <c r="M38" s="478"/>
      <c r="N38" s="561"/>
      <c r="O38" s="47"/>
      <c r="P38" s="338"/>
      <c r="Q38" s="10"/>
      <c r="R38" s="63"/>
    </row>
    <row r="39" spans="1:18" x14ac:dyDescent="0.25">
      <c r="A39" s="315"/>
      <c r="B39" s="4"/>
      <c r="C39" s="9"/>
      <c r="D39" s="359"/>
      <c r="E39" s="478"/>
      <c r="F39" s="359"/>
      <c r="G39" s="478"/>
      <c r="H39" s="359"/>
      <c r="I39" s="478"/>
      <c r="J39" s="359"/>
      <c r="K39" s="478"/>
      <c r="L39" s="359"/>
      <c r="M39" s="478"/>
      <c r="N39" s="561"/>
      <c r="O39" s="47"/>
      <c r="P39" s="338"/>
      <c r="Q39" s="10"/>
      <c r="R39" s="63"/>
    </row>
    <row r="40" spans="1:18" x14ac:dyDescent="0.25">
      <c r="A40" s="315"/>
      <c r="B40" s="4"/>
      <c r="C40" s="8"/>
      <c r="D40" s="359"/>
      <c r="E40" s="478"/>
      <c r="F40" s="359"/>
      <c r="G40" s="478"/>
      <c r="H40" s="359"/>
      <c r="I40" s="478"/>
      <c r="J40" s="359"/>
      <c r="K40" s="478"/>
      <c r="L40" s="359"/>
      <c r="M40" s="478"/>
      <c r="N40" s="561"/>
      <c r="O40" s="47"/>
      <c r="P40" s="338"/>
      <c r="Q40" s="10"/>
      <c r="R40" s="63"/>
    </row>
    <row r="41" spans="1:18" x14ac:dyDescent="0.25">
      <c r="A41" s="315"/>
      <c r="B41" s="4"/>
      <c r="C41" s="9"/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561"/>
      <c r="O41" s="47"/>
      <c r="P41" s="338"/>
      <c r="Q41" s="10"/>
      <c r="R41" s="63"/>
    </row>
    <row r="42" spans="1:18" x14ac:dyDescent="0.25">
      <c r="A42" s="315"/>
      <c r="B42" s="4"/>
      <c r="C42" s="9"/>
      <c r="D42" s="359"/>
      <c r="E42" s="478"/>
      <c r="F42" s="359"/>
      <c r="G42" s="478"/>
      <c r="H42" s="359"/>
      <c r="I42" s="478"/>
      <c r="J42" s="359"/>
      <c r="K42" s="478"/>
      <c r="L42" s="359"/>
      <c r="M42" s="478"/>
      <c r="N42" s="561"/>
      <c r="O42" s="47"/>
      <c r="P42" s="338"/>
      <c r="Q42" s="10"/>
      <c r="R42" s="63"/>
    </row>
    <row r="43" spans="1:18" x14ac:dyDescent="0.25">
      <c r="A43" s="315"/>
      <c r="B43" s="4"/>
      <c r="C43" s="9"/>
      <c r="D43" s="359"/>
      <c r="E43" s="478"/>
      <c r="F43" s="359"/>
      <c r="G43" s="478"/>
      <c r="H43" s="359"/>
      <c r="I43" s="478"/>
      <c r="J43" s="359"/>
      <c r="K43" s="478"/>
      <c r="L43" s="359"/>
      <c r="M43" s="478"/>
      <c r="N43" s="561"/>
      <c r="O43" s="47"/>
      <c r="P43" s="338"/>
      <c r="Q43" s="10"/>
      <c r="R43" s="63"/>
    </row>
    <row r="44" spans="1:18" x14ac:dyDescent="0.25">
      <c r="A44" s="315"/>
      <c r="B44" s="4"/>
      <c r="C44" s="9"/>
      <c r="D44" s="359"/>
      <c r="E44" s="478"/>
      <c r="F44" s="359"/>
      <c r="G44" s="478"/>
      <c r="H44" s="359"/>
      <c r="I44" s="478"/>
      <c r="J44" s="359"/>
      <c r="K44" s="478"/>
      <c r="L44" s="359"/>
      <c r="M44" s="478"/>
      <c r="N44" s="561"/>
      <c r="O44" s="47"/>
      <c r="P44" s="338"/>
      <c r="Q44" s="10"/>
      <c r="R44" s="63"/>
    </row>
    <row r="45" spans="1:18" x14ac:dyDescent="0.25">
      <c r="A45" s="315"/>
      <c r="B45" s="4"/>
      <c r="C45" s="9"/>
      <c r="D45" s="359"/>
      <c r="E45" s="478"/>
      <c r="F45" s="359"/>
      <c r="G45" s="478"/>
      <c r="H45" s="359"/>
      <c r="I45" s="478"/>
      <c r="J45" s="359"/>
      <c r="K45" s="478"/>
      <c r="L45" s="359"/>
      <c r="M45" s="478"/>
      <c r="N45" s="561"/>
      <c r="O45" s="47"/>
      <c r="P45" s="338"/>
      <c r="Q45" s="10"/>
      <c r="R45" s="63"/>
    </row>
    <row r="46" spans="1:18" x14ac:dyDescent="0.25">
      <c r="A46" s="315"/>
      <c r="B46" s="4"/>
      <c r="C46" s="9"/>
      <c r="D46" s="359"/>
      <c r="E46" s="478"/>
      <c r="F46" s="359"/>
      <c r="G46" s="478"/>
      <c r="H46" s="359"/>
      <c r="I46" s="478"/>
      <c r="J46" s="359"/>
      <c r="K46" s="478"/>
      <c r="L46" s="359"/>
      <c r="M46" s="478"/>
      <c r="N46" s="561"/>
      <c r="O46" s="47"/>
      <c r="P46" s="338"/>
      <c r="Q46" s="10"/>
      <c r="R46" s="63"/>
    </row>
    <row r="47" spans="1:18" x14ac:dyDescent="0.25">
      <c r="A47" s="315"/>
      <c r="B47" s="4"/>
      <c r="C47" s="9"/>
      <c r="D47" s="359"/>
      <c r="E47" s="478"/>
      <c r="F47" s="359"/>
      <c r="G47" s="478"/>
      <c r="H47" s="359"/>
      <c r="I47" s="478"/>
      <c r="J47" s="359"/>
      <c r="K47" s="478"/>
      <c r="L47" s="359"/>
      <c r="M47" s="478"/>
      <c r="N47" s="561"/>
      <c r="O47" s="47"/>
      <c r="P47" s="338"/>
      <c r="Q47" s="10"/>
      <c r="R47" s="63"/>
    </row>
    <row r="48" spans="1:18" x14ac:dyDescent="0.25">
      <c r="A48" s="315"/>
      <c r="B48" s="4"/>
      <c r="C48" s="9"/>
      <c r="D48" s="359"/>
      <c r="E48" s="478"/>
      <c r="F48" s="359"/>
      <c r="G48" s="478"/>
      <c r="H48" s="359"/>
      <c r="I48" s="478"/>
      <c r="J48" s="359"/>
      <c r="K48" s="478"/>
      <c r="L48" s="359"/>
      <c r="M48" s="478"/>
      <c r="N48" s="561"/>
      <c r="O48" s="47"/>
      <c r="P48" s="338"/>
      <c r="Q48" s="10"/>
      <c r="R48" s="63"/>
    </row>
    <row r="49" spans="1:18" x14ac:dyDescent="0.25">
      <c r="A49" s="315"/>
      <c r="B49" s="4"/>
      <c r="C49" s="9"/>
      <c r="D49" s="359"/>
      <c r="E49" s="478"/>
      <c r="F49" s="359"/>
      <c r="G49" s="478"/>
      <c r="H49" s="359"/>
      <c r="I49" s="478"/>
      <c r="J49" s="359"/>
      <c r="K49" s="478"/>
      <c r="L49" s="359"/>
      <c r="M49" s="478"/>
      <c r="N49" s="561"/>
      <c r="O49" s="47"/>
      <c r="P49" s="338"/>
      <c r="Q49" s="10"/>
      <c r="R49" s="63"/>
    </row>
    <row r="50" spans="1:18" x14ac:dyDescent="0.25">
      <c r="A50" s="315"/>
      <c r="B50" s="4"/>
      <c r="C50" s="9"/>
      <c r="D50" s="359"/>
      <c r="E50" s="478"/>
      <c r="F50" s="359"/>
      <c r="G50" s="478"/>
      <c r="H50" s="359"/>
      <c r="I50" s="478"/>
      <c r="J50" s="359"/>
      <c r="K50" s="478"/>
      <c r="L50" s="359"/>
      <c r="M50" s="478"/>
      <c r="N50" s="561"/>
      <c r="O50" s="47"/>
      <c r="P50" s="338"/>
      <c r="Q50" s="10"/>
      <c r="R50" s="63"/>
    </row>
    <row r="51" spans="1:18" x14ac:dyDescent="0.25">
      <c r="A51" s="315"/>
      <c r="B51" s="4"/>
      <c r="C51" s="9"/>
      <c r="D51" s="359"/>
      <c r="E51" s="478"/>
      <c r="F51" s="359"/>
      <c r="G51" s="478"/>
      <c r="H51" s="359"/>
      <c r="I51" s="478"/>
      <c r="J51" s="359"/>
      <c r="K51" s="478"/>
      <c r="L51" s="359"/>
      <c r="M51" s="478"/>
      <c r="N51" s="561"/>
      <c r="O51" s="47"/>
      <c r="P51" s="338"/>
      <c r="Q51" s="10"/>
      <c r="R51" s="63"/>
    </row>
    <row r="52" spans="1:18" x14ac:dyDescent="0.25">
      <c r="A52" s="315"/>
      <c r="B52" s="3"/>
      <c r="C52" s="9"/>
      <c r="D52" s="359"/>
      <c r="E52" s="478"/>
      <c r="F52" s="359"/>
      <c r="G52" s="478"/>
      <c r="H52" s="359"/>
      <c r="I52" s="478"/>
      <c r="J52" s="359"/>
      <c r="K52" s="478"/>
      <c r="L52" s="359"/>
      <c r="M52" s="478"/>
      <c r="N52" s="561"/>
      <c r="O52" s="47"/>
      <c r="P52" s="338"/>
      <c r="Q52" s="10"/>
      <c r="R52" s="63"/>
    </row>
    <row r="53" spans="1:18" x14ac:dyDescent="0.25">
      <c r="A53" s="315"/>
      <c r="B53" s="4"/>
      <c r="C53" s="9"/>
      <c r="D53" s="359"/>
      <c r="E53" s="478"/>
      <c r="F53" s="359"/>
      <c r="G53" s="478"/>
      <c r="H53" s="359"/>
      <c r="I53" s="478"/>
      <c r="J53" s="359"/>
      <c r="K53" s="478"/>
      <c r="L53" s="359"/>
      <c r="M53" s="478"/>
      <c r="N53" s="561"/>
      <c r="O53" s="47"/>
      <c r="P53" s="338"/>
      <c r="Q53" s="10"/>
      <c r="R53" s="63"/>
    </row>
    <row r="54" spans="1:18" x14ac:dyDescent="0.25">
      <c r="A54" s="315"/>
      <c r="B54" s="4"/>
      <c r="C54" s="9"/>
      <c r="D54" s="359"/>
      <c r="E54" s="478"/>
      <c r="F54" s="359"/>
      <c r="G54" s="478"/>
      <c r="H54" s="359"/>
      <c r="I54" s="478"/>
      <c r="J54" s="359"/>
      <c r="K54" s="478"/>
      <c r="L54" s="359"/>
      <c r="M54" s="478"/>
      <c r="N54" s="561"/>
      <c r="O54" s="47"/>
      <c r="P54" s="338"/>
      <c r="Q54" s="10"/>
      <c r="R54" s="63"/>
    </row>
    <row r="55" spans="1:18" x14ac:dyDescent="0.25">
      <c r="A55" s="315"/>
      <c r="B55" s="4"/>
      <c r="C55" s="9"/>
      <c r="D55" s="359"/>
      <c r="E55" s="478"/>
      <c r="F55" s="359"/>
      <c r="G55" s="478"/>
      <c r="H55" s="359"/>
      <c r="I55" s="478"/>
      <c r="J55" s="359"/>
      <c r="K55" s="478"/>
      <c r="L55" s="359"/>
      <c r="M55" s="478"/>
      <c r="N55" s="561"/>
      <c r="O55" s="47"/>
      <c r="P55" s="338"/>
      <c r="Q55" s="10"/>
      <c r="R55" s="63"/>
    </row>
    <row r="56" spans="1:18" x14ac:dyDescent="0.25">
      <c r="A56" s="315"/>
      <c r="B56" s="4"/>
      <c r="C56" s="9"/>
      <c r="D56" s="359"/>
      <c r="E56" s="478"/>
      <c r="F56" s="359"/>
      <c r="G56" s="478"/>
      <c r="H56" s="359"/>
      <c r="I56" s="478"/>
      <c r="J56" s="359"/>
      <c r="K56" s="478"/>
      <c r="L56" s="359"/>
      <c r="M56" s="478"/>
      <c r="N56" s="561"/>
      <c r="O56" s="47"/>
      <c r="P56" s="338"/>
      <c r="Q56" s="10"/>
      <c r="R56" s="64"/>
    </row>
    <row r="57" spans="1:18" x14ac:dyDescent="0.25">
      <c r="A57" s="315"/>
      <c r="B57" s="4"/>
      <c r="C57" s="9"/>
      <c r="D57" s="359"/>
      <c r="E57" s="478"/>
      <c r="F57" s="359"/>
      <c r="G57" s="478"/>
      <c r="H57" s="359"/>
      <c r="I57" s="478"/>
      <c r="J57" s="359"/>
      <c r="K57" s="478"/>
      <c r="L57" s="359"/>
      <c r="M57" s="478"/>
      <c r="N57" s="561"/>
      <c r="O57" s="47"/>
      <c r="P57" s="338"/>
      <c r="Q57" s="10"/>
      <c r="R57" s="63"/>
    </row>
    <row r="58" spans="1:18" x14ac:dyDescent="0.25">
      <c r="A58" s="315"/>
      <c r="B58" s="4"/>
      <c r="C58" s="9"/>
      <c r="D58" s="359"/>
      <c r="E58" s="478"/>
      <c r="F58" s="359"/>
      <c r="G58" s="478"/>
      <c r="H58" s="359"/>
      <c r="I58" s="478"/>
      <c r="J58" s="359"/>
      <c r="K58" s="478"/>
      <c r="L58" s="359"/>
      <c r="M58" s="478"/>
      <c r="N58" s="561"/>
      <c r="O58" s="47"/>
      <c r="P58" s="338"/>
      <c r="Q58" s="10"/>
      <c r="R58" s="63"/>
    </row>
    <row r="59" spans="1:18" x14ac:dyDescent="0.25">
      <c r="A59" s="315"/>
      <c r="B59" s="4"/>
      <c r="C59" s="9"/>
      <c r="D59" s="359"/>
      <c r="E59" s="478"/>
      <c r="F59" s="359"/>
      <c r="G59" s="478"/>
      <c r="H59" s="359"/>
      <c r="I59" s="478"/>
      <c r="J59" s="359"/>
      <c r="K59" s="478"/>
      <c r="L59" s="359"/>
      <c r="M59" s="478"/>
      <c r="N59" s="561"/>
      <c r="O59" s="47"/>
      <c r="P59" s="338"/>
      <c r="Q59" s="10"/>
      <c r="R59" s="63"/>
    </row>
    <row r="60" spans="1:18" x14ac:dyDescent="0.25">
      <c r="A60" s="315"/>
      <c r="B60" s="4"/>
      <c r="C60" s="9"/>
      <c r="D60" s="359"/>
      <c r="E60" s="478"/>
      <c r="F60" s="359"/>
      <c r="G60" s="478"/>
      <c r="H60" s="359"/>
      <c r="I60" s="478"/>
      <c r="J60" s="359"/>
      <c r="K60" s="478"/>
      <c r="L60" s="359"/>
      <c r="M60" s="478"/>
      <c r="N60" s="561"/>
      <c r="O60" s="47"/>
      <c r="P60" s="338"/>
      <c r="Q60" s="10"/>
      <c r="R60" s="63"/>
    </row>
    <row r="61" spans="1:18" x14ac:dyDescent="0.25">
      <c r="A61" s="315"/>
      <c r="B61" s="4"/>
      <c r="C61" s="9"/>
      <c r="D61" s="359"/>
      <c r="E61" s="478"/>
      <c r="F61" s="359"/>
      <c r="G61" s="478"/>
      <c r="H61" s="359"/>
      <c r="I61" s="478"/>
      <c r="J61" s="359"/>
      <c r="K61" s="478"/>
      <c r="L61" s="359"/>
      <c r="M61" s="478"/>
      <c r="N61" s="561"/>
      <c r="O61" s="47"/>
      <c r="P61" s="338"/>
      <c r="Q61" s="10"/>
      <c r="R61" s="63"/>
    </row>
    <row r="62" spans="1:18" x14ac:dyDescent="0.25">
      <c r="A62" s="315"/>
      <c r="B62" s="4"/>
      <c r="C62" s="9"/>
      <c r="D62" s="359"/>
      <c r="E62" s="478"/>
      <c r="F62" s="359"/>
      <c r="G62" s="478"/>
      <c r="H62" s="359"/>
      <c r="I62" s="478"/>
      <c r="J62" s="359"/>
      <c r="K62" s="478"/>
      <c r="L62" s="359"/>
      <c r="M62" s="478"/>
      <c r="N62" s="561"/>
      <c r="O62" s="47"/>
      <c r="P62" s="338"/>
      <c r="Q62" s="10"/>
      <c r="R62" s="63"/>
    </row>
    <row r="63" spans="1:18" x14ac:dyDescent="0.25">
      <c r="A63" s="315"/>
      <c r="B63" s="4"/>
      <c r="C63" s="9"/>
      <c r="D63" s="359"/>
      <c r="E63" s="478"/>
      <c r="F63" s="359"/>
      <c r="G63" s="478"/>
      <c r="H63" s="359"/>
      <c r="I63" s="478"/>
      <c r="J63" s="359"/>
      <c r="K63" s="478"/>
      <c r="L63" s="359"/>
      <c r="M63" s="478"/>
      <c r="N63" s="561"/>
      <c r="O63" s="47"/>
      <c r="P63" s="338"/>
      <c r="Q63" s="10"/>
      <c r="R63" s="63"/>
    </row>
    <row r="64" spans="1:18" x14ac:dyDescent="0.25">
      <c r="A64" s="315"/>
      <c r="B64" s="4"/>
      <c r="C64" s="9"/>
      <c r="D64" s="359"/>
      <c r="E64" s="478"/>
      <c r="F64" s="359"/>
      <c r="G64" s="478"/>
      <c r="H64" s="359"/>
      <c r="I64" s="478"/>
      <c r="J64" s="359"/>
      <c r="K64" s="478"/>
      <c r="L64" s="359"/>
      <c r="M64" s="478"/>
      <c r="N64" s="561"/>
      <c r="O64" s="47"/>
      <c r="P64" s="338"/>
      <c r="Q64" s="10"/>
      <c r="R64" s="63"/>
    </row>
    <row r="65" spans="1:18" x14ac:dyDescent="0.25">
      <c r="A65" s="315"/>
      <c r="B65" s="4"/>
      <c r="C65" s="9"/>
      <c r="D65" s="359"/>
      <c r="E65" s="478"/>
      <c r="F65" s="359"/>
      <c r="G65" s="478"/>
      <c r="H65" s="359"/>
      <c r="I65" s="478"/>
      <c r="J65" s="359"/>
      <c r="K65" s="478"/>
      <c r="L65" s="359"/>
      <c r="M65" s="478"/>
      <c r="N65" s="561"/>
      <c r="O65" s="47"/>
      <c r="P65" s="338"/>
      <c r="Q65" s="10"/>
      <c r="R65" s="63"/>
    </row>
    <row r="66" spans="1:18" x14ac:dyDescent="0.25">
      <c r="A66" s="315"/>
      <c r="B66" s="4"/>
      <c r="C66" s="9"/>
      <c r="D66" s="359"/>
      <c r="E66" s="478"/>
      <c r="F66" s="359"/>
      <c r="G66" s="478"/>
      <c r="H66" s="359"/>
      <c r="I66" s="478"/>
      <c r="J66" s="359"/>
      <c r="K66" s="478"/>
      <c r="L66" s="359"/>
      <c r="M66" s="478"/>
      <c r="N66" s="561"/>
      <c r="O66" s="47"/>
      <c r="P66" s="338"/>
      <c r="Q66" s="10"/>
      <c r="R66" s="63"/>
    </row>
    <row r="67" spans="1:18" x14ac:dyDescent="0.25">
      <c r="A67" s="315"/>
      <c r="B67" s="4"/>
      <c r="C67" s="8"/>
      <c r="D67" s="359"/>
      <c r="E67" s="478"/>
      <c r="F67" s="359"/>
      <c r="G67" s="478"/>
      <c r="H67" s="359"/>
      <c r="I67" s="478"/>
      <c r="J67" s="359"/>
      <c r="K67" s="478"/>
      <c r="L67" s="359"/>
      <c r="M67" s="478"/>
      <c r="N67" s="561"/>
      <c r="O67" s="47"/>
      <c r="P67" s="338"/>
      <c r="Q67" s="10"/>
      <c r="R67" s="63"/>
    </row>
    <row r="68" spans="1:18" x14ac:dyDescent="0.25">
      <c r="A68" s="315"/>
      <c r="B68" s="4"/>
      <c r="C68" s="8"/>
      <c r="D68" s="359"/>
      <c r="E68" s="478"/>
      <c r="F68" s="359"/>
      <c r="G68" s="478"/>
      <c r="H68" s="359"/>
      <c r="I68" s="478"/>
      <c r="J68" s="359"/>
      <c r="K68" s="478"/>
      <c r="L68" s="359"/>
      <c r="M68" s="478"/>
      <c r="N68" s="561"/>
      <c r="O68" s="47"/>
      <c r="P68" s="338"/>
      <c r="Q68" s="10"/>
      <c r="R68" s="63"/>
    </row>
    <row r="69" spans="1:18" x14ac:dyDescent="0.25">
      <c r="A69" s="315"/>
      <c r="B69" s="4"/>
      <c r="C69" s="8"/>
      <c r="D69" s="359"/>
      <c r="E69" s="478"/>
      <c r="F69" s="359"/>
      <c r="G69" s="478"/>
      <c r="H69" s="359"/>
      <c r="I69" s="478"/>
      <c r="J69" s="359"/>
      <c r="K69" s="478"/>
      <c r="L69" s="359"/>
      <c r="M69" s="478"/>
      <c r="N69" s="561"/>
      <c r="O69" s="47"/>
      <c r="P69" s="338"/>
      <c r="Q69" s="10"/>
      <c r="R69" s="63"/>
    </row>
    <row r="70" spans="1:18" x14ac:dyDescent="0.25">
      <c r="A70" s="315"/>
      <c r="B70" s="4"/>
      <c r="C70" s="9"/>
      <c r="D70" s="359"/>
      <c r="E70" s="478"/>
      <c r="F70" s="359"/>
      <c r="G70" s="478"/>
      <c r="H70" s="359"/>
      <c r="I70" s="478"/>
      <c r="J70" s="359"/>
      <c r="K70" s="478"/>
      <c r="L70" s="359"/>
      <c r="M70" s="478"/>
      <c r="N70" s="561"/>
      <c r="O70" s="47"/>
      <c r="P70" s="338"/>
      <c r="Q70" s="10"/>
      <c r="R70" s="63"/>
    </row>
    <row r="71" spans="1:18" x14ac:dyDescent="0.25">
      <c r="A71" s="315"/>
      <c r="B71" s="4"/>
      <c r="C71" s="9"/>
      <c r="D71" s="359"/>
      <c r="E71" s="478"/>
      <c r="F71" s="359"/>
      <c r="G71" s="478"/>
      <c r="H71" s="359"/>
      <c r="I71" s="478"/>
      <c r="J71" s="359"/>
      <c r="K71" s="478"/>
      <c r="L71" s="359"/>
      <c r="M71" s="478"/>
      <c r="N71" s="561"/>
      <c r="O71" s="47"/>
      <c r="P71" s="338"/>
      <c r="Q71" s="10"/>
      <c r="R71" s="63"/>
    </row>
    <row r="72" spans="1:18" x14ac:dyDescent="0.25">
      <c r="A72" s="315"/>
      <c r="B72" s="4"/>
      <c r="C72" s="9"/>
      <c r="D72" s="359"/>
      <c r="E72" s="478"/>
      <c r="F72" s="359"/>
      <c r="G72" s="478"/>
      <c r="H72" s="359"/>
      <c r="I72" s="478"/>
      <c r="J72" s="359"/>
      <c r="K72" s="478"/>
      <c r="L72" s="359"/>
      <c r="M72" s="478"/>
      <c r="N72" s="561"/>
      <c r="O72" s="47"/>
      <c r="P72" s="338"/>
      <c r="Q72" s="10"/>
      <c r="R72" s="63"/>
    </row>
    <row r="73" spans="1:18" x14ac:dyDescent="0.25">
      <c r="A73" s="315"/>
      <c r="B73" s="4"/>
      <c r="C73" s="9"/>
      <c r="D73" s="359"/>
      <c r="E73" s="478"/>
      <c r="F73" s="359"/>
      <c r="G73" s="478"/>
      <c r="H73" s="359"/>
      <c r="I73" s="478"/>
      <c r="J73" s="359"/>
      <c r="K73" s="478"/>
      <c r="L73" s="359"/>
      <c r="M73" s="478"/>
      <c r="N73" s="561"/>
      <c r="O73" s="47"/>
      <c r="P73" s="338"/>
      <c r="Q73" s="10"/>
      <c r="R73" s="63"/>
    </row>
    <row r="74" spans="1:18" x14ac:dyDescent="0.25">
      <c r="A74" s="315"/>
      <c r="B74" s="4"/>
      <c r="C74" s="8"/>
      <c r="D74" s="359"/>
      <c r="E74" s="478"/>
      <c r="F74" s="359"/>
      <c r="G74" s="478"/>
      <c r="H74" s="359"/>
      <c r="I74" s="478"/>
      <c r="J74" s="359"/>
      <c r="K74" s="478"/>
      <c r="L74" s="359"/>
      <c r="M74" s="478"/>
      <c r="N74" s="561"/>
      <c r="O74" s="47"/>
      <c r="P74" s="338"/>
      <c r="Q74" s="10"/>
      <c r="R74" s="63"/>
    </row>
    <row r="75" spans="1:18" x14ac:dyDescent="0.25">
      <c r="A75" s="315"/>
      <c r="B75" s="4"/>
      <c r="C75" s="9"/>
      <c r="D75" s="359"/>
      <c r="E75" s="478"/>
      <c r="F75" s="359"/>
      <c r="G75" s="478"/>
      <c r="H75" s="359"/>
      <c r="I75" s="478"/>
      <c r="J75" s="359"/>
      <c r="K75" s="478"/>
      <c r="L75" s="359"/>
      <c r="M75" s="478"/>
      <c r="N75" s="561"/>
      <c r="O75" s="47"/>
      <c r="P75" s="338"/>
      <c r="Q75" s="10"/>
      <c r="R75" s="63"/>
    </row>
    <row r="76" spans="1:18" x14ac:dyDescent="0.25">
      <c r="A76" s="315"/>
      <c r="B76" s="4"/>
      <c r="C76" s="9"/>
      <c r="D76" s="359"/>
      <c r="E76" s="478"/>
      <c r="F76" s="359"/>
      <c r="G76" s="478"/>
      <c r="H76" s="359"/>
      <c r="I76" s="478"/>
      <c r="J76" s="359"/>
      <c r="K76" s="478"/>
      <c r="L76" s="359"/>
      <c r="M76" s="478"/>
      <c r="N76" s="561"/>
      <c r="O76" s="47"/>
      <c r="P76" s="338"/>
      <c r="Q76" s="10"/>
      <c r="R76" s="63"/>
    </row>
    <row r="77" spans="1:18" x14ac:dyDescent="0.25">
      <c r="A77" s="315"/>
      <c r="B77" s="4"/>
      <c r="C77" s="9"/>
      <c r="D77" s="359"/>
      <c r="E77" s="478"/>
      <c r="F77" s="359"/>
      <c r="G77" s="478"/>
      <c r="H77" s="359"/>
      <c r="I77" s="478"/>
      <c r="J77" s="359"/>
      <c r="K77" s="478"/>
      <c r="L77" s="359"/>
      <c r="M77" s="478"/>
      <c r="N77" s="561"/>
      <c r="O77" s="47"/>
      <c r="P77" s="338"/>
      <c r="Q77" s="10"/>
      <c r="R77" s="63"/>
    </row>
    <row r="78" spans="1:18" x14ac:dyDescent="0.25">
      <c r="A78" s="315"/>
      <c r="B78" s="4"/>
      <c r="C78" s="9"/>
      <c r="D78" s="359"/>
      <c r="E78" s="478"/>
      <c r="F78" s="359"/>
      <c r="G78" s="478"/>
      <c r="H78" s="359"/>
      <c r="I78" s="478"/>
      <c r="J78" s="359"/>
      <c r="K78" s="478"/>
      <c r="L78" s="359"/>
      <c r="M78" s="478"/>
      <c r="N78" s="561"/>
      <c r="O78" s="47"/>
      <c r="P78" s="338"/>
      <c r="Q78" s="10"/>
      <c r="R78" s="63"/>
    </row>
    <row r="79" spans="1:18" x14ac:dyDescent="0.25">
      <c r="A79" s="315"/>
      <c r="B79" s="4"/>
      <c r="C79" s="9"/>
      <c r="D79" s="359"/>
      <c r="E79" s="478"/>
      <c r="F79" s="359"/>
      <c r="G79" s="478"/>
      <c r="H79" s="359"/>
      <c r="I79" s="478"/>
      <c r="J79" s="359"/>
      <c r="K79" s="478"/>
      <c r="L79" s="359"/>
      <c r="M79" s="478"/>
      <c r="N79" s="561"/>
      <c r="O79" s="47"/>
      <c r="P79" s="338"/>
      <c r="Q79" s="10"/>
      <c r="R79" s="63"/>
    </row>
    <row r="80" spans="1:18" x14ac:dyDescent="0.25">
      <c r="A80" s="315"/>
      <c r="B80" s="4"/>
      <c r="C80" s="8"/>
      <c r="D80" s="359"/>
      <c r="E80" s="478"/>
      <c r="F80" s="359"/>
      <c r="G80" s="478"/>
      <c r="H80" s="359"/>
      <c r="I80" s="478"/>
      <c r="J80" s="359"/>
      <c r="K80" s="478"/>
      <c r="L80" s="359"/>
      <c r="M80" s="478"/>
      <c r="N80" s="561"/>
      <c r="O80" s="47"/>
      <c r="P80" s="338"/>
      <c r="Q80" s="10"/>
      <c r="R80" s="63"/>
    </row>
    <row r="81" spans="1:18" x14ac:dyDescent="0.25">
      <c r="A81" s="315"/>
      <c r="B81" s="4"/>
      <c r="C81" s="9"/>
      <c r="D81" s="359"/>
      <c r="E81" s="478"/>
      <c r="F81" s="359"/>
      <c r="G81" s="478"/>
      <c r="H81" s="359"/>
      <c r="I81" s="478"/>
      <c r="J81" s="359"/>
      <c r="K81" s="478"/>
      <c r="L81" s="359"/>
      <c r="M81" s="478"/>
      <c r="N81" s="561"/>
      <c r="O81" s="47"/>
      <c r="P81" s="338"/>
      <c r="Q81" s="10"/>
      <c r="R81" s="63"/>
    </row>
    <row r="82" spans="1:18" x14ac:dyDescent="0.25">
      <c r="A82" s="315"/>
      <c r="B82" s="4"/>
      <c r="C82" s="9"/>
      <c r="D82" s="359"/>
      <c r="E82" s="478"/>
      <c r="F82" s="359"/>
      <c r="G82" s="478"/>
      <c r="H82" s="359"/>
      <c r="I82" s="478"/>
      <c r="J82" s="359"/>
      <c r="K82" s="478"/>
      <c r="L82" s="359"/>
      <c r="M82" s="478"/>
      <c r="N82" s="561"/>
      <c r="O82" s="47"/>
      <c r="P82" s="338"/>
      <c r="Q82" s="10"/>
      <c r="R82" s="63"/>
    </row>
    <row r="83" spans="1:18" x14ac:dyDescent="0.25">
      <c r="A83" s="315"/>
      <c r="B83" s="3"/>
      <c r="C83" s="9"/>
      <c r="D83" s="359"/>
      <c r="E83" s="478"/>
      <c r="F83" s="359"/>
      <c r="G83" s="478"/>
      <c r="H83" s="359"/>
      <c r="I83" s="478"/>
      <c r="J83" s="359"/>
      <c r="K83" s="478"/>
      <c r="L83" s="359"/>
      <c r="M83" s="478"/>
      <c r="N83" s="561"/>
      <c r="O83" s="47"/>
      <c r="P83" s="338"/>
      <c r="Q83" s="10"/>
      <c r="R83" s="63"/>
    </row>
    <row r="84" spans="1:18" x14ac:dyDescent="0.25">
      <c r="A84" s="315"/>
      <c r="B84" s="4"/>
      <c r="C84" s="8"/>
      <c r="D84" s="359"/>
      <c r="E84" s="478"/>
      <c r="F84" s="359"/>
      <c r="G84" s="478"/>
      <c r="H84" s="359"/>
      <c r="I84" s="478"/>
      <c r="J84" s="359"/>
      <c r="K84" s="478"/>
      <c r="L84" s="359"/>
      <c r="M84" s="478"/>
      <c r="N84" s="561"/>
      <c r="O84" s="47"/>
      <c r="P84" s="338"/>
      <c r="Q84" s="10"/>
      <c r="R84" s="63"/>
    </row>
    <row r="85" spans="1:18" x14ac:dyDescent="0.25">
      <c r="A85" s="315"/>
      <c r="B85" s="4"/>
      <c r="C85" s="8"/>
      <c r="D85" s="359"/>
      <c r="E85" s="478"/>
      <c r="F85" s="359"/>
      <c r="G85" s="478"/>
      <c r="H85" s="359"/>
      <c r="I85" s="478"/>
      <c r="J85" s="359"/>
      <c r="K85" s="478"/>
      <c r="L85" s="359"/>
      <c r="M85" s="478"/>
      <c r="N85" s="561"/>
      <c r="O85" s="47"/>
      <c r="P85" s="338"/>
      <c r="Q85" s="10"/>
      <c r="R85" s="63"/>
    </row>
    <row r="86" spans="1:18" x14ac:dyDescent="0.25">
      <c r="A86" s="315"/>
      <c r="B86" s="4"/>
      <c r="C86" s="9"/>
      <c r="D86" s="359"/>
      <c r="E86" s="478"/>
      <c r="F86" s="359"/>
      <c r="G86" s="478"/>
      <c r="H86" s="359"/>
      <c r="I86" s="478"/>
      <c r="J86" s="359"/>
      <c r="K86" s="478"/>
      <c r="L86" s="359"/>
      <c r="M86" s="478"/>
      <c r="N86" s="561"/>
      <c r="O86" s="47"/>
      <c r="P86" s="338"/>
      <c r="Q86" s="10"/>
      <c r="R86" s="63"/>
    </row>
    <row r="87" spans="1:18" x14ac:dyDescent="0.25">
      <c r="A87" s="3"/>
      <c r="B87" s="4"/>
      <c r="C87" s="9"/>
      <c r="D87" s="359"/>
      <c r="E87" s="478"/>
      <c r="F87" s="359"/>
      <c r="G87" s="478"/>
      <c r="H87" s="359"/>
      <c r="I87" s="478"/>
      <c r="J87" s="359"/>
      <c r="K87" s="478"/>
      <c r="L87" s="359"/>
      <c r="M87" s="478"/>
      <c r="N87" s="561"/>
      <c r="O87" s="47"/>
      <c r="P87" s="338"/>
      <c r="Q87" s="10"/>
      <c r="R87" s="63"/>
    </row>
    <row r="88" spans="1:18" x14ac:dyDescent="0.25">
      <c r="A88" s="3"/>
      <c r="B88" s="4"/>
      <c r="C88" s="9"/>
      <c r="D88" s="359"/>
      <c r="E88" s="478"/>
      <c r="F88" s="359"/>
      <c r="G88" s="478"/>
      <c r="H88" s="359"/>
      <c r="I88" s="478"/>
      <c r="J88" s="359"/>
      <c r="K88" s="478"/>
      <c r="L88" s="359"/>
      <c r="M88" s="478"/>
      <c r="N88" s="561"/>
      <c r="O88" s="47"/>
      <c r="P88" s="338"/>
      <c r="Q88" s="10"/>
      <c r="R88" s="63"/>
    </row>
    <row r="89" spans="1:18" x14ac:dyDescent="0.25">
      <c r="A89" s="3"/>
      <c r="B89" s="4"/>
      <c r="C89" s="9"/>
      <c r="D89" s="359"/>
      <c r="E89" s="478"/>
      <c r="F89" s="359"/>
      <c r="G89" s="478"/>
      <c r="H89" s="359"/>
      <c r="I89" s="478"/>
      <c r="J89" s="359"/>
      <c r="K89" s="478"/>
      <c r="L89" s="359"/>
      <c r="M89" s="478"/>
      <c r="N89" s="561"/>
      <c r="O89" s="47"/>
      <c r="P89" s="338"/>
      <c r="Q89" s="10"/>
      <c r="R89" s="63"/>
    </row>
    <row r="90" spans="1:18" x14ac:dyDescent="0.25">
      <c r="A90" s="3"/>
      <c r="B90" s="3"/>
      <c r="C90" s="9"/>
      <c r="D90" s="359"/>
      <c r="E90" s="478"/>
      <c r="F90" s="359"/>
      <c r="G90" s="478"/>
      <c r="H90" s="359"/>
      <c r="I90" s="478"/>
      <c r="J90" s="359"/>
      <c r="K90" s="478"/>
      <c r="L90" s="359"/>
      <c r="M90" s="478"/>
      <c r="N90" s="561"/>
      <c r="O90" s="47"/>
      <c r="P90" s="338"/>
      <c r="Q90" s="10"/>
      <c r="R90" s="63"/>
    </row>
    <row r="91" spans="1:18" x14ac:dyDescent="0.25">
      <c r="A91" s="3"/>
      <c r="B91" s="4"/>
      <c r="C91" s="9"/>
      <c r="D91" s="359"/>
      <c r="E91" s="478"/>
      <c r="F91" s="359"/>
      <c r="G91" s="478"/>
      <c r="H91" s="359"/>
      <c r="I91" s="478"/>
      <c r="J91" s="359"/>
      <c r="K91" s="478"/>
      <c r="L91" s="359"/>
      <c r="M91" s="478"/>
      <c r="N91" s="561"/>
      <c r="O91" s="47"/>
      <c r="P91" s="338"/>
      <c r="Q91" s="10"/>
      <c r="R91" s="63"/>
    </row>
    <row r="92" spans="1:18" x14ac:dyDescent="0.25">
      <c r="A92" s="3"/>
      <c r="B92" s="4"/>
      <c r="C92" s="9"/>
      <c r="D92" s="359"/>
      <c r="E92" s="478"/>
      <c r="F92" s="359"/>
      <c r="G92" s="478"/>
      <c r="H92" s="359"/>
      <c r="I92" s="478"/>
      <c r="J92" s="359"/>
      <c r="K92" s="478"/>
      <c r="L92" s="359"/>
      <c r="M92" s="478"/>
      <c r="N92" s="561"/>
      <c r="O92" s="47"/>
      <c r="P92" s="338"/>
      <c r="Q92" s="10"/>
      <c r="R92" s="63"/>
    </row>
    <row r="93" spans="1:18" x14ac:dyDescent="0.25">
      <c r="A93" s="3"/>
      <c r="B93" s="4"/>
      <c r="C93" s="8"/>
      <c r="D93" s="359"/>
      <c r="E93" s="478"/>
      <c r="F93" s="359"/>
      <c r="G93" s="478"/>
      <c r="H93" s="359"/>
      <c r="I93" s="478"/>
      <c r="J93" s="359"/>
      <c r="K93" s="478"/>
      <c r="L93" s="359"/>
      <c r="M93" s="478"/>
      <c r="N93" s="561"/>
      <c r="O93" s="47"/>
      <c r="P93" s="338"/>
      <c r="Q93" s="10"/>
      <c r="R93" s="63"/>
    </row>
    <row r="94" spans="1:18" x14ac:dyDescent="0.25">
      <c r="A94" s="3"/>
      <c r="B94" s="4"/>
      <c r="C94" s="9"/>
      <c r="D94" s="359"/>
      <c r="E94" s="478"/>
      <c r="F94" s="359"/>
      <c r="G94" s="478"/>
      <c r="H94" s="359"/>
      <c r="I94" s="478"/>
      <c r="J94" s="359"/>
      <c r="K94" s="478"/>
      <c r="L94" s="359"/>
      <c r="M94" s="478"/>
      <c r="N94" s="561"/>
      <c r="O94" s="47"/>
      <c r="P94" s="338"/>
      <c r="Q94" s="10"/>
      <c r="R94" s="63"/>
    </row>
    <row r="95" spans="1:18" x14ac:dyDescent="0.25">
      <c r="A95" s="3"/>
      <c r="B95" s="4"/>
      <c r="C95" s="9"/>
      <c r="D95" s="359"/>
      <c r="E95" s="478"/>
      <c r="F95" s="359"/>
      <c r="G95" s="478"/>
      <c r="H95" s="359"/>
      <c r="I95" s="478"/>
      <c r="J95" s="359"/>
      <c r="K95" s="478"/>
      <c r="L95" s="359"/>
      <c r="M95" s="478"/>
      <c r="N95" s="561"/>
      <c r="O95" s="47"/>
      <c r="P95" s="338"/>
      <c r="Q95" s="10"/>
      <c r="R95" s="63"/>
    </row>
    <row r="96" spans="1:18" x14ac:dyDescent="0.25">
      <c r="A96" s="3"/>
      <c r="B96" s="4"/>
      <c r="C96" s="9"/>
      <c r="D96" s="359"/>
      <c r="E96" s="478"/>
      <c r="F96" s="359"/>
      <c r="G96" s="478"/>
      <c r="H96" s="359"/>
      <c r="I96" s="478"/>
      <c r="J96" s="359"/>
      <c r="K96" s="478"/>
      <c r="L96" s="359"/>
      <c r="M96" s="478"/>
      <c r="N96" s="561"/>
      <c r="O96" s="47"/>
      <c r="P96" s="338"/>
      <c r="Q96" s="10"/>
      <c r="R96" s="63"/>
    </row>
    <row r="97" spans="1:18" x14ac:dyDescent="0.25">
      <c r="A97" s="3"/>
      <c r="B97" s="4"/>
      <c r="C97" s="9"/>
      <c r="D97" s="359"/>
      <c r="E97" s="478"/>
      <c r="F97" s="359"/>
      <c r="G97" s="478"/>
      <c r="H97" s="359"/>
      <c r="I97" s="478"/>
      <c r="J97" s="359"/>
      <c r="K97" s="478"/>
      <c r="L97" s="359"/>
      <c r="M97" s="478"/>
      <c r="N97" s="561"/>
      <c r="O97" s="47"/>
      <c r="P97" s="338"/>
      <c r="Q97" s="10"/>
      <c r="R97" s="63"/>
    </row>
    <row r="98" spans="1:18" x14ac:dyDescent="0.25">
      <c r="A98" s="3"/>
      <c r="B98" s="4"/>
      <c r="C98" s="9"/>
      <c r="D98" s="359"/>
      <c r="E98" s="478"/>
      <c r="F98" s="359"/>
      <c r="G98" s="478"/>
      <c r="H98" s="359"/>
      <c r="I98" s="478"/>
      <c r="J98" s="359"/>
      <c r="K98" s="478"/>
      <c r="L98" s="359"/>
      <c r="M98" s="478"/>
      <c r="N98" s="561"/>
      <c r="O98" s="47"/>
      <c r="P98" s="338"/>
      <c r="Q98" s="10"/>
      <c r="R98" s="63"/>
    </row>
    <row r="99" spans="1:18" x14ac:dyDescent="0.25">
      <c r="A99" s="3"/>
      <c r="B99" s="4"/>
      <c r="C99" s="9"/>
      <c r="D99" s="359"/>
      <c r="E99" s="478"/>
      <c r="F99" s="359"/>
      <c r="G99" s="478"/>
      <c r="H99" s="359"/>
      <c r="I99" s="478"/>
      <c r="J99" s="359"/>
      <c r="K99" s="478"/>
      <c r="L99" s="359"/>
      <c r="M99" s="478"/>
      <c r="N99" s="561"/>
      <c r="O99" s="47"/>
      <c r="P99" s="338"/>
      <c r="Q99" s="10"/>
      <c r="R99" s="63"/>
    </row>
    <row r="100" spans="1:18" x14ac:dyDescent="0.25">
      <c r="A100" s="3"/>
      <c r="B100" s="4"/>
      <c r="C100" s="9"/>
      <c r="D100" s="359"/>
      <c r="E100" s="478"/>
      <c r="F100" s="359"/>
      <c r="G100" s="478"/>
      <c r="H100" s="359"/>
      <c r="I100" s="478"/>
      <c r="J100" s="359"/>
      <c r="K100" s="478"/>
      <c r="L100" s="359"/>
      <c r="M100" s="478"/>
      <c r="N100" s="561"/>
      <c r="O100" s="47"/>
      <c r="P100" s="338"/>
      <c r="Q100" s="10"/>
      <c r="R100" s="63"/>
    </row>
    <row r="101" spans="1:18" x14ac:dyDescent="0.25">
      <c r="A101" s="3"/>
      <c r="B101" s="4"/>
      <c r="C101" s="9"/>
      <c r="D101" s="359"/>
      <c r="E101" s="478"/>
      <c r="F101" s="359"/>
      <c r="G101" s="478"/>
      <c r="H101" s="359"/>
      <c r="I101" s="478"/>
      <c r="J101" s="359"/>
      <c r="K101" s="478"/>
      <c r="L101" s="359"/>
      <c r="M101" s="478"/>
      <c r="N101" s="561"/>
      <c r="O101" s="47"/>
      <c r="P101" s="338"/>
      <c r="Q101" s="10"/>
      <c r="R101" s="63"/>
    </row>
    <row r="102" spans="1:18" x14ac:dyDescent="0.25">
      <c r="A102" s="3"/>
      <c r="B102" s="4"/>
      <c r="C102" s="9"/>
      <c r="D102" s="359"/>
      <c r="E102" s="478"/>
      <c r="F102" s="359"/>
      <c r="G102" s="478"/>
      <c r="H102" s="359"/>
      <c r="I102" s="478"/>
      <c r="J102" s="359"/>
      <c r="K102" s="478"/>
      <c r="L102" s="359"/>
      <c r="M102" s="478"/>
      <c r="N102" s="561"/>
      <c r="O102" s="47"/>
      <c r="P102" s="338"/>
      <c r="Q102" s="10"/>
      <c r="R102" s="63"/>
    </row>
    <row r="103" spans="1:18" x14ac:dyDescent="0.25">
      <c r="A103" s="3"/>
      <c r="B103" s="4"/>
      <c r="C103" s="9"/>
      <c r="D103" s="359"/>
      <c r="E103" s="478"/>
      <c r="F103" s="359"/>
      <c r="G103" s="478"/>
      <c r="H103" s="359"/>
      <c r="I103" s="478"/>
      <c r="J103" s="359"/>
      <c r="K103" s="478"/>
      <c r="L103" s="359"/>
      <c r="M103" s="478"/>
      <c r="N103" s="561"/>
      <c r="O103" s="47"/>
      <c r="P103" s="338"/>
      <c r="Q103" s="10"/>
      <c r="R103" s="63"/>
    </row>
    <row r="104" spans="1:18" x14ac:dyDescent="0.25">
      <c r="A104" s="3"/>
      <c r="B104" s="4"/>
      <c r="C104" s="9"/>
      <c r="D104" s="359"/>
      <c r="E104" s="478"/>
      <c r="F104" s="359"/>
      <c r="G104" s="478"/>
      <c r="H104" s="359"/>
      <c r="I104" s="478"/>
      <c r="J104" s="359"/>
      <c r="K104" s="478"/>
      <c r="L104" s="359"/>
      <c r="M104" s="478"/>
      <c r="N104" s="561"/>
      <c r="O104" s="47"/>
      <c r="P104" s="338"/>
      <c r="Q104" s="10"/>
      <c r="R104" s="63"/>
    </row>
    <row r="105" spans="1:18" x14ac:dyDescent="0.25">
      <c r="A105" s="3"/>
      <c r="B105" s="4"/>
      <c r="C105" s="9"/>
      <c r="D105" s="359"/>
      <c r="E105" s="478"/>
      <c r="F105" s="359"/>
      <c r="G105" s="478"/>
      <c r="H105" s="359"/>
      <c r="I105" s="478"/>
      <c r="J105" s="359"/>
      <c r="K105" s="478"/>
      <c r="L105" s="359"/>
      <c r="M105" s="478"/>
      <c r="N105" s="561"/>
      <c r="O105" s="47"/>
      <c r="P105" s="338"/>
      <c r="Q105" s="10"/>
      <c r="R105" s="63"/>
    </row>
    <row r="106" spans="1:18" x14ac:dyDescent="0.25">
      <c r="A106" s="3"/>
      <c r="B106" s="4"/>
      <c r="C106" s="9"/>
      <c r="D106" s="359"/>
      <c r="E106" s="478"/>
      <c r="F106" s="359"/>
      <c r="G106" s="478"/>
      <c r="H106" s="359"/>
      <c r="I106" s="478"/>
      <c r="J106" s="359"/>
      <c r="K106" s="478"/>
      <c r="L106" s="359"/>
      <c r="M106" s="478"/>
      <c r="N106" s="561"/>
      <c r="O106" s="47"/>
      <c r="P106" s="338"/>
      <c r="Q106" s="10"/>
      <c r="R106" s="64"/>
    </row>
    <row r="107" spans="1:18" x14ac:dyDescent="0.25">
      <c r="A107" s="3"/>
      <c r="B107" s="4"/>
      <c r="C107" s="9"/>
      <c r="D107" s="359"/>
      <c r="E107" s="478"/>
      <c r="F107" s="359"/>
      <c r="G107" s="478"/>
      <c r="H107" s="359"/>
      <c r="I107" s="478"/>
      <c r="J107" s="359"/>
      <c r="K107" s="478"/>
      <c r="L107" s="359"/>
      <c r="M107" s="478"/>
      <c r="N107" s="561"/>
      <c r="O107" s="47"/>
      <c r="P107" s="338"/>
      <c r="Q107" s="10"/>
      <c r="R107" s="63"/>
    </row>
    <row r="108" spans="1:18" x14ac:dyDescent="0.25">
      <c r="A108" s="3"/>
      <c r="B108" s="4"/>
      <c r="C108" s="9"/>
      <c r="D108" s="359"/>
      <c r="E108" s="478"/>
      <c r="F108" s="359"/>
      <c r="G108" s="478"/>
      <c r="H108" s="359"/>
      <c r="I108" s="478"/>
      <c r="J108" s="359"/>
      <c r="K108" s="478"/>
      <c r="L108" s="359"/>
      <c r="M108" s="478"/>
      <c r="N108" s="561"/>
      <c r="O108" s="47"/>
      <c r="P108" s="338"/>
      <c r="Q108" s="10"/>
      <c r="R108" s="63"/>
    </row>
    <row r="109" spans="1:18" x14ac:dyDescent="0.25">
      <c r="A109" s="3"/>
      <c r="B109" s="4"/>
      <c r="C109" s="9"/>
      <c r="D109" s="359"/>
      <c r="E109" s="478"/>
      <c r="F109" s="359"/>
      <c r="G109" s="478"/>
      <c r="H109" s="359"/>
      <c r="I109" s="478"/>
      <c r="J109" s="359"/>
      <c r="K109" s="478"/>
      <c r="L109" s="359"/>
      <c r="M109" s="478"/>
      <c r="N109" s="561"/>
      <c r="O109" s="47"/>
      <c r="P109" s="338"/>
      <c r="Q109" s="10"/>
      <c r="R109" s="63"/>
    </row>
    <row r="110" spans="1:18" x14ac:dyDescent="0.25">
      <c r="A110" s="3"/>
      <c r="B110" s="4"/>
      <c r="C110" s="9"/>
      <c r="D110" s="359"/>
      <c r="E110" s="478"/>
      <c r="F110" s="359"/>
      <c r="G110" s="478"/>
      <c r="H110" s="359"/>
      <c r="I110" s="478"/>
      <c r="J110" s="359"/>
      <c r="K110" s="478"/>
      <c r="L110" s="359"/>
      <c r="M110" s="478"/>
      <c r="N110" s="561"/>
      <c r="O110" s="47"/>
      <c r="P110" s="338"/>
      <c r="Q110" s="10"/>
      <c r="R110" s="63"/>
    </row>
    <row r="111" spans="1:18" x14ac:dyDescent="0.25">
      <c r="A111" s="3"/>
      <c r="B111" s="4"/>
      <c r="C111" s="9"/>
      <c r="D111" s="359"/>
      <c r="E111" s="478"/>
      <c r="F111" s="359"/>
      <c r="G111" s="478"/>
      <c r="H111" s="359"/>
      <c r="I111" s="478"/>
      <c r="J111" s="359"/>
      <c r="K111" s="478"/>
      <c r="L111" s="359"/>
      <c r="M111" s="478"/>
      <c r="N111" s="561"/>
      <c r="O111" s="47"/>
      <c r="P111" s="338"/>
      <c r="Q111" s="10"/>
      <c r="R111" s="63"/>
    </row>
    <row r="112" spans="1:18" x14ac:dyDescent="0.25">
      <c r="A112" s="3"/>
      <c r="B112" s="4"/>
      <c r="C112" s="9"/>
      <c r="D112" s="359"/>
      <c r="E112" s="478"/>
      <c r="F112" s="359"/>
      <c r="G112" s="478"/>
      <c r="H112" s="359"/>
      <c r="I112" s="478"/>
      <c r="J112" s="359"/>
      <c r="K112" s="478"/>
      <c r="L112" s="359"/>
      <c r="M112" s="478"/>
      <c r="N112" s="561"/>
      <c r="O112" s="47"/>
      <c r="P112" s="338"/>
      <c r="Q112" s="10"/>
      <c r="R112" s="63"/>
    </row>
    <row r="113" spans="1:18" x14ac:dyDescent="0.25">
      <c r="A113" s="3"/>
      <c r="B113" s="4"/>
      <c r="C113" s="9"/>
      <c r="D113" s="359"/>
      <c r="E113" s="478"/>
      <c r="F113" s="359"/>
      <c r="G113" s="478"/>
      <c r="H113" s="359"/>
      <c r="I113" s="478"/>
      <c r="J113" s="359"/>
      <c r="K113" s="478"/>
      <c r="L113" s="359"/>
      <c r="M113" s="478"/>
      <c r="N113" s="561"/>
      <c r="O113" s="47"/>
      <c r="P113" s="338"/>
      <c r="Q113" s="10"/>
      <c r="R113" s="63"/>
    </row>
    <row r="114" spans="1:18" x14ac:dyDescent="0.25">
      <c r="A114" s="3"/>
      <c r="B114" s="4"/>
      <c r="C114" s="9"/>
      <c r="D114" s="359"/>
      <c r="E114" s="478"/>
      <c r="F114" s="359"/>
      <c r="G114" s="478"/>
      <c r="H114" s="359"/>
      <c r="I114" s="478"/>
      <c r="J114" s="359"/>
      <c r="K114" s="478"/>
      <c r="L114" s="359"/>
      <c r="M114" s="478"/>
      <c r="N114" s="561"/>
      <c r="O114" s="47"/>
      <c r="P114" s="338"/>
      <c r="Q114" s="10"/>
      <c r="R114" s="63"/>
    </row>
    <row r="115" spans="1:18" x14ac:dyDescent="0.25">
      <c r="A115" s="3"/>
      <c r="B115" s="4"/>
      <c r="C115" s="9"/>
      <c r="D115" s="359"/>
      <c r="E115" s="478"/>
      <c r="F115" s="359"/>
      <c r="G115" s="478"/>
      <c r="H115" s="359"/>
      <c r="I115" s="478"/>
      <c r="J115" s="359"/>
      <c r="K115" s="478"/>
      <c r="L115" s="359"/>
      <c r="M115" s="478"/>
      <c r="N115" s="561"/>
      <c r="O115" s="47"/>
      <c r="P115" s="338"/>
      <c r="Q115" s="10"/>
      <c r="R115" s="63"/>
    </row>
    <row r="116" spans="1:18" x14ac:dyDescent="0.25">
      <c r="A116" s="3"/>
      <c r="B116" s="4"/>
      <c r="C116" s="9"/>
      <c r="D116" s="359"/>
      <c r="E116" s="478"/>
      <c r="F116" s="359"/>
      <c r="G116" s="478"/>
      <c r="H116" s="359"/>
      <c r="I116" s="478"/>
      <c r="J116" s="359"/>
      <c r="K116" s="478"/>
      <c r="L116" s="359"/>
      <c r="M116" s="478"/>
      <c r="N116" s="561"/>
      <c r="O116" s="47"/>
      <c r="P116" s="338"/>
      <c r="Q116" s="10"/>
      <c r="R116" s="63"/>
    </row>
    <row r="117" spans="1:18" x14ac:dyDescent="0.25">
      <c r="A117" s="3"/>
      <c r="B117" s="4"/>
      <c r="C117" s="9"/>
      <c r="D117" s="359"/>
      <c r="E117" s="478"/>
      <c r="F117" s="359"/>
      <c r="G117" s="478"/>
      <c r="H117" s="359"/>
      <c r="I117" s="478"/>
      <c r="J117" s="359"/>
      <c r="K117" s="478"/>
      <c r="L117" s="359"/>
      <c r="M117" s="478"/>
      <c r="N117" s="561"/>
      <c r="O117" s="47"/>
      <c r="P117" s="338"/>
      <c r="Q117" s="10"/>
      <c r="R117" s="63"/>
    </row>
    <row r="118" spans="1:18" x14ac:dyDescent="0.25">
      <c r="A118" s="3"/>
      <c r="B118" s="4"/>
      <c r="C118" s="9"/>
      <c r="D118" s="359"/>
      <c r="E118" s="478"/>
      <c r="F118" s="359"/>
      <c r="G118" s="478"/>
      <c r="H118" s="359"/>
      <c r="I118" s="478"/>
      <c r="J118" s="359"/>
      <c r="K118" s="478"/>
      <c r="L118" s="359"/>
      <c r="M118" s="478"/>
      <c r="N118" s="561"/>
      <c r="O118" s="47"/>
      <c r="P118" s="338"/>
      <c r="Q118" s="10"/>
      <c r="R118" s="63"/>
    </row>
    <row r="119" spans="1:18" x14ac:dyDescent="0.25">
      <c r="A119" s="3"/>
      <c r="B119" s="4"/>
      <c r="C119" s="9"/>
      <c r="D119" s="359"/>
      <c r="E119" s="478"/>
      <c r="F119" s="359"/>
      <c r="G119" s="478"/>
      <c r="H119" s="359"/>
      <c r="I119" s="478"/>
      <c r="J119" s="359"/>
      <c r="K119" s="478"/>
      <c r="L119" s="359"/>
      <c r="M119" s="478"/>
      <c r="N119" s="561"/>
      <c r="O119" s="47"/>
      <c r="P119" s="338"/>
      <c r="Q119" s="10"/>
      <c r="R119" s="63"/>
    </row>
    <row r="120" spans="1:18" x14ac:dyDescent="0.25">
      <c r="A120" s="3"/>
      <c r="B120" s="4"/>
      <c r="C120" s="9"/>
      <c r="D120" s="359"/>
      <c r="E120" s="478"/>
      <c r="F120" s="359"/>
      <c r="G120" s="478"/>
      <c r="H120" s="359"/>
      <c r="I120" s="478"/>
      <c r="J120" s="359"/>
      <c r="K120" s="478"/>
      <c r="L120" s="359"/>
      <c r="M120" s="478"/>
      <c r="N120" s="561"/>
      <c r="O120" s="47"/>
      <c r="P120" s="338"/>
      <c r="Q120" s="10"/>
      <c r="R120" s="63"/>
    </row>
    <row r="121" spans="1:18" x14ac:dyDescent="0.25">
      <c r="A121" s="3"/>
      <c r="B121" s="4"/>
      <c r="C121" s="9"/>
      <c r="D121" s="359"/>
      <c r="E121" s="478"/>
      <c r="F121" s="359"/>
      <c r="G121" s="478"/>
      <c r="H121" s="359"/>
      <c r="I121" s="478"/>
      <c r="J121" s="359"/>
      <c r="K121" s="478"/>
      <c r="L121" s="359"/>
      <c r="M121" s="478"/>
      <c r="N121" s="561"/>
      <c r="O121" s="47"/>
      <c r="P121" s="338"/>
      <c r="Q121" s="10"/>
      <c r="R121" s="63"/>
    </row>
    <row r="122" spans="1:18" x14ac:dyDescent="0.25">
      <c r="A122" s="3"/>
      <c r="B122" s="4"/>
      <c r="C122" s="9"/>
      <c r="D122" s="359"/>
      <c r="E122" s="478"/>
      <c r="F122" s="359"/>
      <c r="G122" s="478"/>
      <c r="H122" s="359"/>
      <c r="I122" s="478"/>
      <c r="J122" s="359"/>
      <c r="K122" s="478"/>
      <c r="L122" s="359"/>
      <c r="M122" s="478"/>
      <c r="N122" s="561"/>
      <c r="O122" s="47"/>
      <c r="P122" s="338"/>
      <c r="Q122" s="10"/>
      <c r="R122" s="63"/>
    </row>
    <row r="123" spans="1:18" x14ac:dyDescent="0.25">
      <c r="A123" s="3"/>
      <c r="B123" s="4"/>
      <c r="C123" s="8"/>
      <c r="D123" s="359"/>
      <c r="E123" s="478"/>
      <c r="F123" s="359"/>
      <c r="G123" s="478"/>
      <c r="H123" s="359"/>
      <c r="I123" s="478"/>
      <c r="J123" s="359"/>
      <c r="K123" s="478"/>
      <c r="L123" s="359"/>
      <c r="M123" s="478"/>
      <c r="N123" s="561"/>
      <c r="O123" s="47"/>
      <c r="P123" s="338"/>
      <c r="Q123" s="10"/>
      <c r="R123" s="63"/>
    </row>
    <row r="124" spans="1:18" x14ac:dyDescent="0.25">
      <c r="A124" s="3"/>
      <c r="B124" s="4"/>
      <c r="C124" s="9"/>
      <c r="D124" s="359"/>
      <c r="E124" s="478"/>
      <c r="F124" s="359"/>
      <c r="G124" s="478"/>
      <c r="H124" s="359"/>
      <c r="I124" s="478"/>
      <c r="J124" s="359"/>
      <c r="K124" s="478"/>
      <c r="L124" s="359"/>
      <c r="M124" s="478"/>
      <c r="N124" s="561"/>
      <c r="O124" s="47"/>
      <c r="P124" s="338"/>
      <c r="Q124" s="10"/>
      <c r="R124" s="63"/>
    </row>
    <row r="125" spans="1:18" x14ac:dyDescent="0.25">
      <c r="A125" s="3"/>
      <c r="B125" s="4"/>
      <c r="C125" s="8"/>
      <c r="D125" s="359"/>
      <c r="E125" s="478"/>
      <c r="F125" s="359"/>
      <c r="G125" s="478"/>
      <c r="H125" s="359"/>
      <c r="I125" s="478"/>
      <c r="J125" s="359"/>
      <c r="K125" s="478"/>
      <c r="L125" s="359"/>
      <c r="M125" s="478"/>
      <c r="N125" s="561"/>
      <c r="O125" s="47"/>
      <c r="P125" s="338"/>
      <c r="Q125" s="10"/>
      <c r="R125" s="63"/>
    </row>
    <row r="126" spans="1:18" x14ac:dyDescent="0.25">
      <c r="A126" s="3"/>
      <c r="B126" s="4"/>
      <c r="C126" s="9"/>
      <c r="D126" s="359"/>
      <c r="E126" s="478"/>
      <c r="F126" s="359"/>
      <c r="G126" s="478"/>
      <c r="H126" s="359"/>
      <c r="I126" s="478"/>
      <c r="J126" s="359"/>
      <c r="K126" s="478"/>
      <c r="L126" s="359"/>
      <c r="M126" s="478"/>
      <c r="N126" s="561"/>
      <c r="O126" s="47"/>
      <c r="P126" s="338"/>
      <c r="Q126" s="10"/>
      <c r="R126" s="63"/>
    </row>
    <row r="127" spans="1:18" x14ac:dyDescent="0.25">
      <c r="A127" s="3"/>
      <c r="B127" s="4"/>
      <c r="C127" s="9"/>
      <c r="D127" s="359"/>
      <c r="E127" s="478"/>
      <c r="F127" s="359"/>
      <c r="G127" s="478"/>
      <c r="H127" s="359"/>
      <c r="I127" s="478"/>
      <c r="J127" s="359"/>
      <c r="K127" s="478"/>
      <c r="L127" s="359"/>
      <c r="M127" s="478"/>
      <c r="N127" s="561"/>
      <c r="O127" s="47"/>
      <c r="P127" s="338"/>
      <c r="Q127" s="10"/>
      <c r="R127" s="63"/>
    </row>
    <row r="128" spans="1:18" x14ac:dyDescent="0.25">
      <c r="A128" s="3"/>
      <c r="B128" s="4"/>
      <c r="C128" s="9"/>
      <c r="D128" s="359"/>
      <c r="E128" s="478"/>
      <c r="F128" s="359"/>
      <c r="G128" s="478"/>
      <c r="H128" s="359"/>
      <c r="I128" s="478"/>
      <c r="J128" s="359"/>
      <c r="K128" s="478"/>
      <c r="L128" s="359"/>
      <c r="M128" s="478"/>
      <c r="N128" s="561"/>
      <c r="O128" s="47"/>
      <c r="P128" s="338"/>
      <c r="Q128" s="10"/>
      <c r="R128" s="63"/>
    </row>
    <row r="129" spans="1:18" x14ac:dyDescent="0.25">
      <c r="A129" s="3"/>
      <c r="B129" s="4"/>
      <c r="C129" s="9"/>
      <c r="D129" s="359"/>
      <c r="E129" s="478"/>
      <c r="F129" s="359"/>
      <c r="G129" s="478"/>
      <c r="H129" s="359"/>
      <c r="I129" s="478"/>
      <c r="J129" s="359"/>
      <c r="K129" s="478"/>
      <c r="L129" s="359"/>
      <c r="M129" s="478"/>
      <c r="N129" s="561"/>
      <c r="O129" s="47"/>
      <c r="P129" s="338"/>
      <c r="Q129" s="10"/>
      <c r="R129" s="63"/>
    </row>
    <row r="130" spans="1:18" x14ac:dyDescent="0.25">
      <c r="A130" s="3"/>
      <c r="B130" s="4"/>
      <c r="C130" s="9"/>
      <c r="D130" s="359"/>
      <c r="E130" s="478"/>
      <c r="F130" s="359"/>
      <c r="G130" s="478"/>
      <c r="H130" s="359"/>
      <c r="I130" s="478"/>
      <c r="J130" s="359"/>
      <c r="K130" s="478"/>
      <c r="L130" s="359"/>
      <c r="M130" s="478"/>
      <c r="N130" s="561"/>
      <c r="O130" s="47"/>
      <c r="P130" s="338"/>
      <c r="Q130" s="10"/>
      <c r="R130" s="63"/>
    </row>
    <row r="131" spans="1:18" x14ac:dyDescent="0.25">
      <c r="A131" s="3"/>
      <c r="B131" s="4"/>
      <c r="C131" s="9"/>
      <c r="D131" s="359"/>
      <c r="E131" s="478"/>
      <c r="F131" s="359"/>
      <c r="G131" s="478"/>
      <c r="H131" s="359"/>
      <c r="I131" s="478"/>
      <c r="J131" s="359"/>
      <c r="K131" s="478"/>
      <c r="L131" s="359"/>
      <c r="M131" s="478"/>
      <c r="N131" s="561"/>
      <c r="O131" s="47"/>
      <c r="P131" s="338"/>
      <c r="Q131" s="10"/>
      <c r="R131" s="63"/>
    </row>
    <row r="132" spans="1:18" x14ac:dyDescent="0.25">
      <c r="A132" s="3"/>
      <c r="B132" s="4"/>
      <c r="C132" s="9"/>
      <c r="D132" s="359"/>
      <c r="E132" s="478"/>
      <c r="F132" s="359"/>
      <c r="G132" s="478"/>
      <c r="H132" s="359"/>
      <c r="I132" s="478"/>
      <c r="J132" s="359"/>
      <c r="K132" s="478"/>
      <c r="L132" s="359"/>
      <c r="M132" s="478"/>
      <c r="N132" s="561"/>
      <c r="O132" s="47"/>
      <c r="P132" s="338"/>
      <c r="Q132" s="10"/>
      <c r="R132" s="63"/>
    </row>
    <row r="133" spans="1:18" x14ac:dyDescent="0.25">
      <c r="A133" s="3"/>
      <c r="B133" s="4"/>
      <c r="C133" s="8"/>
      <c r="D133" s="359"/>
      <c r="E133" s="478"/>
      <c r="F133" s="359"/>
      <c r="G133" s="478"/>
      <c r="H133" s="359"/>
      <c r="I133" s="478"/>
      <c r="J133" s="359"/>
      <c r="K133" s="478"/>
      <c r="L133" s="359"/>
      <c r="M133" s="478"/>
      <c r="N133" s="561"/>
      <c r="O133" s="47"/>
      <c r="P133" s="338"/>
      <c r="Q133" s="10"/>
      <c r="R133" s="63"/>
    </row>
    <row r="134" spans="1:18" x14ac:dyDescent="0.25">
      <c r="A134" s="3"/>
      <c r="B134" s="4"/>
      <c r="C134" s="9"/>
      <c r="D134" s="359"/>
      <c r="E134" s="478"/>
      <c r="F134" s="359"/>
      <c r="G134" s="478"/>
      <c r="H134" s="359"/>
      <c r="I134" s="478"/>
      <c r="J134" s="359"/>
      <c r="K134" s="478"/>
      <c r="L134" s="359"/>
      <c r="M134" s="478"/>
      <c r="N134" s="561"/>
      <c r="O134" s="47"/>
      <c r="P134" s="338"/>
      <c r="Q134" s="10"/>
      <c r="R134" s="63"/>
    </row>
    <row r="135" spans="1:18" x14ac:dyDescent="0.25">
      <c r="A135" s="3"/>
      <c r="B135" s="4"/>
      <c r="C135" s="9"/>
      <c r="D135" s="359"/>
      <c r="E135" s="478"/>
      <c r="F135" s="359"/>
      <c r="G135" s="478"/>
      <c r="H135" s="359"/>
      <c r="I135" s="478"/>
      <c r="J135" s="359"/>
      <c r="K135" s="478"/>
      <c r="L135" s="359"/>
      <c r="M135" s="478"/>
      <c r="N135" s="561"/>
      <c r="O135" s="47"/>
      <c r="P135" s="338"/>
      <c r="Q135" s="10"/>
      <c r="R135" s="63"/>
    </row>
    <row r="136" spans="1:18" x14ac:dyDescent="0.25">
      <c r="A136" s="3"/>
      <c r="B136" s="4"/>
      <c r="C136" s="9"/>
      <c r="D136" s="359"/>
      <c r="E136" s="478"/>
      <c r="F136" s="359"/>
      <c r="G136" s="478"/>
      <c r="H136" s="359"/>
      <c r="I136" s="478"/>
      <c r="J136" s="359"/>
      <c r="K136" s="478"/>
      <c r="L136" s="359"/>
      <c r="M136" s="478"/>
      <c r="N136" s="561"/>
      <c r="O136" s="47"/>
      <c r="P136" s="338"/>
      <c r="Q136" s="10"/>
      <c r="R136" s="63"/>
    </row>
    <row r="137" spans="1:18" x14ac:dyDescent="0.25">
      <c r="A137" s="3"/>
      <c r="B137" s="4"/>
      <c r="C137" s="9"/>
      <c r="D137" s="359"/>
      <c r="E137" s="478"/>
      <c r="F137" s="359"/>
      <c r="G137" s="478"/>
      <c r="H137" s="359"/>
      <c r="I137" s="478"/>
      <c r="J137" s="359"/>
      <c r="K137" s="478"/>
      <c r="L137" s="359"/>
      <c r="M137" s="478"/>
      <c r="N137" s="561"/>
      <c r="O137" s="47"/>
      <c r="P137" s="338"/>
      <c r="Q137" s="10"/>
      <c r="R137" s="63"/>
    </row>
    <row r="138" spans="1:18" x14ac:dyDescent="0.25">
      <c r="A138" s="3"/>
      <c r="B138" s="4"/>
      <c r="C138" s="9"/>
      <c r="D138" s="359"/>
      <c r="E138" s="478"/>
      <c r="F138" s="359"/>
      <c r="G138" s="478"/>
      <c r="H138" s="359"/>
      <c r="I138" s="478"/>
      <c r="J138" s="359"/>
      <c r="K138" s="478"/>
      <c r="L138" s="359"/>
      <c r="M138" s="478"/>
      <c r="N138" s="561"/>
      <c r="O138" s="47"/>
      <c r="P138" s="338"/>
      <c r="Q138" s="10"/>
      <c r="R138" s="63"/>
    </row>
    <row r="139" spans="1:18" x14ac:dyDescent="0.25">
      <c r="A139" s="3"/>
      <c r="B139" s="4"/>
      <c r="C139" s="9"/>
      <c r="D139" s="359"/>
      <c r="E139" s="478"/>
      <c r="F139" s="359"/>
      <c r="G139" s="478"/>
      <c r="H139" s="359"/>
      <c r="I139" s="478"/>
      <c r="J139" s="359"/>
      <c r="K139" s="478"/>
      <c r="L139" s="359"/>
      <c r="M139" s="478"/>
      <c r="N139" s="561"/>
      <c r="O139" s="47"/>
      <c r="P139" s="338"/>
      <c r="Q139" s="10"/>
      <c r="R139" s="63"/>
    </row>
    <row r="140" spans="1:18" x14ac:dyDescent="0.25">
      <c r="A140" s="3"/>
      <c r="B140" s="4"/>
      <c r="C140" s="9"/>
      <c r="D140" s="359"/>
      <c r="E140" s="478"/>
      <c r="F140" s="359"/>
      <c r="G140" s="478"/>
      <c r="H140" s="359"/>
      <c r="I140" s="478"/>
      <c r="J140" s="359"/>
      <c r="K140" s="478"/>
      <c r="L140" s="359"/>
      <c r="M140" s="478"/>
      <c r="N140" s="561"/>
      <c r="O140" s="47"/>
      <c r="P140" s="338"/>
      <c r="Q140" s="10"/>
      <c r="R140" s="63"/>
    </row>
    <row r="141" spans="1:18" x14ac:dyDescent="0.25">
      <c r="A141" s="3"/>
      <c r="B141" s="4"/>
      <c r="C141" s="9"/>
      <c r="D141" s="359"/>
      <c r="E141" s="478"/>
      <c r="F141" s="359"/>
      <c r="G141" s="478"/>
      <c r="H141" s="359"/>
      <c r="I141" s="478"/>
      <c r="J141" s="359"/>
      <c r="K141" s="478"/>
      <c r="L141" s="359"/>
      <c r="M141" s="478"/>
      <c r="N141" s="561"/>
      <c r="O141" s="47"/>
      <c r="P141" s="338"/>
      <c r="Q141" s="10"/>
      <c r="R141" s="63"/>
    </row>
    <row r="142" spans="1:18" x14ac:dyDescent="0.25">
      <c r="A142" s="3"/>
      <c r="B142" s="3"/>
      <c r="C142" s="9"/>
      <c r="D142" s="359"/>
      <c r="E142" s="478"/>
      <c r="F142" s="359"/>
      <c r="G142" s="478"/>
      <c r="H142" s="359"/>
      <c r="I142" s="478"/>
      <c r="J142" s="359"/>
      <c r="K142" s="478"/>
      <c r="L142" s="359"/>
      <c r="M142" s="478"/>
      <c r="N142" s="561"/>
      <c r="O142" s="47"/>
      <c r="P142" s="338"/>
      <c r="Q142" s="10"/>
      <c r="R142" s="63"/>
    </row>
    <row r="143" spans="1:18" x14ac:dyDescent="0.25">
      <c r="A143" s="3"/>
      <c r="B143" s="4"/>
      <c r="C143" s="9"/>
      <c r="D143" s="359"/>
      <c r="E143" s="478"/>
      <c r="F143" s="359"/>
      <c r="G143" s="478"/>
      <c r="H143" s="359"/>
      <c r="I143" s="478"/>
      <c r="J143" s="359"/>
      <c r="K143" s="478"/>
      <c r="L143" s="359"/>
      <c r="M143" s="478"/>
      <c r="N143" s="561"/>
      <c r="O143" s="47"/>
      <c r="P143" s="338"/>
      <c r="Q143" s="10"/>
      <c r="R143" s="63"/>
    </row>
    <row r="144" spans="1:18" x14ac:dyDescent="0.25">
      <c r="A144" s="3"/>
      <c r="B144" s="4"/>
      <c r="C144" s="9"/>
      <c r="D144" s="359"/>
      <c r="E144" s="478"/>
      <c r="F144" s="359"/>
      <c r="G144" s="478"/>
      <c r="H144" s="359"/>
      <c r="I144" s="478"/>
      <c r="J144" s="359"/>
      <c r="K144" s="478"/>
      <c r="L144" s="359"/>
      <c r="M144" s="478"/>
      <c r="N144" s="561"/>
      <c r="O144" s="47"/>
      <c r="P144" s="338"/>
      <c r="Q144" s="10"/>
      <c r="R144" s="64"/>
    </row>
    <row r="145" spans="1:18" x14ac:dyDescent="0.25">
      <c r="A145" s="3"/>
      <c r="B145" s="4"/>
      <c r="C145" s="9"/>
      <c r="D145" s="359"/>
      <c r="E145" s="478"/>
      <c r="F145" s="359"/>
      <c r="G145" s="478"/>
      <c r="H145" s="359"/>
      <c r="I145" s="478"/>
      <c r="J145" s="359"/>
      <c r="K145" s="478"/>
      <c r="L145" s="359"/>
      <c r="M145" s="478"/>
      <c r="N145" s="561"/>
      <c r="O145" s="47"/>
      <c r="P145" s="338"/>
      <c r="Q145" s="10"/>
      <c r="R145" s="63"/>
    </row>
    <row r="146" spans="1:18" x14ac:dyDescent="0.25">
      <c r="A146" s="3"/>
      <c r="B146" s="3"/>
      <c r="C146" s="9"/>
      <c r="D146" s="359"/>
      <c r="E146" s="478"/>
      <c r="F146" s="359"/>
      <c r="G146" s="478"/>
      <c r="H146" s="359"/>
      <c r="I146" s="478"/>
      <c r="J146" s="359"/>
      <c r="K146" s="478"/>
      <c r="L146" s="359"/>
      <c r="M146" s="478"/>
      <c r="N146" s="561"/>
      <c r="O146" s="47"/>
      <c r="P146" s="338"/>
      <c r="Q146" s="10"/>
      <c r="R146" s="63"/>
    </row>
    <row r="147" spans="1:18" x14ac:dyDescent="0.25">
      <c r="A147" s="3"/>
      <c r="B147" s="4"/>
      <c r="C147" s="9"/>
      <c r="D147" s="359"/>
      <c r="E147" s="478"/>
      <c r="F147" s="359"/>
      <c r="G147" s="478"/>
      <c r="H147" s="359"/>
      <c r="I147" s="478"/>
      <c r="J147" s="359"/>
      <c r="K147" s="478"/>
      <c r="L147" s="359"/>
      <c r="M147" s="478"/>
      <c r="N147" s="561"/>
      <c r="O147" s="47"/>
      <c r="P147" s="338"/>
      <c r="Q147" s="10"/>
      <c r="R147" s="63"/>
    </row>
    <row r="148" spans="1:18" x14ac:dyDescent="0.25">
      <c r="A148" s="3"/>
      <c r="B148" s="4"/>
      <c r="C148" s="9"/>
      <c r="D148" s="359"/>
      <c r="E148" s="478"/>
      <c r="F148" s="359"/>
      <c r="G148" s="478"/>
      <c r="H148" s="359"/>
      <c r="I148" s="478"/>
      <c r="J148" s="359"/>
      <c r="K148" s="478"/>
      <c r="L148" s="359"/>
      <c r="M148" s="478"/>
      <c r="N148" s="561"/>
      <c r="O148" s="47"/>
      <c r="P148" s="338"/>
      <c r="Q148" s="10"/>
      <c r="R148" s="63"/>
    </row>
    <row r="149" spans="1:18" x14ac:dyDescent="0.25">
      <c r="A149" s="3"/>
      <c r="B149" s="4"/>
      <c r="C149" s="9"/>
      <c r="D149" s="359"/>
      <c r="E149" s="478"/>
      <c r="F149" s="359"/>
      <c r="G149" s="478"/>
      <c r="H149" s="359"/>
      <c r="I149" s="478"/>
      <c r="J149" s="359"/>
      <c r="K149" s="478"/>
      <c r="L149" s="359"/>
      <c r="M149" s="478"/>
      <c r="N149" s="561"/>
      <c r="O149" s="47">
        <f t="shared" ref="O149:O165" si="11">SUM(C149:N149)</f>
        <v>0</v>
      </c>
      <c r="P149" s="338"/>
      <c r="Q149" s="10"/>
      <c r="R149" s="63"/>
    </row>
    <row r="150" spans="1:18" x14ac:dyDescent="0.25">
      <c r="A150" s="3"/>
      <c r="B150" s="4"/>
      <c r="C150" s="9"/>
      <c r="D150" s="359"/>
      <c r="E150" s="478"/>
      <c r="F150" s="359"/>
      <c r="G150" s="478"/>
      <c r="H150" s="359"/>
      <c r="I150" s="478"/>
      <c r="J150" s="359"/>
      <c r="K150" s="478"/>
      <c r="L150" s="359"/>
      <c r="M150" s="478"/>
      <c r="N150" s="561"/>
      <c r="O150" s="47">
        <f t="shared" si="11"/>
        <v>0</v>
      </c>
      <c r="P150" s="338"/>
      <c r="Q150" s="10"/>
      <c r="R150" s="63"/>
    </row>
    <row r="151" spans="1:18" x14ac:dyDescent="0.25">
      <c r="A151" s="3"/>
      <c r="B151" s="4"/>
      <c r="C151" s="9"/>
      <c r="D151" s="359"/>
      <c r="E151" s="478"/>
      <c r="F151" s="359"/>
      <c r="G151" s="478"/>
      <c r="H151" s="359"/>
      <c r="I151" s="478"/>
      <c r="J151" s="359"/>
      <c r="K151" s="478"/>
      <c r="L151" s="359"/>
      <c r="M151" s="478"/>
      <c r="N151" s="561"/>
      <c r="O151" s="47">
        <f t="shared" si="11"/>
        <v>0</v>
      </c>
      <c r="P151" s="338"/>
      <c r="Q151" s="10"/>
      <c r="R151" s="63"/>
    </row>
    <row r="152" spans="1:18" x14ac:dyDescent="0.25">
      <c r="A152" s="3"/>
      <c r="B152" s="4"/>
      <c r="C152" s="9"/>
      <c r="D152" s="359"/>
      <c r="E152" s="478"/>
      <c r="F152" s="359"/>
      <c r="G152" s="478"/>
      <c r="H152" s="359"/>
      <c r="I152" s="478"/>
      <c r="J152" s="359"/>
      <c r="K152" s="478"/>
      <c r="L152" s="359"/>
      <c r="M152" s="478"/>
      <c r="N152" s="561"/>
      <c r="O152" s="47">
        <f t="shared" si="11"/>
        <v>0</v>
      </c>
      <c r="P152" s="338"/>
      <c r="Q152" s="10"/>
      <c r="R152" s="63"/>
    </row>
    <row r="153" spans="1:18" x14ac:dyDescent="0.25">
      <c r="A153" s="3"/>
      <c r="B153" s="4"/>
      <c r="C153" s="9"/>
      <c r="D153" s="359"/>
      <c r="E153" s="478"/>
      <c r="F153" s="359"/>
      <c r="G153" s="478"/>
      <c r="H153" s="359"/>
      <c r="I153" s="478"/>
      <c r="J153" s="359"/>
      <c r="K153" s="478"/>
      <c r="L153" s="359"/>
      <c r="M153" s="478"/>
      <c r="N153" s="561"/>
      <c r="O153" s="47">
        <f t="shared" si="11"/>
        <v>0</v>
      </c>
      <c r="P153" s="338"/>
      <c r="Q153" s="10"/>
      <c r="R153" s="63"/>
    </row>
    <row r="154" spans="1:18" x14ac:dyDescent="0.25">
      <c r="A154" s="3"/>
      <c r="B154" s="4"/>
      <c r="C154" s="9"/>
      <c r="D154" s="359"/>
      <c r="E154" s="478"/>
      <c r="F154" s="359"/>
      <c r="G154" s="478"/>
      <c r="H154" s="359"/>
      <c r="I154" s="478"/>
      <c r="J154" s="359"/>
      <c r="K154" s="478"/>
      <c r="L154" s="359"/>
      <c r="M154" s="478"/>
      <c r="N154" s="561"/>
      <c r="O154" s="47">
        <f t="shared" si="11"/>
        <v>0</v>
      </c>
      <c r="P154" s="338"/>
      <c r="Q154" s="10"/>
      <c r="R154" s="64"/>
    </row>
    <row r="155" spans="1:18" x14ac:dyDescent="0.25">
      <c r="A155" s="3"/>
      <c r="B155" s="4"/>
      <c r="C155" s="9"/>
      <c r="D155" s="359"/>
      <c r="E155" s="478"/>
      <c r="F155" s="359"/>
      <c r="G155" s="478"/>
      <c r="H155" s="359"/>
      <c r="I155" s="478"/>
      <c r="J155" s="359"/>
      <c r="K155" s="478"/>
      <c r="L155" s="359"/>
      <c r="M155" s="478"/>
      <c r="N155" s="561"/>
      <c r="O155" s="47">
        <f t="shared" si="11"/>
        <v>0</v>
      </c>
      <c r="P155" s="338"/>
      <c r="Q155" s="10"/>
      <c r="R155" s="63"/>
    </row>
    <row r="156" spans="1:18" x14ac:dyDescent="0.25">
      <c r="A156" s="3"/>
      <c r="B156" s="4"/>
      <c r="C156" s="9"/>
      <c r="D156" s="359"/>
      <c r="E156" s="478"/>
      <c r="F156" s="359"/>
      <c r="G156" s="478"/>
      <c r="H156" s="359"/>
      <c r="I156" s="478"/>
      <c r="J156" s="359"/>
      <c r="K156" s="478"/>
      <c r="L156" s="359"/>
      <c r="M156" s="478"/>
      <c r="N156" s="561"/>
      <c r="O156" s="47">
        <f t="shared" si="11"/>
        <v>0</v>
      </c>
      <c r="P156" s="338"/>
      <c r="Q156" s="10"/>
      <c r="R156" s="63"/>
    </row>
    <row r="157" spans="1:18" x14ac:dyDescent="0.25">
      <c r="A157" s="3"/>
      <c r="B157" s="4"/>
      <c r="C157" s="9"/>
      <c r="D157" s="359"/>
      <c r="E157" s="478"/>
      <c r="F157" s="359"/>
      <c r="G157" s="478"/>
      <c r="H157" s="359"/>
      <c r="I157" s="478"/>
      <c r="J157" s="359"/>
      <c r="K157" s="478"/>
      <c r="L157" s="359"/>
      <c r="M157" s="478"/>
      <c r="N157" s="561"/>
      <c r="O157" s="47">
        <f t="shared" si="11"/>
        <v>0</v>
      </c>
      <c r="P157" s="338"/>
      <c r="Q157" s="10"/>
      <c r="R157" s="63"/>
    </row>
    <row r="158" spans="1:18" x14ac:dyDescent="0.25">
      <c r="A158" s="3"/>
      <c r="B158" s="4"/>
      <c r="C158" s="9"/>
      <c r="D158" s="359"/>
      <c r="E158" s="478"/>
      <c r="F158" s="359"/>
      <c r="G158" s="478"/>
      <c r="H158" s="359"/>
      <c r="I158" s="478"/>
      <c r="J158" s="359"/>
      <c r="K158" s="478"/>
      <c r="L158" s="359"/>
      <c r="M158" s="478"/>
      <c r="N158" s="561"/>
      <c r="O158" s="47">
        <f t="shared" si="11"/>
        <v>0</v>
      </c>
      <c r="P158" s="338"/>
      <c r="Q158" s="10"/>
      <c r="R158" s="63"/>
    </row>
    <row r="159" spans="1:18" x14ac:dyDescent="0.25">
      <c r="A159" s="3"/>
      <c r="B159" s="4"/>
      <c r="C159" s="9"/>
      <c r="D159" s="359"/>
      <c r="E159" s="478"/>
      <c r="F159" s="359"/>
      <c r="G159" s="478"/>
      <c r="H159" s="359"/>
      <c r="I159" s="478"/>
      <c r="J159" s="359"/>
      <c r="K159" s="478"/>
      <c r="L159" s="359"/>
      <c r="M159" s="478"/>
      <c r="N159" s="561"/>
      <c r="O159" s="47">
        <f t="shared" si="11"/>
        <v>0</v>
      </c>
      <c r="P159" s="338"/>
      <c r="Q159" s="10"/>
      <c r="R159" s="63"/>
    </row>
    <row r="160" spans="1:18" x14ac:dyDescent="0.25">
      <c r="A160" s="3">
        <f t="shared" ref="A160:A169" si="12">A159+1</f>
        <v>1</v>
      </c>
      <c r="B160" s="4"/>
      <c r="C160" s="9"/>
      <c r="D160" s="359"/>
      <c r="E160" s="478"/>
      <c r="F160" s="359"/>
      <c r="G160" s="478"/>
      <c r="H160" s="359"/>
      <c r="I160" s="478"/>
      <c r="J160" s="359"/>
      <c r="K160" s="478"/>
      <c r="L160" s="359"/>
      <c r="M160" s="478"/>
      <c r="N160" s="561"/>
      <c r="O160" s="47">
        <f t="shared" si="11"/>
        <v>0</v>
      </c>
      <c r="P160" s="338"/>
      <c r="Q160" s="10"/>
      <c r="R160" s="63"/>
    </row>
    <row r="161" spans="1:18" x14ac:dyDescent="0.25">
      <c r="A161" s="3">
        <f t="shared" si="12"/>
        <v>2</v>
      </c>
      <c r="B161" s="4"/>
      <c r="C161" s="9"/>
      <c r="D161" s="359"/>
      <c r="E161" s="478"/>
      <c r="F161" s="359"/>
      <c r="G161" s="478"/>
      <c r="H161" s="359"/>
      <c r="I161" s="478"/>
      <c r="J161" s="359"/>
      <c r="K161" s="478"/>
      <c r="L161" s="359"/>
      <c r="M161" s="478"/>
      <c r="N161" s="561"/>
      <c r="O161" s="47">
        <f t="shared" si="11"/>
        <v>0</v>
      </c>
      <c r="P161" s="338"/>
      <c r="Q161" s="10"/>
      <c r="R161" s="63"/>
    </row>
    <row r="162" spans="1:18" x14ac:dyDescent="0.25">
      <c r="A162" s="3">
        <f t="shared" si="12"/>
        <v>3</v>
      </c>
      <c r="B162" s="4"/>
      <c r="C162" s="9"/>
      <c r="D162" s="359"/>
      <c r="E162" s="478"/>
      <c r="F162" s="359"/>
      <c r="G162" s="478"/>
      <c r="H162" s="359"/>
      <c r="I162" s="478"/>
      <c r="J162" s="359"/>
      <c r="K162" s="478"/>
      <c r="L162" s="359"/>
      <c r="M162" s="478"/>
      <c r="N162" s="561"/>
      <c r="O162" s="47">
        <f t="shared" si="11"/>
        <v>0</v>
      </c>
      <c r="P162" s="338"/>
      <c r="Q162" s="10"/>
      <c r="R162" s="63"/>
    </row>
    <row r="163" spans="1:18" x14ac:dyDescent="0.25">
      <c r="A163" s="3">
        <f t="shared" si="12"/>
        <v>4</v>
      </c>
      <c r="B163" s="4"/>
      <c r="C163" s="9"/>
      <c r="D163" s="359"/>
      <c r="E163" s="478"/>
      <c r="F163" s="359"/>
      <c r="G163" s="478"/>
      <c r="H163" s="359"/>
      <c r="I163" s="478"/>
      <c r="J163" s="359"/>
      <c r="K163" s="478"/>
      <c r="L163" s="359"/>
      <c r="M163" s="478"/>
      <c r="N163" s="561"/>
      <c r="O163" s="47">
        <f t="shared" si="11"/>
        <v>0</v>
      </c>
      <c r="P163" s="338"/>
      <c r="Q163" s="10"/>
      <c r="R163" s="63"/>
    </row>
    <row r="164" spans="1:18" x14ac:dyDescent="0.25">
      <c r="A164" s="3">
        <f t="shared" si="12"/>
        <v>5</v>
      </c>
      <c r="B164" s="4"/>
      <c r="C164" s="9"/>
      <c r="D164" s="359"/>
      <c r="E164" s="478"/>
      <c r="F164" s="359"/>
      <c r="G164" s="478"/>
      <c r="H164" s="359"/>
      <c r="I164" s="478"/>
      <c r="J164" s="359"/>
      <c r="K164" s="478"/>
      <c r="L164" s="359"/>
      <c r="M164" s="478"/>
      <c r="N164" s="561"/>
      <c r="O164" s="47">
        <f t="shared" si="11"/>
        <v>0</v>
      </c>
      <c r="P164" s="338"/>
      <c r="Q164" s="10"/>
      <c r="R164" s="63"/>
    </row>
    <row r="165" spans="1:18" x14ac:dyDescent="0.25">
      <c r="A165" s="3">
        <f t="shared" si="12"/>
        <v>6</v>
      </c>
      <c r="B165" s="4"/>
      <c r="C165" s="9"/>
      <c r="D165" s="359"/>
      <c r="E165" s="478"/>
      <c r="F165" s="359"/>
      <c r="G165" s="478"/>
      <c r="H165" s="359"/>
      <c r="I165" s="478"/>
      <c r="J165" s="359"/>
      <c r="K165" s="478"/>
      <c r="L165" s="359"/>
      <c r="M165" s="478"/>
      <c r="N165" s="561"/>
      <c r="O165" s="47">
        <f t="shared" si="11"/>
        <v>0</v>
      </c>
      <c r="P165" s="338"/>
      <c r="Q165" s="10"/>
      <c r="R165" s="63"/>
    </row>
    <row r="166" spans="1:18" x14ac:dyDescent="0.25">
      <c r="A166" s="3">
        <f t="shared" si="12"/>
        <v>7</v>
      </c>
      <c r="B166" s="4"/>
      <c r="C166" s="9"/>
      <c r="D166" s="359"/>
      <c r="E166" s="478"/>
      <c r="F166" s="359"/>
      <c r="G166" s="478"/>
      <c r="H166" s="359"/>
      <c r="I166" s="478"/>
      <c r="J166" s="359"/>
      <c r="K166" s="478"/>
      <c r="L166" s="359"/>
      <c r="M166" s="478"/>
      <c r="N166" s="561"/>
      <c r="O166" s="47">
        <f t="shared" ref="O166:O197" si="13">SUM(C166:N166)</f>
        <v>0</v>
      </c>
      <c r="P166" s="338"/>
      <c r="Q166" s="10"/>
      <c r="R166" s="63"/>
    </row>
    <row r="167" spans="1:18" x14ac:dyDescent="0.25">
      <c r="A167" s="3">
        <f t="shared" si="12"/>
        <v>8</v>
      </c>
      <c r="B167" s="4"/>
      <c r="C167" s="9"/>
      <c r="D167" s="359"/>
      <c r="E167" s="478"/>
      <c r="F167" s="359"/>
      <c r="G167" s="478"/>
      <c r="H167" s="359"/>
      <c r="I167" s="478"/>
      <c r="J167" s="359"/>
      <c r="K167" s="478"/>
      <c r="L167" s="359"/>
      <c r="M167" s="478"/>
      <c r="N167" s="561"/>
      <c r="O167" s="47">
        <f t="shared" si="13"/>
        <v>0</v>
      </c>
      <c r="P167" s="338"/>
      <c r="Q167" s="10"/>
      <c r="R167" s="63"/>
    </row>
    <row r="168" spans="1:18" x14ac:dyDescent="0.25">
      <c r="A168" s="3">
        <f t="shared" si="12"/>
        <v>9</v>
      </c>
      <c r="B168" s="4"/>
      <c r="C168" s="8"/>
      <c r="D168" s="359"/>
      <c r="E168" s="478"/>
      <c r="F168" s="359"/>
      <c r="G168" s="478"/>
      <c r="H168" s="359"/>
      <c r="I168" s="478"/>
      <c r="J168" s="359"/>
      <c r="K168" s="478"/>
      <c r="L168" s="359"/>
      <c r="M168" s="478"/>
      <c r="N168" s="561"/>
      <c r="O168" s="47">
        <f t="shared" si="13"/>
        <v>0</v>
      </c>
      <c r="P168" s="338"/>
      <c r="Q168" s="10"/>
      <c r="R168" s="63"/>
    </row>
    <row r="169" spans="1:18" x14ac:dyDescent="0.25">
      <c r="A169" s="3">
        <f t="shared" si="12"/>
        <v>10</v>
      </c>
      <c r="B169" s="4"/>
      <c r="C169" s="9"/>
      <c r="D169" s="359"/>
      <c r="E169" s="478"/>
      <c r="F169" s="359"/>
      <c r="G169" s="478"/>
      <c r="H169" s="359"/>
      <c r="I169" s="478"/>
      <c r="J169" s="359"/>
      <c r="K169" s="478"/>
      <c r="L169" s="359"/>
      <c r="M169" s="478"/>
      <c r="N169" s="561"/>
      <c r="O169" s="47">
        <f t="shared" si="13"/>
        <v>0</v>
      </c>
      <c r="P169" s="338"/>
      <c r="Q169" s="10"/>
      <c r="R169" s="63"/>
    </row>
    <row r="170" spans="1:18" x14ac:dyDescent="0.25">
      <c r="A170" s="3">
        <f t="shared" ref="A170:A233" si="14">A169+1</f>
        <v>11</v>
      </c>
      <c r="B170" s="4"/>
      <c r="C170" s="8"/>
      <c r="D170" s="359"/>
      <c r="E170" s="478"/>
      <c r="F170" s="359"/>
      <c r="G170" s="478"/>
      <c r="H170" s="359"/>
      <c r="I170" s="478"/>
      <c r="J170" s="359"/>
      <c r="K170" s="478"/>
      <c r="L170" s="359"/>
      <c r="M170" s="478"/>
      <c r="N170" s="561"/>
      <c r="O170" s="47">
        <f t="shared" si="13"/>
        <v>0</v>
      </c>
      <c r="P170" s="338"/>
      <c r="Q170" s="10"/>
      <c r="R170" s="63"/>
    </row>
    <row r="171" spans="1:18" x14ac:dyDescent="0.25">
      <c r="A171" s="3">
        <f t="shared" si="14"/>
        <v>12</v>
      </c>
      <c r="B171" s="4"/>
      <c r="C171" s="9"/>
      <c r="D171" s="359"/>
      <c r="E171" s="478"/>
      <c r="F171" s="359"/>
      <c r="G171" s="478"/>
      <c r="H171" s="359"/>
      <c r="I171" s="478"/>
      <c r="J171" s="359"/>
      <c r="K171" s="478"/>
      <c r="L171" s="359"/>
      <c r="M171" s="478"/>
      <c r="N171" s="561"/>
      <c r="O171" s="47">
        <f t="shared" si="13"/>
        <v>0</v>
      </c>
      <c r="P171" s="338"/>
      <c r="Q171" s="10"/>
      <c r="R171" s="63"/>
    </row>
    <row r="172" spans="1:18" x14ac:dyDescent="0.25">
      <c r="A172" s="3">
        <f t="shared" si="14"/>
        <v>13</v>
      </c>
      <c r="B172" s="4"/>
      <c r="C172" s="9"/>
      <c r="D172" s="359"/>
      <c r="E172" s="478"/>
      <c r="F172" s="359"/>
      <c r="G172" s="478"/>
      <c r="H172" s="359"/>
      <c r="I172" s="478"/>
      <c r="J172" s="359"/>
      <c r="K172" s="478"/>
      <c r="L172" s="359"/>
      <c r="M172" s="478"/>
      <c r="N172" s="561"/>
      <c r="O172" s="47">
        <f t="shared" si="13"/>
        <v>0</v>
      </c>
      <c r="P172" s="338"/>
      <c r="Q172" s="10"/>
      <c r="R172" s="63"/>
    </row>
    <row r="173" spans="1:18" x14ac:dyDescent="0.25">
      <c r="A173" s="3">
        <f t="shared" si="14"/>
        <v>14</v>
      </c>
      <c r="B173" s="4"/>
      <c r="C173" s="9"/>
      <c r="D173" s="359"/>
      <c r="E173" s="478"/>
      <c r="F173" s="359"/>
      <c r="G173" s="478"/>
      <c r="H173" s="359"/>
      <c r="I173" s="478"/>
      <c r="J173" s="359"/>
      <c r="K173" s="478"/>
      <c r="L173" s="359"/>
      <c r="M173" s="478"/>
      <c r="N173" s="561"/>
      <c r="O173" s="47">
        <f t="shared" si="13"/>
        <v>0</v>
      </c>
      <c r="P173" s="338"/>
      <c r="Q173" s="10"/>
      <c r="R173" s="63"/>
    </row>
    <row r="174" spans="1:18" x14ac:dyDescent="0.25">
      <c r="A174" s="3">
        <f t="shared" si="14"/>
        <v>15</v>
      </c>
      <c r="B174" s="4"/>
      <c r="C174" s="9"/>
      <c r="D174" s="359"/>
      <c r="E174" s="478"/>
      <c r="F174" s="359"/>
      <c r="G174" s="478"/>
      <c r="H174" s="359"/>
      <c r="I174" s="478"/>
      <c r="J174" s="359"/>
      <c r="K174" s="478"/>
      <c r="L174" s="359"/>
      <c r="M174" s="478"/>
      <c r="N174" s="561"/>
      <c r="O174" s="47">
        <f t="shared" si="13"/>
        <v>0</v>
      </c>
      <c r="P174" s="338"/>
      <c r="Q174" s="10"/>
      <c r="R174" s="63"/>
    </row>
    <row r="175" spans="1:18" x14ac:dyDescent="0.25">
      <c r="A175" s="3">
        <f t="shared" si="14"/>
        <v>16</v>
      </c>
      <c r="B175" s="4"/>
      <c r="C175" s="9"/>
      <c r="D175" s="359"/>
      <c r="E175" s="478"/>
      <c r="F175" s="359"/>
      <c r="G175" s="478"/>
      <c r="H175" s="359"/>
      <c r="I175" s="478"/>
      <c r="J175" s="359"/>
      <c r="K175" s="478"/>
      <c r="L175" s="359"/>
      <c r="M175" s="478"/>
      <c r="N175" s="561"/>
      <c r="O175" s="47">
        <f t="shared" si="13"/>
        <v>0</v>
      </c>
      <c r="P175" s="338"/>
      <c r="Q175" s="10"/>
      <c r="R175" s="63"/>
    </row>
    <row r="176" spans="1:18" x14ac:dyDescent="0.25">
      <c r="A176" s="3">
        <f t="shared" si="14"/>
        <v>17</v>
      </c>
      <c r="B176" s="4"/>
      <c r="C176" s="8"/>
      <c r="D176" s="359"/>
      <c r="E176" s="478"/>
      <c r="F176" s="359"/>
      <c r="G176" s="478"/>
      <c r="H176" s="359"/>
      <c r="I176" s="478"/>
      <c r="J176" s="359"/>
      <c r="K176" s="478"/>
      <c r="L176" s="359"/>
      <c r="M176" s="478"/>
      <c r="N176" s="561"/>
      <c r="O176" s="47">
        <f t="shared" si="13"/>
        <v>0</v>
      </c>
      <c r="P176" s="338"/>
      <c r="Q176" s="10"/>
      <c r="R176" s="63"/>
    </row>
    <row r="177" spans="1:18" x14ac:dyDescent="0.25">
      <c r="A177" s="3">
        <f t="shared" si="14"/>
        <v>18</v>
      </c>
      <c r="B177" s="4"/>
      <c r="C177" s="9"/>
      <c r="D177" s="359"/>
      <c r="E177" s="478"/>
      <c r="F177" s="359"/>
      <c r="G177" s="478"/>
      <c r="H177" s="359"/>
      <c r="I177" s="478"/>
      <c r="J177" s="359"/>
      <c r="K177" s="478"/>
      <c r="L177" s="359"/>
      <c r="M177" s="478"/>
      <c r="N177" s="561"/>
      <c r="O177" s="47">
        <f t="shared" si="13"/>
        <v>0</v>
      </c>
      <c r="P177" s="338"/>
      <c r="Q177" s="10"/>
      <c r="R177" s="63"/>
    </row>
    <row r="178" spans="1:18" x14ac:dyDescent="0.25">
      <c r="A178" s="3">
        <f t="shared" si="14"/>
        <v>19</v>
      </c>
      <c r="B178" s="4"/>
      <c r="C178" s="8"/>
      <c r="D178" s="359"/>
      <c r="E178" s="478"/>
      <c r="F178" s="359"/>
      <c r="G178" s="478"/>
      <c r="H178" s="359"/>
      <c r="I178" s="478"/>
      <c r="J178" s="359"/>
      <c r="K178" s="478"/>
      <c r="L178" s="359"/>
      <c r="M178" s="478"/>
      <c r="N178" s="561"/>
      <c r="O178" s="47">
        <f t="shared" si="13"/>
        <v>0</v>
      </c>
      <c r="P178" s="338"/>
      <c r="Q178" s="10"/>
      <c r="R178" s="63"/>
    </row>
    <row r="179" spans="1:18" x14ac:dyDescent="0.25">
      <c r="A179" s="3">
        <f t="shared" si="14"/>
        <v>20</v>
      </c>
      <c r="B179" s="4"/>
      <c r="C179" s="9"/>
      <c r="D179" s="359"/>
      <c r="E179" s="478"/>
      <c r="F179" s="359"/>
      <c r="G179" s="478"/>
      <c r="H179" s="359"/>
      <c r="I179" s="478"/>
      <c r="J179" s="359"/>
      <c r="K179" s="478"/>
      <c r="L179" s="359"/>
      <c r="M179" s="478"/>
      <c r="N179" s="561"/>
      <c r="O179" s="47">
        <f t="shared" si="13"/>
        <v>0</v>
      </c>
      <c r="P179" s="338"/>
      <c r="Q179" s="10"/>
      <c r="R179" s="63"/>
    </row>
    <row r="180" spans="1:18" x14ac:dyDescent="0.25">
      <c r="A180" s="3">
        <f t="shared" si="14"/>
        <v>21</v>
      </c>
      <c r="B180" s="4"/>
      <c r="C180" s="9"/>
      <c r="D180" s="359"/>
      <c r="E180" s="478"/>
      <c r="F180" s="359"/>
      <c r="G180" s="478"/>
      <c r="H180" s="359"/>
      <c r="I180" s="478"/>
      <c r="J180" s="359"/>
      <c r="K180" s="478"/>
      <c r="L180" s="359"/>
      <c r="M180" s="478"/>
      <c r="N180" s="561"/>
      <c r="O180" s="47">
        <f t="shared" si="13"/>
        <v>0</v>
      </c>
      <c r="P180" s="338"/>
      <c r="Q180" s="10"/>
      <c r="R180" s="63"/>
    </row>
    <row r="181" spans="1:18" x14ac:dyDescent="0.25">
      <c r="A181" s="3">
        <f t="shared" si="14"/>
        <v>22</v>
      </c>
      <c r="B181" s="4"/>
      <c r="C181" s="9"/>
      <c r="D181" s="359"/>
      <c r="E181" s="478"/>
      <c r="F181" s="359"/>
      <c r="G181" s="478"/>
      <c r="H181" s="359"/>
      <c r="I181" s="478"/>
      <c r="J181" s="359"/>
      <c r="K181" s="478"/>
      <c r="L181" s="359"/>
      <c r="M181" s="478"/>
      <c r="N181" s="561"/>
      <c r="O181" s="47">
        <f t="shared" si="13"/>
        <v>0</v>
      </c>
      <c r="P181" s="338"/>
      <c r="Q181" s="10"/>
      <c r="R181" s="63"/>
    </row>
    <row r="182" spans="1:18" x14ac:dyDescent="0.25">
      <c r="A182" s="3">
        <f t="shared" si="14"/>
        <v>23</v>
      </c>
      <c r="B182" s="3"/>
      <c r="C182" s="8"/>
      <c r="D182" s="359"/>
      <c r="E182" s="478"/>
      <c r="F182" s="359"/>
      <c r="G182" s="478"/>
      <c r="H182" s="359"/>
      <c r="I182" s="478"/>
      <c r="J182" s="359"/>
      <c r="K182" s="478"/>
      <c r="L182" s="359"/>
      <c r="M182" s="478"/>
      <c r="N182" s="561"/>
      <c r="O182" s="47">
        <f t="shared" si="13"/>
        <v>0</v>
      </c>
      <c r="P182" s="338"/>
      <c r="Q182" s="10"/>
      <c r="R182" s="63"/>
    </row>
    <row r="183" spans="1:18" x14ac:dyDescent="0.25">
      <c r="A183" s="3">
        <f t="shared" si="14"/>
        <v>24</v>
      </c>
      <c r="B183" s="4"/>
      <c r="C183" s="9"/>
      <c r="D183" s="359"/>
      <c r="E183" s="478"/>
      <c r="F183" s="359"/>
      <c r="G183" s="478"/>
      <c r="H183" s="359"/>
      <c r="I183" s="478"/>
      <c r="J183" s="359"/>
      <c r="K183" s="478"/>
      <c r="L183" s="359"/>
      <c r="M183" s="478"/>
      <c r="N183" s="561"/>
      <c r="O183" s="47">
        <f t="shared" si="13"/>
        <v>0</v>
      </c>
      <c r="P183" s="338"/>
      <c r="Q183" s="10"/>
      <c r="R183" s="63"/>
    </row>
    <row r="184" spans="1:18" x14ac:dyDescent="0.25">
      <c r="A184" s="3">
        <f t="shared" si="14"/>
        <v>25</v>
      </c>
      <c r="B184" s="4"/>
      <c r="C184" s="9"/>
      <c r="D184" s="359"/>
      <c r="E184" s="478"/>
      <c r="F184" s="359"/>
      <c r="G184" s="478"/>
      <c r="H184" s="359"/>
      <c r="I184" s="478"/>
      <c r="J184" s="359"/>
      <c r="K184" s="478"/>
      <c r="L184" s="359"/>
      <c r="M184" s="478"/>
      <c r="N184" s="561"/>
      <c r="O184" s="47">
        <f t="shared" si="13"/>
        <v>0</v>
      </c>
      <c r="P184" s="338"/>
      <c r="Q184" s="10"/>
      <c r="R184" s="63"/>
    </row>
    <row r="185" spans="1:18" x14ac:dyDescent="0.25">
      <c r="A185" s="3">
        <f t="shared" si="14"/>
        <v>26</v>
      </c>
      <c r="B185" s="4"/>
      <c r="C185" s="9"/>
      <c r="D185" s="359"/>
      <c r="E185" s="478"/>
      <c r="F185" s="359"/>
      <c r="G185" s="478"/>
      <c r="H185" s="359"/>
      <c r="I185" s="478"/>
      <c r="J185" s="359"/>
      <c r="K185" s="478"/>
      <c r="L185" s="359"/>
      <c r="M185" s="478"/>
      <c r="N185" s="561"/>
      <c r="O185" s="47">
        <f t="shared" si="13"/>
        <v>0</v>
      </c>
      <c r="P185" s="338"/>
      <c r="Q185" s="10"/>
      <c r="R185" s="64"/>
    </row>
    <row r="186" spans="1:18" x14ac:dyDescent="0.25">
      <c r="A186" s="3">
        <f t="shared" si="14"/>
        <v>27</v>
      </c>
      <c r="B186" s="4"/>
      <c r="C186" s="9"/>
      <c r="D186" s="359"/>
      <c r="E186" s="478"/>
      <c r="F186" s="359"/>
      <c r="G186" s="478"/>
      <c r="H186" s="359"/>
      <c r="I186" s="478"/>
      <c r="J186" s="359"/>
      <c r="K186" s="478"/>
      <c r="L186" s="359"/>
      <c r="M186" s="478"/>
      <c r="N186" s="561"/>
      <c r="O186" s="47">
        <f t="shared" si="13"/>
        <v>0</v>
      </c>
      <c r="P186" s="338"/>
      <c r="Q186" s="10"/>
      <c r="R186" s="63"/>
    </row>
    <row r="187" spans="1:18" x14ac:dyDescent="0.25">
      <c r="A187" s="3">
        <f t="shared" si="14"/>
        <v>28</v>
      </c>
      <c r="B187" s="4"/>
      <c r="C187" s="8"/>
      <c r="D187" s="359"/>
      <c r="E187" s="478"/>
      <c r="F187" s="359"/>
      <c r="G187" s="478"/>
      <c r="H187" s="359"/>
      <c r="I187" s="478"/>
      <c r="J187" s="359"/>
      <c r="K187" s="478"/>
      <c r="L187" s="359"/>
      <c r="M187" s="478"/>
      <c r="N187" s="561"/>
      <c r="O187" s="47">
        <f t="shared" si="13"/>
        <v>0</v>
      </c>
      <c r="P187" s="338"/>
      <c r="Q187" s="10"/>
      <c r="R187" s="63"/>
    </row>
    <row r="188" spans="1:18" x14ac:dyDescent="0.25">
      <c r="A188" s="3">
        <f t="shared" si="14"/>
        <v>29</v>
      </c>
      <c r="B188" s="4"/>
      <c r="C188" s="9"/>
      <c r="D188" s="359"/>
      <c r="E188" s="478"/>
      <c r="F188" s="359"/>
      <c r="G188" s="478"/>
      <c r="H188" s="359"/>
      <c r="I188" s="478"/>
      <c r="J188" s="359"/>
      <c r="K188" s="478"/>
      <c r="L188" s="359"/>
      <c r="M188" s="478"/>
      <c r="N188" s="561"/>
      <c r="O188" s="47">
        <f t="shared" si="13"/>
        <v>0</v>
      </c>
      <c r="P188" s="338"/>
      <c r="Q188" s="10"/>
      <c r="R188" s="63"/>
    </row>
    <row r="189" spans="1:18" x14ac:dyDescent="0.25">
      <c r="A189" s="3">
        <f t="shared" si="14"/>
        <v>30</v>
      </c>
      <c r="B189" s="4"/>
      <c r="C189" s="9"/>
      <c r="D189" s="359"/>
      <c r="E189" s="478"/>
      <c r="F189" s="359"/>
      <c r="G189" s="478"/>
      <c r="H189" s="359"/>
      <c r="I189" s="478"/>
      <c r="J189" s="359"/>
      <c r="K189" s="478"/>
      <c r="L189" s="359"/>
      <c r="M189" s="478"/>
      <c r="N189" s="561"/>
      <c r="O189" s="47">
        <f t="shared" si="13"/>
        <v>0</v>
      </c>
      <c r="P189" s="338"/>
      <c r="Q189" s="10"/>
      <c r="R189" s="63"/>
    </row>
    <row r="190" spans="1:18" x14ac:dyDescent="0.25">
      <c r="A190" s="3">
        <f t="shared" si="14"/>
        <v>31</v>
      </c>
      <c r="B190" s="4"/>
      <c r="C190" s="8"/>
      <c r="D190" s="359"/>
      <c r="E190" s="478"/>
      <c r="F190" s="359"/>
      <c r="G190" s="478"/>
      <c r="H190" s="359"/>
      <c r="I190" s="478"/>
      <c r="J190" s="359"/>
      <c r="K190" s="478"/>
      <c r="L190" s="359"/>
      <c r="M190" s="478"/>
      <c r="N190" s="561"/>
      <c r="O190" s="47">
        <f t="shared" si="13"/>
        <v>0</v>
      </c>
      <c r="P190" s="338"/>
      <c r="Q190" s="10"/>
      <c r="R190" s="63"/>
    </row>
    <row r="191" spans="1:18" x14ac:dyDescent="0.25">
      <c r="A191" s="3">
        <f t="shared" si="14"/>
        <v>32</v>
      </c>
      <c r="B191" s="4"/>
      <c r="C191" s="8"/>
      <c r="D191" s="359"/>
      <c r="E191" s="478"/>
      <c r="F191" s="359"/>
      <c r="G191" s="478"/>
      <c r="H191" s="359"/>
      <c r="I191" s="478"/>
      <c r="J191" s="359"/>
      <c r="K191" s="478"/>
      <c r="L191" s="359"/>
      <c r="M191" s="478"/>
      <c r="N191" s="561"/>
      <c r="O191" s="47">
        <f t="shared" si="13"/>
        <v>0</v>
      </c>
      <c r="P191" s="338"/>
      <c r="Q191" s="10"/>
      <c r="R191" s="63"/>
    </row>
    <row r="192" spans="1:18" x14ac:dyDescent="0.25">
      <c r="A192" s="3">
        <f t="shared" si="14"/>
        <v>33</v>
      </c>
      <c r="B192" s="4"/>
      <c r="C192" s="9"/>
      <c r="D192" s="359"/>
      <c r="E192" s="478"/>
      <c r="F192" s="359"/>
      <c r="G192" s="478"/>
      <c r="H192" s="359"/>
      <c r="I192" s="478"/>
      <c r="J192" s="359"/>
      <c r="K192" s="478"/>
      <c r="L192" s="359"/>
      <c r="M192" s="478"/>
      <c r="N192" s="561"/>
      <c r="O192" s="47">
        <f t="shared" si="13"/>
        <v>0</v>
      </c>
      <c r="P192" s="338"/>
      <c r="Q192" s="10"/>
      <c r="R192" s="63"/>
    </row>
    <row r="193" spans="1:18" x14ac:dyDescent="0.25">
      <c r="A193" s="3">
        <f t="shared" si="14"/>
        <v>34</v>
      </c>
      <c r="B193" s="4"/>
      <c r="C193" s="8"/>
      <c r="D193" s="359"/>
      <c r="E193" s="478"/>
      <c r="F193" s="359"/>
      <c r="G193" s="478"/>
      <c r="H193" s="359"/>
      <c r="I193" s="478"/>
      <c r="J193" s="359"/>
      <c r="K193" s="478"/>
      <c r="L193" s="359"/>
      <c r="M193" s="478"/>
      <c r="N193" s="561"/>
      <c r="O193" s="47">
        <f t="shared" si="13"/>
        <v>0</v>
      </c>
      <c r="P193" s="338"/>
      <c r="Q193" s="10"/>
      <c r="R193" s="63"/>
    </row>
    <row r="194" spans="1:18" x14ac:dyDescent="0.25">
      <c r="A194" s="3">
        <f t="shared" si="14"/>
        <v>35</v>
      </c>
      <c r="B194" s="4"/>
      <c r="C194" s="9"/>
      <c r="D194" s="359"/>
      <c r="E194" s="478"/>
      <c r="F194" s="359"/>
      <c r="G194" s="478"/>
      <c r="H194" s="359"/>
      <c r="I194" s="478"/>
      <c r="J194" s="359"/>
      <c r="K194" s="478"/>
      <c r="L194" s="359"/>
      <c r="M194" s="478"/>
      <c r="N194" s="561"/>
      <c r="O194" s="47">
        <f t="shared" si="13"/>
        <v>0</v>
      </c>
      <c r="P194" s="338"/>
      <c r="Q194" s="10"/>
      <c r="R194" s="63"/>
    </row>
    <row r="195" spans="1:18" x14ac:dyDescent="0.25">
      <c r="A195" s="3">
        <f t="shared" si="14"/>
        <v>36</v>
      </c>
      <c r="B195" s="4"/>
      <c r="C195" s="9"/>
      <c r="D195" s="359"/>
      <c r="E195" s="478"/>
      <c r="F195" s="359"/>
      <c r="G195" s="478"/>
      <c r="H195" s="359"/>
      <c r="I195" s="478"/>
      <c r="J195" s="359"/>
      <c r="K195" s="478"/>
      <c r="L195" s="359"/>
      <c r="M195" s="478"/>
      <c r="N195" s="561"/>
      <c r="O195" s="47">
        <f t="shared" si="13"/>
        <v>0</v>
      </c>
      <c r="P195" s="338"/>
      <c r="Q195" s="10"/>
      <c r="R195" s="63"/>
    </row>
    <row r="196" spans="1:18" x14ac:dyDescent="0.25">
      <c r="A196" s="3">
        <f t="shared" si="14"/>
        <v>37</v>
      </c>
      <c r="B196" s="4"/>
      <c r="C196" s="9"/>
      <c r="D196" s="359"/>
      <c r="E196" s="478"/>
      <c r="F196" s="359"/>
      <c r="G196" s="478"/>
      <c r="H196" s="359"/>
      <c r="I196" s="478"/>
      <c r="J196" s="359"/>
      <c r="K196" s="478"/>
      <c r="L196" s="359"/>
      <c r="M196" s="478"/>
      <c r="N196" s="561"/>
      <c r="O196" s="47">
        <f t="shared" si="13"/>
        <v>0</v>
      </c>
      <c r="P196" s="338"/>
      <c r="Q196" s="10"/>
      <c r="R196" s="63"/>
    </row>
    <row r="197" spans="1:18" x14ac:dyDescent="0.25">
      <c r="A197" s="3">
        <f t="shared" si="14"/>
        <v>38</v>
      </c>
      <c r="B197" s="4"/>
      <c r="C197" s="9"/>
      <c r="D197" s="359"/>
      <c r="E197" s="478"/>
      <c r="F197" s="359"/>
      <c r="G197" s="478"/>
      <c r="H197" s="359"/>
      <c r="I197" s="478"/>
      <c r="J197" s="359"/>
      <c r="K197" s="478"/>
      <c r="L197" s="359"/>
      <c r="M197" s="478"/>
      <c r="N197" s="561"/>
      <c r="O197" s="47">
        <f t="shared" si="13"/>
        <v>0</v>
      </c>
      <c r="P197" s="338"/>
      <c r="Q197" s="10"/>
      <c r="R197" s="63"/>
    </row>
    <row r="198" spans="1:18" x14ac:dyDescent="0.25">
      <c r="A198" s="3">
        <f t="shared" si="14"/>
        <v>39</v>
      </c>
      <c r="B198" s="4"/>
      <c r="C198" s="9"/>
      <c r="D198" s="359"/>
      <c r="E198" s="478"/>
      <c r="F198" s="359"/>
      <c r="G198" s="478"/>
      <c r="H198" s="359"/>
      <c r="I198" s="478"/>
      <c r="J198" s="359"/>
      <c r="K198" s="478"/>
      <c r="L198" s="359"/>
      <c r="M198" s="478"/>
      <c r="N198" s="561"/>
      <c r="O198" s="47">
        <f t="shared" ref="O198:O229" si="15">SUM(C198:N198)</f>
        <v>0</v>
      </c>
      <c r="P198" s="338"/>
      <c r="Q198" s="10"/>
      <c r="R198" s="63"/>
    </row>
    <row r="199" spans="1:18" x14ac:dyDescent="0.25">
      <c r="A199" s="3">
        <f t="shared" si="14"/>
        <v>40</v>
      </c>
      <c r="B199" s="4"/>
      <c r="C199" s="8"/>
      <c r="D199" s="359"/>
      <c r="E199" s="478"/>
      <c r="F199" s="359"/>
      <c r="G199" s="478"/>
      <c r="H199" s="359"/>
      <c r="I199" s="478"/>
      <c r="J199" s="359"/>
      <c r="K199" s="478"/>
      <c r="L199" s="359"/>
      <c r="M199" s="478"/>
      <c r="N199" s="561"/>
      <c r="O199" s="47">
        <f t="shared" si="15"/>
        <v>0</v>
      </c>
      <c r="P199" s="338"/>
      <c r="Q199" s="10"/>
      <c r="R199" s="63"/>
    </row>
    <row r="200" spans="1:18" x14ac:dyDescent="0.25">
      <c r="A200" s="3">
        <f t="shared" si="14"/>
        <v>41</v>
      </c>
      <c r="B200" s="4"/>
      <c r="C200" s="9"/>
      <c r="D200" s="359"/>
      <c r="E200" s="478"/>
      <c r="F200" s="359"/>
      <c r="G200" s="478"/>
      <c r="H200" s="359"/>
      <c r="I200" s="478"/>
      <c r="J200" s="359"/>
      <c r="K200" s="478"/>
      <c r="L200" s="359"/>
      <c r="M200" s="478"/>
      <c r="N200" s="561"/>
      <c r="O200" s="47">
        <f t="shared" si="15"/>
        <v>0</v>
      </c>
      <c r="P200" s="338"/>
      <c r="Q200" s="10"/>
      <c r="R200" s="63"/>
    </row>
    <row r="201" spans="1:18" x14ac:dyDescent="0.25">
      <c r="A201" s="3">
        <f t="shared" si="14"/>
        <v>42</v>
      </c>
      <c r="B201" s="4"/>
      <c r="C201" s="9"/>
      <c r="D201" s="359"/>
      <c r="E201" s="478"/>
      <c r="F201" s="359"/>
      <c r="G201" s="478"/>
      <c r="H201" s="359"/>
      <c r="I201" s="478"/>
      <c r="J201" s="359"/>
      <c r="K201" s="478"/>
      <c r="L201" s="359"/>
      <c r="M201" s="478"/>
      <c r="N201" s="561"/>
      <c r="O201" s="47">
        <f t="shared" si="15"/>
        <v>0</v>
      </c>
      <c r="P201" s="338"/>
      <c r="Q201" s="10"/>
      <c r="R201" s="63"/>
    </row>
    <row r="202" spans="1:18" x14ac:dyDescent="0.25">
      <c r="A202" s="3">
        <f t="shared" si="14"/>
        <v>43</v>
      </c>
      <c r="B202" s="4"/>
      <c r="C202" s="9"/>
      <c r="D202" s="359"/>
      <c r="E202" s="478"/>
      <c r="F202" s="359"/>
      <c r="G202" s="478"/>
      <c r="H202" s="359"/>
      <c r="I202" s="478"/>
      <c r="J202" s="359"/>
      <c r="K202" s="478"/>
      <c r="L202" s="359"/>
      <c r="M202" s="478"/>
      <c r="N202" s="561"/>
      <c r="O202" s="47">
        <f t="shared" si="15"/>
        <v>0</v>
      </c>
      <c r="P202" s="338"/>
      <c r="Q202" s="10"/>
      <c r="R202" s="63"/>
    </row>
    <row r="203" spans="1:18" x14ac:dyDescent="0.25">
      <c r="A203" s="3">
        <f t="shared" si="14"/>
        <v>44</v>
      </c>
      <c r="B203" s="3"/>
      <c r="C203" s="8"/>
      <c r="D203" s="359"/>
      <c r="E203" s="478"/>
      <c r="F203" s="359"/>
      <c r="G203" s="478"/>
      <c r="H203" s="359"/>
      <c r="I203" s="478"/>
      <c r="J203" s="359"/>
      <c r="K203" s="478"/>
      <c r="L203" s="359"/>
      <c r="M203" s="478"/>
      <c r="N203" s="561"/>
      <c r="O203" s="47">
        <f t="shared" si="15"/>
        <v>0</v>
      </c>
      <c r="P203" s="338"/>
      <c r="Q203" s="10"/>
      <c r="R203" s="63"/>
    </row>
    <row r="204" spans="1:18" x14ac:dyDescent="0.25">
      <c r="A204" s="3">
        <f t="shared" si="14"/>
        <v>45</v>
      </c>
      <c r="B204" s="4"/>
      <c r="C204" s="9"/>
      <c r="D204" s="359"/>
      <c r="E204" s="478"/>
      <c r="F204" s="359"/>
      <c r="G204" s="478"/>
      <c r="H204" s="359"/>
      <c r="I204" s="478"/>
      <c r="J204" s="359"/>
      <c r="K204" s="478"/>
      <c r="L204" s="359"/>
      <c r="M204" s="478"/>
      <c r="N204" s="561"/>
      <c r="O204" s="47">
        <f t="shared" si="15"/>
        <v>0</v>
      </c>
      <c r="P204" s="338"/>
      <c r="Q204" s="10"/>
      <c r="R204" s="63"/>
    </row>
    <row r="205" spans="1:18" x14ac:dyDescent="0.25">
      <c r="A205" s="3">
        <f t="shared" si="14"/>
        <v>46</v>
      </c>
      <c r="B205" s="4"/>
      <c r="C205" s="9"/>
      <c r="D205" s="359"/>
      <c r="E205" s="478"/>
      <c r="F205" s="359"/>
      <c r="G205" s="478"/>
      <c r="H205" s="359"/>
      <c r="I205" s="478"/>
      <c r="J205" s="359"/>
      <c r="K205" s="478"/>
      <c r="L205" s="359"/>
      <c r="M205" s="478"/>
      <c r="N205" s="561"/>
      <c r="O205" s="47">
        <f t="shared" si="15"/>
        <v>0</v>
      </c>
      <c r="P205" s="338"/>
      <c r="Q205" s="10"/>
      <c r="R205" s="63"/>
    </row>
    <row r="206" spans="1:18" x14ac:dyDescent="0.25">
      <c r="A206" s="3">
        <f t="shared" si="14"/>
        <v>47</v>
      </c>
      <c r="B206" s="4"/>
      <c r="C206" s="9"/>
      <c r="D206" s="359"/>
      <c r="E206" s="478"/>
      <c r="F206" s="359"/>
      <c r="G206" s="478"/>
      <c r="H206" s="359"/>
      <c r="I206" s="478"/>
      <c r="J206" s="359"/>
      <c r="K206" s="478"/>
      <c r="L206" s="359"/>
      <c r="M206" s="478"/>
      <c r="N206" s="561"/>
      <c r="O206" s="47">
        <f t="shared" si="15"/>
        <v>0</v>
      </c>
      <c r="P206" s="338"/>
      <c r="Q206" s="10"/>
      <c r="R206" s="63"/>
    </row>
    <row r="207" spans="1:18" x14ac:dyDescent="0.25">
      <c r="A207" s="3">
        <f t="shared" si="14"/>
        <v>48</v>
      </c>
      <c r="B207" s="4"/>
      <c r="C207" s="9"/>
      <c r="D207" s="359"/>
      <c r="E207" s="478"/>
      <c r="F207" s="359"/>
      <c r="G207" s="478"/>
      <c r="H207" s="359"/>
      <c r="I207" s="478"/>
      <c r="J207" s="359"/>
      <c r="K207" s="478"/>
      <c r="L207" s="359"/>
      <c r="M207" s="478"/>
      <c r="N207" s="561"/>
      <c r="O207" s="47">
        <f t="shared" si="15"/>
        <v>0</v>
      </c>
      <c r="P207" s="338"/>
      <c r="Q207" s="10"/>
      <c r="R207" s="63"/>
    </row>
    <row r="208" spans="1:18" x14ac:dyDescent="0.25">
      <c r="A208" s="3">
        <f t="shared" si="14"/>
        <v>49</v>
      </c>
      <c r="B208" s="4"/>
      <c r="C208" s="9"/>
      <c r="D208" s="359"/>
      <c r="E208" s="478"/>
      <c r="F208" s="359"/>
      <c r="G208" s="478"/>
      <c r="H208" s="359"/>
      <c r="I208" s="478"/>
      <c r="J208" s="359"/>
      <c r="K208" s="478"/>
      <c r="L208" s="359"/>
      <c r="M208" s="478"/>
      <c r="N208" s="561"/>
      <c r="O208" s="47">
        <f t="shared" si="15"/>
        <v>0</v>
      </c>
      <c r="P208" s="338"/>
      <c r="Q208" s="10"/>
      <c r="R208" s="63"/>
    </row>
    <row r="209" spans="1:18" x14ac:dyDescent="0.25">
      <c r="A209" s="3">
        <f t="shared" si="14"/>
        <v>50</v>
      </c>
      <c r="B209" s="4"/>
      <c r="C209" s="9"/>
      <c r="D209" s="359"/>
      <c r="E209" s="478"/>
      <c r="F209" s="359"/>
      <c r="G209" s="478"/>
      <c r="H209" s="359"/>
      <c r="I209" s="478"/>
      <c r="J209" s="359"/>
      <c r="K209" s="478"/>
      <c r="L209" s="359"/>
      <c r="M209" s="478"/>
      <c r="N209" s="561"/>
      <c r="O209" s="47">
        <f t="shared" si="15"/>
        <v>0</v>
      </c>
      <c r="P209" s="338"/>
      <c r="Q209" s="10"/>
      <c r="R209" s="63"/>
    </row>
    <row r="210" spans="1:18" x14ac:dyDescent="0.25">
      <c r="A210" s="3">
        <f t="shared" si="14"/>
        <v>51</v>
      </c>
      <c r="B210" s="4"/>
      <c r="C210" s="9"/>
      <c r="D210" s="359"/>
      <c r="E210" s="478"/>
      <c r="F210" s="359"/>
      <c r="G210" s="478"/>
      <c r="H210" s="359"/>
      <c r="I210" s="478"/>
      <c r="J210" s="359"/>
      <c r="K210" s="478"/>
      <c r="L210" s="359"/>
      <c r="M210" s="478"/>
      <c r="N210" s="561"/>
      <c r="O210" s="47">
        <f t="shared" si="15"/>
        <v>0</v>
      </c>
      <c r="P210" s="338"/>
      <c r="Q210" s="10"/>
      <c r="R210" s="63"/>
    </row>
    <row r="211" spans="1:18" x14ac:dyDescent="0.25">
      <c r="A211" s="3">
        <f t="shared" si="14"/>
        <v>52</v>
      </c>
      <c r="B211" s="4"/>
      <c r="C211" s="8"/>
      <c r="D211" s="359"/>
      <c r="E211" s="478"/>
      <c r="F211" s="359"/>
      <c r="G211" s="478"/>
      <c r="H211" s="359"/>
      <c r="I211" s="478"/>
      <c r="J211" s="359"/>
      <c r="K211" s="478"/>
      <c r="L211" s="359"/>
      <c r="M211" s="478"/>
      <c r="N211" s="561"/>
      <c r="O211" s="47">
        <f t="shared" si="15"/>
        <v>0</v>
      </c>
      <c r="P211" s="338"/>
      <c r="Q211" s="10"/>
      <c r="R211" s="63"/>
    </row>
    <row r="212" spans="1:18" x14ac:dyDescent="0.25">
      <c r="A212" s="3">
        <f t="shared" si="14"/>
        <v>53</v>
      </c>
      <c r="B212" s="4"/>
      <c r="C212" s="9"/>
      <c r="D212" s="359"/>
      <c r="E212" s="478"/>
      <c r="F212" s="359"/>
      <c r="G212" s="478"/>
      <c r="H212" s="359"/>
      <c r="I212" s="478"/>
      <c r="J212" s="359"/>
      <c r="K212" s="478"/>
      <c r="L212" s="359"/>
      <c r="M212" s="478"/>
      <c r="N212" s="561"/>
      <c r="O212" s="47">
        <f t="shared" si="15"/>
        <v>0</v>
      </c>
      <c r="P212" s="338"/>
      <c r="Q212" s="10"/>
      <c r="R212" s="63"/>
    </row>
    <row r="213" spans="1:18" x14ac:dyDescent="0.25">
      <c r="A213" s="3">
        <f t="shared" si="14"/>
        <v>54</v>
      </c>
      <c r="B213" s="4"/>
      <c r="C213" s="9"/>
      <c r="D213" s="359"/>
      <c r="E213" s="478"/>
      <c r="F213" s="359"/>
      <c r="G213" s="478"/>
      <c r="H213" s="359"/>
      <c r="I213" s="478"/>
      <c r="J213" s="359"/>
      <c r="K213" s="478"/>
      <c r="L213" s="359"/>
      <c r="M213" s="478"/>
      <c r="N213" s="561"/>
      <c r="O213" s="47">
        <f t="shared" si="15"/>
        <v>0</v>
      </c>
      <c r="P213" s="338"/>
      <c r="Q213" s="10"/>
      <c r="R213" s="64"/>
    </row>
    <row r="214" spans="1:18" x14ac:dyDescent="0.25">
      <c r="A214" s="3">
        <f t="shared" si="14"/>
        <v>55</v>
      </c>
      <c r="B214" s="4"/>
      <c r="C214" s="9"/>
      <c r="D214" s="359"/>
      <c r="E214" s="478"/>
      <c r="F214" s="359"/>
      <c r="G214" s="478"/>
      <c r="H214" s="359"/>
      <c r="I214" s="478"/>
      <c r="J214" s="359"/>
      <c r="K214" s="478"/>
      <c r="L214" s="359"/>
      <c r="M214" s="478"/>
      <c r="N214" s="561"/>
      <c r="O214" s="47">
        <f t="shared" si="15"/>
        <v>0</v>
      </c>
      <c r="P214" s="338"/>
      <c r="Q214" s="10"/>
      <c r="R214" s="63"/>
    </row>
    <row r="215" spans="1:18" x14ac:dyDescent="0.25">
      <c r="A215" s="3">
        <f t="shared" si="14"/>
        <v>56</v>
      </c>
      <c r="B215" s="4"/>
      <c r="C215" s="9"/>
      <c r="D215" s="359"/>
      <c r="E215" s="478"/>
      <c r="F215" s="359"/>
      <c r="G215" s="478"/>
      <c r="H215" s="359"/>
      <c r="I215" s="478"/>
      <c r="J215" s="359"/>
      <c r="K215" s="478"/>
      <c r="L215" s="359"/>
      <c r="M215" s="478"/>
      <c r="N215" s="561"/>
      <c r="O215" s="47">
        <f t="shared" si="15"/>
        <v>0</v>
      </c>
      <c r="P215" s="338"/>
      <c r="Q215" s="10"/>
      <c r="R215" s="63"/>
    </row>
    <row r="216" spans="1:18" x14ac:dyDescent="0.25">
      <c r="A216" s="3">
        <f t="shared" si="14"/>
        <v>57</v>
      </c>
      <c r="B216" s="4"/>
      <c r="C216" s="8"/>
      <c r="D216" s="359"/>
      <c r="E216" s="478"/>
      <c r="F216" s="359"/>
      <c r="G216" s="478"/>
      <c r="H216" s="359"/>
      <c r="I216" s="478"/>
      <c r="J216" s="359"/>
      <c r="K216" s="478"/>
      <c r="L216" s="359"/>
      <c r="M216" s="478"/>
      <c r="N216" s="561"/>
      <c r="O216" s="47">
        <f t="shared" si="15"/>
        <v>0</v>
      </c>
      <c r="P216" s="338"/>
      <c r="Q216" s="10"/>
      <c r="R216" s="63"/>
    </row>
    <row r="217" spans="1:18" x14ac:dyDescent="0.25">
      <c r="A217" s="3">
        <f t="shared" si="14"/>
        <v>58</v>
      </c>
      <c r="B217" s="4"/>
      <c r="C217" s="9"/>
      <c r="D217" s="359"/>
      <c r="E217" s="478"/>
      <c r="F217" s="359"/>
      <c r="G217" s="478"/>
      <c r="H217" s="359"/>
      <c r="I217" s="478"/>
      <c r="J217" s="359"/>
      <c r="K217" s="478"/>
      <c r="L217" s="359"/>
      <c r="M217" s="478"/>
      <c r="N217" s="561"/>
      <c r="O217" s="47">
        <f t="shared" si="15"/>
        <v>0</v>
      </c>
      <c r="P217" s="338"/>
      <c r="Q217" s="10"/>
      <c r="R217" s="63"/>
    </row>
    <row r="218" spans="1:18" x14ac:dyDescent="0.25">
      <c r="A218" s="3">
        <f t="shared" si="14"/>
        <v>59</v>
      </c>
      <c r="B218" s="4"/>
      <c r="C218" s="9"/>
      <c r="D218" s="359"/>
      <c r="E218" s="478"/>
      <c r="F218" s="359"/>
      <c r="G218" s="478"/>
      <c r="H218" s="359"/>
      <c r="I218" s="478"/>
      <c r="J218" s="359"/>
      <c r="K218" s="478"/>
      <c r="L218" s="359"/>
      <c r="M218" s="478"/>
      <c r="N218" s="561"/>
      <c r="O218" s="47">
        <f t="shared" si="15"/>
        <v>0</v>
      </c>
      <c r="P218" s="338"/>
      <c r="Q218" s="10"/>
      <c r="R218" s="63"/>
    </row>
    <row r="219" spans="1:18" x14ac:dyDescent="0.25">
      <c r="A219" s="3">
        <f t="shared" si="14"/>
        <v>60</v>
      </c>
      <c r="B219" s="4"/>
      <c r="C219" s="9"/>
      <c r="D219" s="359"/>
      <c r="E219" s="478"/>
      <c r="F219" s="359"/>
      <c r="G219" s="478"/>
      <c r="H219" s="359"/>
      <c r="I219" s="478"/>
      <c r="J219" s="359"/>
      <c r="K219" s="478"/>
      <c r="L219" s="359"/>
      <c r="M219" s="478"/>
      <c r="N219" s="561"/>
      <c r="O219" s="47">
        <f t="shared" si="15"/>
        <v>0</v>
      </c>
      <c r="P219" s="338"/>
      <c r="Q219" s="10"/>
      <c r="R219" s="63"/>
    </row>
    <row r="220" spans="1:18" x14ac:dyDescent="0.25">
      <c r="A220" s="3">
        <f t="shared" si="14"/>
        <v>61</v>
      </c>
      <c r="B220" s="4"/>
      <c r="C220" s="9"/>
      <c r="D220" s="359"/>
      <c r="E220" s="478"/>
      <c r="F220" s="359"/>
      <c r="G220" s="478"/>
      <c r="H220" s="359"/>
      <c r="I220" s="478"/>
      <c r="J220" s="359"/>
      <c r="K220" s="478"/>
      <c r="L220" s="359"/>
      <c r="M220" s="478"/>
      <c r="N220" s="561"/>
      <c r="O220" s="47">
        <f t="shared" si="15"/>
        <v>0</v>
      </c>
      <c r="P220" s="338"/>
      <c r="Q220" s="10"/>
      <c r="R220" s="63"/>
    </row>
    <row r="221" spans="1:18" x14ac:dyDescent="0.25">
      <c r="A221" s="3">
        <f t="shared" si="14"/>
        <v>62</v>
      </c>
      <c r="B221" s="4"/>
      <c r="C221" s="9"/>
      <c r="D221" s="359"/>
      <c r="E221" s="478"/>
      <c r="F221" s="359"/>
      <c r="G221" s="478"/>
      <c r="H221" s="359"/>
      <c r="I221" s="478"/>
      <c r="J221" s="359"/>
      <c r="K221" s="478"/>
      <c r="L221" s="359"/>
      <c r="M221" s="478"/>
      <c r="N221" s="561"/>
      <c r="O221" s="47">
        <f t="shared" si="15"/>
        <v>0</v>
      </c>
      <c r="P221" s="338"/>
      <c r="Q221" s="10"/>
      <c r="R221" s="63"/>
    </row>
    <row r="222" spans="1:18" x14ac:dyDescent="0.25">
      <c r="A222" s="3">
        <f t="shared" si="14"/>
        <v>63</v>
      </c>
      <c r="B222" s="4"/>
      <c r="C222" s="9"/>
      <c r="D222" s="359"/>
      <c r="E222" s="478"/>
      <c r="F222" s="359"/>
      <c r="G222" s="478"/>
      <c r="H222" s="359"/>
      <c r="I222" s="478"/>
      <c r="J222" s="359"/>
      <c r="K222" s="478"/>
      <c r="L222" s="359"/>
      <c r="M222" s="478"/>
      <c r="N222" s="561"/>
      <c r="O222" s="47">
        <f t="shared" si="15"/>
        <v>0</v>
      </c>
      <c r="P222" s="338"/>
      <c r="Q222" s="10"/>
      <c r="R222" s="63"/>
    </row>
    <row r="223" spans="1:18" x14ac:dyDescent="0.25">
      <c r="A223" s="3">
        <f t="shared" si="14"/>
        <v>64</v>
      </c>
      <c r="B223" s="4"/>
      <c r="C223" s="8"/>
      <c r="D223" s="359"/>
      <c r="E223" s="478"/>
      <c r="F223" s="359"/>
      <c r="G223" s="478"/>
      <c r="H223" s="359"/>
      <c r="I223" s="478"/>
      <c r="J223" s="359"/>
      <c r="K223" s="478"/>
      <c r="L223" s="359"/>
      <c r="M223" s="478"/>
      <c r="N223" s="561"/>
      <c r="O223" s="47">
        <f t="shared" si="15"/>
        <v>0</v>
      </c>
      <c r="P223" s="338"/>
      <c r="Q223" s="10"/>
      <c r="R223" s="63"/>
    </row>
    <row r="224" spans="1:18" x14ac:dyDescent="0.25">
      <c r="A224" s="3">
        <f t="shared" si="14"/>
        <v>65</v>
      </c>
      <c r="B224" s="4"/>
      <c r="C224" s="9"/>
      <c r="D224" s="359"/>
      <c r="E224" s="478"/>
      <c r="F224" s="359"/>
      <c r="G224" s="478"/>
      <c r="H224" s="359"/>
      <c r="I224" s="478"/>
      <c r="J224" s="359"/>
      <c r="K224" s="478"/>
      <c r="L224" s="359"/>
      <c r="M224" s="478"/>
      <c r="N224" s="561"/>
      <c r="O224" s="47">
        <f t="shared" si="15"/>
        <v>0</v>
      </c>
      <c r="P224" s="338"/>
      <c r="Q224" s="10"/>
      <c r="R224" s="63"/>
    </row>
    <row r="225" spans="1:18" x14ac:dyDescent="0.25">
      <c r="A225" s="3">
        <f t="shared" si="14"/>
        <v>66</v>
      </c>
      <c r="B225" s="4"/>
      <c r="C225" s="9"/>
      <c r="D225" s="359"/>
      <c r="E225" s="478"/>
      <c r="F225" s="359"/>
      <c r="G225" s="478"/>
      <c r="H225" s="359"/>
      <c r="I225" s="478"/>
      <c r="J225" s="359"/>
      <c r="K225" s="478"/>
      <c r="L225" s="359"/>
      <c r="M225" s="478"/>
      <c r="N225" s="561"/>
      <c r="O225" s="47">
        <f t="shared" si="15"/>
        <v>0</v>
      </c>
      <c r="P225" s="338"/>
      <c r="Q225" s="10"/>
      <c r="R225" s="63"/>
    </row>
    <row r="226" spans="1:18" x14ac:dyDescent="0.25">
      <c r="A226" s="3">
        <f t="shared" si="14"/>
        <v>67</v>
      </c>
      <c r="B226" s="4"/>
      <c r="C226" s="9"/>
      <c r="D226" s="359"/>
      <c r="E226" s="478"/>
      <c r="F226" s="359"/>
      <c r="G226" s="478"/>
      <c r="H226" s="359"/>
      <c r="I226" s="478"/>
      <c r="J226" s="359"/>
      <c r="K226" s="478"/>
      <c r="L226" s="359"/>
      <c r="M226" s="478"/>
      <c r="N226" s="561"/>
      <c r="O226" s="47">
        <f t="shared" si="15"/>
        <v>0</v>
      </c>
      <c r="P226" s="338"/>
      <c r="Q226" s="10"/>
      <c r="R226" s="63"/>
    </row>
    <row r="227" spans="1:18" x14ac:dyDescent="0.25">
      <c r="A227" s="3">
        <f t="shared" si="14"/>
        <v>68</v>
      </c>
      <c r="B227" s="4"/>
      <c r="C227" s="9"/>
      <c r="D227" s="359"/>
      <c r="E227" s="478"/>
      <c r="F227" s="359"/>
      <c r="G227" s="478"/>
      <c r="H227" s="359"/>
      <c r="I227" s="478"/>
      <c r="J227" s="359"/>
      <c r="K227" s="478"/>
      <c r="L227" s="359"/>
      <c r="M227" s="478"/>
      <c r="N227" s="561"/>
      <c r="O227" s="47">
        <f t="shared" si="15"/>
        <v>0</v>
      </c>
      <c r="P227" s="338"/>
      <c r="Q227" s="10"/>
      <c r="R227" s="63"/>
    </row>
    <row r="228" spans="1:18" x14ac:dyDescent="0.25">
      <c r="A228" s="3">
        <f t="shared" si="14"/>
        <v>69</v>
      </c>
      <c r="B228" s="4"/>
      <c r="C228" s="9"/>
      <c r="D228" s="359"/>
      <c r="E228" s="478"/>
      <c r="F228" s="359"/>
      <c r="G228" s="478"/>
      <c r="H228" s="359"/>
      <c r="I228" s="478"/>
      <c r="J228" s="359"/>
      <c r="K228" s="478"/>
      <c r="L228" s="359"/>
      <c r="M228" s="478"/>
      <c r="N228" s="561"/>
      <c r="O228" s="47">
        <f t="shared" si="15"/>
        <v>0</v>
      </c>
      <c r="P228" s="338"/>
      <c r="Q228" s="10"/>
      <c r="R228" s="63"/>
    </row>
    <row r="229" spans="1:18" x14ac:dyDescent="0.25">
      <c r="A229" s="3">
        <f t="shared" si="14"/>
        <v>70</v>
      </c>
      <c r="B229" s="4"/>
      <c r="C229" s="9"/>
      <c r="D229" s="359"/>
      <c r="E229" s="478"/>
      <c r="F229" s="359"/>
      <c r="G229" s="478"/>
      <c r="H229" s="359"/>
      <c r="I229" s="478"/>
      <c r="J229" s="359"/>
      <c r="K229" s="478"/>
      <c r="L229" s="359"/>
      <c r="M229" s="478"/>
      <c r="N229" s="561"/>
      <c r="O229" s="47">
        <f t="shared" si="15"/>
        <v>0</v>
      </c>
      <c r="P229" s="338"/>
      <c r="Q229" s="10"/>
      <c r="R229" s="63"/>
    </row>
    <row r="230" spans="1:18" x14ac:dyDescent="0.25">
      <c r="A230" s="3">
        <f t="shared" si="14"/>
        <v>71</v>
      </c>
      <c r="B230" s="4"/>
      <c r="C230" s="9"/>
      <c r="D230" s="359"/>
      <c r="E230" s="478"/>
      <c r="F230" s="359"/>
      <c r="G230" s="478"/>
      <c r="H230" s="359"/>
      <c r="I230" s="478"/>
      <c r="J230" s="359"/>
      <c r="K230" s="478"/>
      <c r="L230" s="359"/>
      <c r="M230" s="478"/>
      <c r="N230" s="561"/>
      <c r="O230" s="47">
        <f>SUM(C230:N230)</f>
        <v>0</v>
      </c>
      <c r="P230" s="338"/>
      <c r="Q230" s="10"/>
      <c r="R230" s="63"/>
    </row>
    <row r="231" spans="1:18" x14ac:dyDescent="0.25">
      <c r="A231" s="3">
        <f t="shared" si="14"/>
        <v>72</v>
      </c>
      <c r="B231" s="4"/>
      <c r="C231" s="9"/>
      <c r="D231" s="359"/>
      <c r="E231" s="478"/>
      <c r="F231" s="359"/>
      <c r="G231" s="478"/>
      <c r="H231" s="359"/>
      <c r="I231" s="478"/>
      <c r="J231" s="359"/>
      <c r="K231" s="478"/>
      <c r="L231" s="359"/>
      <c r="M231" s="478"/>
      <c r="N231" s="561"/>
      <c r="O231" s="47">
        <f>SUM(C231:N231)</f>
        <v>0</v>
      </c>
      <c r="P231" s="338"/>
      <c r="Q231" s="10"/>
      <c r="R231" s="63"/>
    </row>
    <row r="232" spans="1:18" x14ac:dyDescent="0.25">
      <c r="A232" s="3">
        <f t="shared" si="14"/>
        <v>73</v>
      </c>
      <c r="B232" s="4"/>
      <c r="C232" s="8"/>
      <c r="D232" s="359"/>
      <c r="E232" s="478"/>
      <c r="F232" s="359"/>
      <c r="G232" s="478"/>
      <c r="H232" s="359"/>
      <c r="I232" s="478"/>
      <c r="J232" s="359"/>
      <c r="K232" s="478"/>
      <c r="L232" s="359"/>
      <c r="M232" s="478"/>
      <c r="N232" s="561"/>
      <c r="O232" s="47">
        <f>SUM(C232:N232)</f>
        <v>0</v>
      </c>
      <c r="P232" s="338"/>
      <c r="Q232" s="10"/>
      <c r="R232" s="63"/>
    </row>
    <row r="233" spans="1:18" x14ac:dyDescent="0.25">
      <c r="A233" s="3">
        <f t="shared" si="14"/>
        <v>74</v>
      </c>
      <c r="B233" s="4"/>
      <c r="C233" s="9"/>
      <c r="D233" s="359"/>
      <c r="E233" s="478"/>
      <c r="F233" s="359"/>
      <c r="G233" s="478"/>
      <c r="H233" s="359"/>
      <c r="I233" s="478"/>
      <c r="J233" s="359"/>
      <c r="K233" s="478"/>
      <c r="L233" s="359"/>
      <c r="M233" s="478"/>
      <c r="N233" s="561"/>
      <c r="O233" s="47"/>
      <c r="P233" s="338"/>
      <c r="R233" s="63"/>
    </row>
    <row r="234" spans="1:18" x14ac:dyDescent="0.25">
      <c r="A234" s="3">
        <f t="shared" ref="A234:A243" si="16">A233+1</f>
        <v>75</v>
      </c>
      <c r="B234" s="4"/>
      <c r="C234" s="9"/>
      <c r="D234" s="359"/>
      <c r="E234" s="478"/>
      <c r="F234" s="359"/>
      <c r="G234" s="478"/>
      <c r="H234" s="359"/>
      <c r="I234" s="478"/>
      <c r="J234" s="359"/>
      <c r="K234" s="478"/>
      <c r="L234" s="359"/>
      <c r="M234" s="478"/>
      <c r="N234" s="561"/>
      <c r="O234" s="8"/>
      <c r="P234" s="338"/>
      <c r="R234" s="63"/>
    </row>
    <row r="235" spans="1:18" x14ac:dyDescent="0.25">
      <c r="A235" s="3">
        <f t="shared" si="16"/>
        <v>76</v>
      </c>
      <c r="B235" s="4"/>
      <c r="C235" s="9"/>
      <c r="D235" s="369"/>
      <c r="E235" s="481"/>
      <c r="F235" s="369"/>
      <c r="G235" s="481"/>
      <c r="H235" s="369"/>
      <c r="I235" s="481"/>
      <c r="J235" s="369"/>
      <c r="K235" s="481"/>
      <c r="L235" s="369"/>
      <c r="M235" s="481"/>
      <c r="N235" s="565"/>
      <c r="O235" s="8">
        <f t="shared" ref="O235:O298" si="17">SUM(C235:N235)</f>
        <v>0</v>
      </c>
      <c r="P235" s="338"/>
      <c r="R235" s="63"/>
    </row>
    <row r="236" spans="1:18" x14ac:dyDescent="0.25">
      <c r="A236" s="3">
        <f t="shared" si="16"/>
        <v>77</v>
      </c>
      <c r="B236" s="4"/>
      <c r="C236" s="9"/>
      <c r="D236" s="359"/>
      <c r="E236" s="478"/>
      <c r="F236" s="359"/>
      <c r="G236" s="478"/>
      <c r="H236" s="359"/>
      <c r="I236" s="478"/>
      <c r="J236" s="359"/>
      <c r="K236" s="478"/>
      <c r="L236" s="359"/>
      <c r="M236" s="478"/>
      <c r="N236" s="561"/>
      <c r="O236" s="8">
        <f t="shared" si="17"/>
        <v>0</v>
      </c>
      <c r="P236" s="338"/>
      <c r="R236" s="63"/>
    </row>
    <row r="237" spans="1:18" x14ac:dyDescent="0.25">
      <c r="A237" s="3">
        <f t="shared" si="16"/>
        <v>78</v>
      </c>
      <c r="B237" s="4"/>
      <c r="C237" s="8"/>
      <c r="D237" s="369"/>
      <c r="E237" s="481"/>
      <c r="F237" s="369"/>
      <c r="G237" s="481"/>
      <c r="H237" s="369"/>
      <c r="I237" s="481"/>
      <c r="J237" s="369"/>
      <c r="K237" s="481"/>
      <c r="L237" s="369"/>
      <c r="M237" s="481"/>
      <c r="N237" s="565"/>
      <c r="O237" s="8">
        <f t="shared" si="17"/>
        <v>0</v>
      </c>
      <c r="P237" s="338"/>
      <c r="Q237" s="10"/>
      <c r="R237" s="63"/>
    </row>
    <row r="238" spans="1:18" x14ac:dyDescent="0.25">
      <c r="A238" s="3">
        <f t="shared" si="16"/>
        <v>79</v>
      </c>
      <c r="B238" s="4"/>
      <c r="C238" s="8"/>
      <c r="D238" s="359"/>
      <c r="E238" s="478"/>
      <c r="F238" s="359"/>
      <c r="G238" s="478"/>
      <c r="H238" s="359"/>
      <c r="I238" s="478"/>
      <c r="J238" s="359"/>
      <c r="K238" s="478"/>
      <c r="L238" s="359"/>
      <c r="M238" s="478"/>
      <c r="N238" s="561"/>
      <c r="O238" s="8">
        <f t="shared" si="17"/>
        <v>0</v>
      </c>
      <c r="P238" s="338"/>
      <c r="Q238" s="10"/>
      <c r="R238" s="63"/>
    </row>
    <row r="239" spans="1:18" x14ac:dyDescent="0.25">
      <c r="A239" s="3">
        <f t="shared" si="16"/>
        <v>80</v>
      </c>
      <c r="B239" s="4"/>
      <c r="C239" s="8"/>
      <c r="D239" s="359"/>
      <c r="E239" s="478"/>
      <c r="F239" s="359"/>
      <c r="G239" s="478"/>
      <c r="H239" s="359"/>
      <c r="I239" s="478"/>
      <c r="J239" s="359"/>
      <c r="K239" s="478"/>
      <c r="L239" s="359"/>
      <c r="M239" s="478"/>
      <c r="N239" s="561"/>
      <c r="O239" s="8">
        <f t="shared" si="17"/>
        <v>0</v>
      </c>
      <c r="P239" s="338"/>
      <c r="Q239" s="10"/>
      <c r="R239" s="63"/>
    </row>
    <row r="240" spans="1:18" x14ac:dyDescent="0.25">
      <c r="A240" s="3">
        <f t="shared" si="16"/>
        <v>81</v>
      </c>
      <c r="B240" s="4"/>
      <c r="C240" s="8"/>
      <c r="D240" s="359"/>
      <c r="E240" s="478"/>
      <c r="F240" s="359"/>
      <c r="G240" s="478"/>
      <c r="H240" s="359"/>
      <c r="I240" s="478"/>
      <c r="J240" s="359"/>
      <c r="K240" s="478"/>
      <c r="L240" s="359"/>
      <c r="M240" s="478"/>
      <c r="N240" s="561"/>
      <c r="O240" s="8">
        <f t="shared" si="17"/>
        <v>0</v>
      </c>
      <c r="P240" s="338"/>
      <c r="Q240" s="10"/>
      <c r="R240" s="63"/>
    </row>
    <row r="241" spans="1:18" x14ac:dyDescent="0.25">
      <c r="A241" s="3">
        <f t="shared" si="16"/>
        <v>82</v>
      </c>
      <c r="B241" s="4"/>
      <c r="C241" s="9"/>
      <c r="D241" s="369"/>
      <c r="E241" s="481"/>
      <c r="F241" s="369"/>
      <c r="G241" s="481"/>
      <c r="H241" s="369"/>
      <c r="I241" s="481"/>
      <c r="J241" s="369"/>
      <c r="K241" s="481"/>
      <c r="L241" s="369"/>
      <c r="M241" s="481"/>
      <c r="N241" s="565"/>
      <c r="O241" s="8">
        <f t="shared" si="17"/>
        <v>0</v>
      </c>
      <c r="P241" s="338"/>
      <c r="Q241" s="10"/>
      <c r="R241" s="63"/>
    </row>
    <row r="242" spans="1:18" x14ac:dyDescent="0.25">
      <c r="A242" s="3">
        <f t="shared" si="16"/>
        <v>83</v>
      </c>
      <c r="B242" s="4"/>
      <c r="C242" s="9"/>
      <c r="D242" s="369"/>
      <c r="E242" s="481"/>
      <c r="F242" s="369"/>
      <c r="G242" s="481"/>
      <c r="H242" s="369"/>
      <c r="I242" s="481"/>
      <c r="J242" s="369"/>
      <c r="K242" s="481"/>
      <c r="L242" s="369"/>
      <c r="M242" s="481"/>
      <c r="N242" s="565"/>
      <c r="O242" s="8">
        <f t="shared" si="17"/>
        <v>0</v>
      </c>
      <c r="P242" s="338"/>
      <c r="Q242" s="10"/>
      <c r="R242" s="63"/>
    </row>
    <row r="243" spans="1:18" x14ac:dyDescent="0.25">
      <c r="A243" s="3">
        <f t="shared" si="16"/>
        <v>84</v>
      </c>
      <c r="B243" s="4"/>
      <c r="C243" s="8"/>
      <c r="D243" s="369"/>
      <c r="E243" s="481"/>
      <c r="F243" s="369"/>
      <c r="G243" s="481"/>
      <c r="H243" s="369"/>
      <c r="I243" s="481"/>
      <c r="J243" s="369"/>
      <c r="K243" s="481"/>
      <c r="L243" s="369"/>
      <c r="M243" s="481"/>
      <c r="N243" s="565"/>
      <c r="O243" s="8">
        <f t="shared" si="17"/>
        <v>0</v>
      </c>
      <c r="P243" s="338"/>
      <c r="Q243" s="10"/>
      <c r="R243" s="63"/>
    </row>
    <row r="244" spans="1:18" x14ac:dyDescent="0.25">
      <c r="A244" s="3"/>
      <c r="B244" s="4"/>
      <c r="C244" s="8"/>
      <c r="D244" s="359"/>
      <c r="E244" s="478"/>
      <c r="F244" s="359"/>
      <c r="G244" s="478"/>
      <c r="H244" s="359"/>
      <c r="I244" s="478"/>
      <c r="J244" s="359"/>
      <c r="K244" s="478"/>
      <c r="L244" s="359"/>
      <c r="M244" s="478"/>
      <c r="N244" s="561"/>
      <c r="O244" s="8">
        <f t="shared" si="17"/>
        <v>0</v>
      </c>
      <c r="P244" s="338"/>
      <c r="Q244" s="10"/>
      <c r="R244" s="63"/>
    </row>
    <row r="245" spans="1:18" x14ac:dyDescent="0.25">
      <c r="A245" s="3"/>
      <c r="B245" s="4"/>
      <c r="C245" s="9"/>
      <c r="D245" s="369"/>
      <c r="E245" s="481"/>
      <c r="F245" s="369"/>
      <c r="G245" s="481"/>
      <c r="H245" s="369"/>
      <c r="I245" s="481"/>
      <c r="J245" s="369"/>
      <c r="K245" s="481"/>
      <c r="L245" s="369"/>
      <c r="M245" s="481"/>
      <c r="N245" s="565"/>
      <c r="O245" s="8">
        <f t="shared" si="17"/>
        <v>0</v>
      </c>
      <c r="P245" s="338"/>
      <c r="Q245" s="10"/>
      <c r="R245" s="63"/>
    </row>
    <row r="246" spans="1:18" x14ac:dyDescent="0.25">
      <c r="A246" s="13">
        <v>1</v>
      </c>
      <c r="B246" s="4"/>
      <c r="C246" s="9"/>
      <c r="D246" s="369"/>
      <c r="E246" s="481"/>
      <c r="F246" s="369"/>
      <c r="G246" s="481"/>
      <c r="H246" s="369"/>
      <c r="I246" s="481"/>
      <c r="J246" s="369"/>
      <c r="K246" s="481"/>
      <c r="L246" s="369"/>
      <c r="M246" s="481"/>
      <c r="N246" s="565"/>
      <c r="O246" s="8">
        <f t="shared" si="17"/>
        <v>0</v>
      </c>
      <c r="P246" s="338"/>
      <c r="Q246" s="10"/>
      <c r="R246" s="64"/>
    </row>
    <row r="247" spans="1:18" x14ac:dyDescent="0.25">
      <c r="A247" s="13">
        <f t="shared" ref="A247:A310" si="18">A246+1</f>
        <v>2</v>
      </c>
      <c r="B247" s="4"/>
      <c r="C247" s="9"/>
      <c r="D247" s="369"/>
      <c r="E247" s="481"/>
      <c r="F247" s="369"/>
      <c r="G247" s="481"/>
      <c r="H247" s="369"/>
      <c r="I247" s="481"/>
      <c r="J247" s="369"/>
      <c r="K247" s="481"/>
      <c r="L247" s="369"/>
      <c r="M247" s="481"/>
      <c r="N247" s="565"/>
      <c r="O247" s="8">
        <f t="shared" si="17"/>
        <v>0</v>
      </c>
      <c r="P247" s="338"/>
      <c r="Q247" s="10"/>
      <c r="R247" s="63"/>
    </row>
    <row r="248" spans="1:18" x14ac:dyDescent="0.25">
      <c r="A248" s="13">
        <f t="shared" si="18"/>
        <v>3</v>
      </c>
      <c r="B248" s="4"/>
      <c r="C248" s="9"/>
      <c r="D248" s="369"/>
      <c r="E248" s="481"/>
      <c r="F248" s="369"/>
      <c r="G248" s="481"/>
      <c r="H248" s="369"/>
      <c r="I248" s="481"/>
      <c r="J248" s="369"/>
      <c r="K248" s="481"/>
      <c r="L248" s="369"/>
      <c r="M248" s="481"/>
      <c r="N248" s="565"/>
      <c r="O248" s="8">
        <f t="shared" si="17"/>
        <v>0</v>
      </c>
      <c r="P248" s="338"/>
      <c r="Q248" s="10"/>
      <c r="R248" s="63"/>
    </row>
    <row r="249" spans="1:18" x14ac:dyDescent="0.25">
      <c r="A249" s="13">
        <f t="shared" si="18"/>
        <v>4</v>
      </c>
      <c r="B249" s="4"/>
      <c r="C249" s="9"/>
      <c r="D249" s="359"/>
      <c r="E249" s="478"/>
      <c r="F249" s="359"/>
      <c r="G249" s="478"/>
      <c r="H249" s="359"/>
      <c r="I249" s="478"/>
      <c r="J249" s="359"/>
      <c r="K249" s="478"/>
      <c r="L249" s="359"/>
      <c r="M249" s="478"/>
      <c r="N249" s="561"/>
      <c r="O249" s="8">
        <f t="shared" si="17"/>
        <v>0</v>
      </c>
      <c r="P249" s="338"/>
      <c r="Q249" s="10"/>
      <c r="R249" s="63"/>
    </row>
    <row r="250" spans="1:18" x14ac:dyDescent="0.25">
      <c r="A250" s="13">
        <f t="shared" si="18"/>
        <v>5</v>
      </c>
      <c r="B250" s="4"/>
      <c r="C250" s="8"/>
      <c r="D250" s="369"/>
      <c r="E250" s="481"/>
      <c r="F250" s="369"/>
      <c r="G250" s="481"/>
      <c r="H250" s="369"/>
      <c r="I250" s="481"/>
      <c r="J250" s="369"/>
      <c r="K250" s="481"/>
      <c r="L250" s="369"/>
      <c r="M250" s="481"/>
      <c r="N250" s="565"/>
      <c r="O250" s="8">
        <f t="shared" si="17"/>
        <v>0</v>
      </c>
      <c r="P250" s="338"/>
      <c r="Q250" s="10"/>
      <c r="R250" s="63"/>
    </row>
    <row r="251" spans="1:18" x14ac:dyDescent="0.25">
      <c r="A251" s="13">
        <f t="shared" si="18"/>
        <v>6</v>
      </c>
      <c r="B251" s="4"/>
      <c r="C251" s="9"/>
      <c r="D251" s="359"/>
      <c r="E251" s="478"/>
      <c r="F251" s="359"/>
      <c r="G251" s="478"/>
      <c r="H251" s="359"/>
      <c r="I251" s="478"/>
      <c r="J251" s="359"/>
      <c r="K251" s="478"/>
      <c r="L251" s="359"/>
      <c r="M251" s="478"/>
      <c r="N251" s="561"/>
      <c r="O251" s="8">
        <f t="shared" si="17"/>
        <v>0</v>
      </c>
      <c r="P251" s="338"/>
      <c r="Q251" s="10"/>
      <c r="R251" s="63"/>
    </row>
    <row r="252" spans="1:18" x14ac:dyDescent="0.25">
      <c r="A252" s="13">
        <f t="shared" si="18"/>
        <v>7</v>
      </c>
      <c r="B252" s="4"/>
      <c r="C252" s="9"/>
      <c r="D252" s="369"/>
      <c r="E252" s="481"/>
      <c r="F252" s="369"/>
      <c r="G252" s="481"/>
      <c r="H252" s="369"/>
      <c r="I252" s="481"/>
      <c r="J252" s="369"/>
      <c r="K252" s="481"/>
      <c r="L252" s="369"/>
      <c r="M252" s="481"/>
      <c r="N252" s="565"/>
      <c r="O252" s="8">
        <f t="shared" si="17"/>
        <v>0</v>
      </c>
      <c r="P252" s="338"/>
      <c r="Q252" s="10"/>
      <c r="R252" s="63"/>
    </row>
    <row r="253" spans="1:18" x14ac:dyDescent="0.25">
      <c r="A253" s="13">
        <f t="shared" si="18"/>
        <v>8</v>
      </c>
      <c r="B253" s="4"/>
      <c r="C253" s="9"/>
      <c r="D253" s="369"/>
      <c r="E253" s="481"/>
      <c r="F253" s="369"/>
      <c r="G253" s="481"/>
      <c r="H253" s="369"/>
      <c r="I253" s="481"/>
      <c r="J253" s="369"/>
      <c r="K253" s="481"/>
      <c r="L253" s="369"/>
      <c r="M253" s="481"/>
      <c r="N253" s="565"/>
      <c r="O253" s="8">
        <f t="shared" si="17"/>
        <v>0</v>
      </c>
      <c r="P253" s="338"/>
      <c r="Q253" s="10"/>
      <c r="R253" s="63"/>
    </row>
    <row r="254" spans="1:18" x14ac:dyDescent="0.25">
      <c r="A254" s="13">
        <f t="shared" si="18"/>
        <v>9</v>
      </c>
      <c r="B254" s="4"/>
      <c r="C254" s="9"/>
      <c r="D254" s="369"/>
      <c r="E254" s="481"/>
      <c r="F254" s="369"/>
      <c r="G254" s="481"/>
      <c r="H254" s="369"/>
      <c r="I254" s="481"/>
      <c r="J254" s="369"/>
      <c r="K254" s="481"/>
      <c r="L254" s="369"/>
      <c r="M254" s="481"/>
      <c r="N254" s="565"/>
      <c r="O254" s="8">
        <f t="shared" si="17"/>
        <v>0</v>
      </c>
      <c r="P254" s="338"/>
      <c r="Q254" s="10"/>
      <c r="R254" s="63"/>
    </row>
    <row r="255" spans="1:18" x14ac:dyDescent="0.25">
      <c r="A255" s="13">
        <f t="shared" si="18"/>
        <v>10</v>
      </c>
      <c r="B255" s="4"/>
      <c r="C255" s="9"/>
      <c r="D255" s="369"/>
      <c r="E255" s="481"/>
      <c r="F255" s="369"/>
      <c r="G255" s="481"/>
      <c r="H255" s="369"/>
      <c r="I255" s="481"/>
      <c r="J255" s="369"/>
      <c r="K255" s="481"/>
      <c r="L255" s="369"/>
      <c r="M255" s="481"/>
      <c r="N255" s="565"/>
      <c r="O255" s="8">
        <f t="shared" si="17"/>
        <v>0</v>
      </c>
      <c r="P255" s="338"/>
      <c r="Q255" s="10"/>
      <c r="R255" s="63"/>
    </row>
    <row r="256" spans="1:18" x14ac:dyDescent="0.25">
      <c r="A256" s="13">
        <f t="shared" si="18"/>
        <v>11</v>
      </c>
      <c r="B256" s="4"/>
      <c r="C256" s="9"/>
      <c r="D256" s="369"/>
      <c r="E256" s="481"/>
      <c r="F256" s="369"/>
      <c r="G256" s="481"/>
      <c r="H256" s="369"/>
      <c r="I256" s="481"/>
      <c r="J256" s="369"/>
      <c r="K256" s="481"/>
      <c r="L256" s="369"/>
      <c r="M256" s="481"/>
      <c r="N256" s="565"/>
      <c r="O256" s="8">
        <f t="shared" si="17"/>
        <v>0</v>
      </c>
      <c r="P256" s="338"/>
      <c r="Q256" s="10"/>
      <c r="R256" s="63"/>
    </row>
    <row r="257" spans="1:18" x14ac:dyDescent="0.25">
      <c r="A257" s="13">
        <f t="shared" si="18"/>
        <v>12</v>
      </c>
      <c r="B257" s="4"/>
      <c r="C257" s="9"/>
      <c r="D257" s="359"/>
      <c r="E257" s="478"/>
      <c r="F257" s="359"/>
      <c r="G257" s="478"/>
      <c r="H257" s="359"/>
      <c r="I257" s="478"/>
      <c r="J257" s="359"/>
      <c r="K257" s="478"/>
      <c r="L257" s="359"/>
      <c r="M257" s="478"/>
      <c r="N257" s="561"/>
      <c r="O257" s="8">
        <f t="shared" si="17"/>
        <v>0</v>
      </c>
      <c r="P257" s="338"/>
      <c r="Q257" s="10"/>
      <c r="R257" s="63"/>
    </row>
    <row r="258" spans="1:18" x14ac:dyDescent="0.25">
      <c r="A258" s="13">
        <f t="shared" si="18"/>
        <v>13</v>
      </c>
      <c r="B258" s="4"/>
      <c r="C258" s="9"/>
      <c r="D258" s="369"/>
      <c r="E258" s="481"/>
      <c r="F258" s="369"/>
      <c r="G258" s="481"/>
      <c r="H258" s="369"/>
      <c r="I258" s="481"/>
      <c r="J258" s="369"/>
      <c r="K258" s="481"/>
      <c r="L258" s="369"/>
      <c r="M258" s="481"/>
      <c r="N258" s="565"/>
      <c r="O258" s="8">
        <f t="shared" si="17"/>
        <v>0</v>
      </c>
      <c r="P258" s="338"/>
      <c r="Q258" s="10"/>
      <c r="R258" s="63"/>
    </row>
    <row r="259" spans="1:18" x14ac:dyDescent="0.25">
      <c r="A259" s="13">
        <f t="shared" si="18"/>
        <v>14</v>
      </c>
      <c r="B259" s="4"/>
      <c r="C259" s="9"/>
      <c r="D259" s="369"/>
      <c r="E259" s="481"/>
      <c r="F259" s="369"/>
      <c r="G259" s="481"/>
      <c r="H259" s="369"/>
      <c r="I259" s="481"/>
      <c r="J259" s="369"/>
      <c r="K259" s="481"/>
      <c r="L259" s="369"/>
      <c r="M259" s="481"/>
      <c r="N259" s="565"/>
      <c r="O259" s="8">
        <f t="shared" si="17"/>
        <v>0</v>
      </c>
      <c r="P259" s="338"/>
      <c r="Q259" s="10"/>
      <c r="R259" s="63"/>
    </row>
    <row r="260" spans="1:18" x14ac:dyDescent="0.25">
      <c r="A260" s="13">
        <f t="shared" si="18"/>
        <v>15</v>
      </c>
      <c r="B260" s="4"/>
      <c r="C260" s="9"/>
      <c r="D260" s="369"/>
      <c r="E260" s="481"/>
      <c r="F260" s="369"/>
      <c r="G260" s="481"/>
      <c r="H260" s="369"/>
      <c r="I260" s="481"/>
      <c r="J260" s="369"/>
      <c r="K260" s="481"/>
      <c r="L260" s="369"/>
      <c r="M260" s="481"/>
      <c r="N260" s="565"/>
      <c r="O260" s="8">
        <f t="shared" si="17"/>
        <v>0</v>
      </c>
      <c r="P260" s="338"/>
      <c r="Q260" s="10"/>
      <c r="R260" s="63"/>
    </row>
    <row r="261" spans="1:18" x14ac:dyDescent="0.25">
      <c r="A261" s="13">
        <f t="shared" si="18"/>
        <v>16</v>
      </c>
      <c r="B261" s="4"/>
      <c r="C261" s="8"/>
      <c r="D261" s="369"/>
      <c r="E261" s="481"/>
      <c r="F261" s="369"/>
      <c r="G261" s="481"/>
      <c r="H261" s="369"/>
      <c r="I261" s="481"/>
      <c r="J261" s="369"/>
      <c r="K261" s="481"/>
      <c r="L261" s="369"/>
      <c r="M261" s="481"/>
      <c r="N261" s="565"/>
      <c r="O261" s="8">
        <f t="shared" si="17"/>
        <v>0</v>
      </c>
      <c r="P261" s="338"/>
      <c r="Q261" s="10"/>
      <c r="R261" s="63"/>
    </row>
    <row r="262" spans="1:18" x14ac:dyDescent="0.25">
      <c r="A262" s="13">
        <f t="shared" si="18"/>
        <v>17</v>
      </c>
      <c r="B262" s="4"/>
      <c r="C262" s="8"/>
      <c r="D262" s="359"/>
      <c r="E262" s="478"/>
      <c r="F262" s="359"/>
      <c r="G262" s="478"/>
      <c r="H262" s="359"/>
      <c r="I262" s="478"/>
      <c r="J262" s="359"/>
      <c r="K262" s="478"/>
      <c r="L262" s="359"/>
      <c r="M262" s="478"/>
      <c r="N262" s="561"/>
      <c r="O262" s="8">
        <f t="shared" si="17"/>
        <v>0</v>
      </c>
      <c r="P262" s="338"/>
      <c r="Q262" s="10"/>
      <c r="R262" s="63"/>
    </row>
    <row r="263" spans="1:18" x14ac:dyDescent="0.25">
      <c r="A263" s="13">
        <f t="shared" si="18"/>
        <v>18</v>
      </c>
      <c r="B263" s="4"/>
      <c r="C263" s="8"/>
      <c r="D263" s="369"/>
      <c r="E263" s="481"/>
      <c r="F263" s="369"/>
      <c r="G263" s="481"/>
      <c r="H263" s="369"/>
      <c r="I263" s="481"/>
      <c r="J263" s="369"/>
      <c r="K263" s="481"/>
      <c r="L263" s="369"/>
      <c r="M263" s="481"/>
      <c r="N263" s="565"/>
      <c r="O263" s="8">
        <f t="shared" si="17"/>
        <v>0</v>
      </c>
      <c r="P263" s="338"/>
      <c r="Q263" s="10"/>
      <c r="R263" s="63"/>
    </row>
    <row r="264" spans="1:18" x14ac:dyDescent="0.25">
      <c r="A264" s="13">
        <f t="shared" si="18"/>
        <v>19</v>
      </c>
      <c r="B264" s="4"/>
      <c r="C264" s="9"/>
      <c r="D264" s="369"/>
      <c r="E264" s="481"/>
      <c r="F264" s="369"/>
      <c r="G264" s="481"/>
      <c r="H264" s="369"/>
      <c r="I264" s="481"/>
      <c r="J264" s="369"/>
      <c r="K264" s="481"/>
      <c r="L264" s="369"/>
      <c r="M264" s="481"/>
      <c r="N264" s="565"/>
      <c r="O264" s="8">
        <f t="shared" si="17"/>
        <v>0</v>
      </c>
      <c r="P264" s="338"/>
      <c r="Q264" s="10"/>
      <c r="R264" s="63"/>
    </row>
    <row r="265" spans="1:18" x14ac:dyDescent="0.25">
      <c r="A265" s="13">
        <f t="shared" si="18"/>
        <v>20</v>
      </c>
      <c r="B265" s="4"/>
      <c r="C265" s="9"/>
      <c r="D265" s="359"/>
      <c r="E265" s="478"/>
      <c r="F265" s="359"/>
      <c r="G265" s="478"/>
      <c r="H265" s="359"/>
      <c r="I265" s="478"/>
      <c r="J265" s="359"/>
      <c r="K265" s="478"/>
      <c r="L265" s="359"/>
      <c r="M265" s="478"/>
      <c r="N265" s="561"/>
      <c r="O265" s="8">
        <f t="shared" si="17"/>
        <v>0</v>
      </c>
      <c r="P265" s="338"/>
      <c r="Q265" s="10"/>
      <c r="R265" s="63"/>
    </row>
    <row r="266" spans="1:18" x14ac:dyDescent="0.25">
      <c r="A266" s="13">
        <f t="shared" si="18"/>
        <v>21</v>
      </c>
      <c r="B266" s="4"/>
      <c r="C266" s="8"/>
      <c r="D266" s="369"/>
      <c r="E266" s="481"/>
      <c r="F266" s="369"/>
      <c r="G266" s="481"/>
      <c r="H266" s="369"/>
      <c r="I266" s="481"/>
      <c r="J266" s="369"/>
      <c r="K266" s="481"/>
      <c r="L266" s="369"/>
      <c r="M266" s="481"/>
      <c r="N266" s="565"/>
      <c r="O266" s="8">
        <f t="shared" si="17"/>
        <v>0</v>
      </c>
      <c r="P266" s="338"/>
      <c r="Q266" s="10"/>
      <c r="R266" s="63"/>
    </row>
    <row r="267" spans="1:18" x14ac:dyDescent="0.25">
      <c r="A267" s="13">
        <f t="shared" si="18"/>
        <v>22</v>
      </c>
      <c r="B267" s="4"/>
      <c r="C267" s="9"/>
      <c r="D267" s="369"/>
      <c r="E267" s="481"/>
      <c r="F267" s="369"/>
      <c r="G267" s="481"/>
      <c r="H267" s="369"/>
      <c r="I267" s="481"/>
      <c r="J267" s="369"/>
      <c r="K267" s="481"/>
      <c r="L267" s="369"/>
      <c r="M267" s="481"/>
      <c r="N267" s="565"/>
      <c r="O267" s="8">
        <f t="shared" si="17"/>
        <v>0</v>
      </c>
      <c r="P267" s="338"/>
      <c r="Q267" s="10"/>
      <c r="R267" s="63"/>
    </row>
    <row r="268" spans="1:18" x14ac:dyDescent="0.25">
      <c r="A268" s="13">
        <f t="shared" si="18"/>
        <v>23</v>
      </c>
      <c r="B268" s="4"/>
      <c r="C268" s="9"/>
      <c r="D268" s="359"/>
      <c r="E268" s="478"/>
      <c r="F268" s="359"/>
      <c r="G268" s="478"/>
      <c r="H268" s="359"/>
      <c r="I268" s="478"/>
      <c r="J268" s="359"/>
      <c r="K268" s="478"/>
      <c r="L268" s="359"/>
      <c r="M268" s="478"/>
      <c r="N268" s="561"/>
      <c r="O268" s="8">
        <f t="shared" si="17"/>
        <v>0</v>
      </c>
      <c r="P268" s="338"/>
      <c r="Q268" s="10"/>
      <c r="R268" s="63"/>
    </row>
    <row r="269" spans="1:18" x14ac:dyDescent="0.25">
      <c r="A269" s="13">
        <f t="shared" si="18"/>
        <v>24</v>
      </c>
      <c r="B269" s="4"/>
      <c r="C269" s="9"/>
      <c r="D269" s="369"/>
      <c r="E269" s="481"/>
      <c r="F269" s="369"/>
      <c r="G269" s="481"/>
      <c r="H269" s="369"/>
      <c r="I269" s="481"/>
      <c r="J269" s="369"/>
      <c r="K269" s="481"/>
      <c r="L269" s="369"/>
      <c r="M269" s="481"/>
      <c r="N269" s="565"/>
      <c r="O269" s="8">
        <f t="shared" si="17"/>
        <v>0</v>
      </c>
      <c r="P269" s="338"/>
      <c r="Q269" s="10"/>
      <c r="R269" s="63"/>
    </row>
    <row r="270" spans="1:18" x14ac:dyDescent="0.25">
      <c r="A270" s="13">
        <f t="shared" si="18"/>
        <v>25</v>
      </c>
      <c r="B270" s="4"/>
      <c r="C270" s="9"/>
      <c r="D270" s="369"/>
      <c r="E270" s="481"/>
      <c r="F270" s="369"/>
      <c r="G270" s="481"/>
      <c r="H270" s="369"/>
      <c r="I270" s="481"/>
      <c r="J270" s="369"/>
      <c r="K270" s="481"/>
      <c r="L270" s="369"/>
      <c r="M270" s="481"/>
      <c r="N270" s="565"/>
      <c r="O270" s="8">
        <f t="shared" si="17"/>
        <v>0</v>
      </c>
      <c r="P270" s="338"/>
      <c r="Q270" s="10"/>
      <c r="R270" s="63"/>
    </row>
    <row r="271" spans="1:18" x14ac:dyDescent="0.25">
      <c r="A271" s="13">
        <f t="shared" si="18"/>
        <v>26</v>
      </c>
      <c r="B271" s="4"/>
      <c r="C271" s="9"/>
      <c r="D271" s="369"/>
      <c r="E271" s="481"/>
      <c r="F271" s="369"/>
      <c r="G271" s="481"/>
      <c r="H271" s="369"/>
      <c r="I271" s="481"/>
      <c r="J271" s="369"/>
      <c r="K271" s="481"/>
      <c r="L271" s="369"/>
      <c r="M271" s="481"/>
      <c r="N271" s="565"/>
      <c r="O271" s="8">
        <f t="shared" si="17"/>
        <v>0</v>
      </c>
      <c r="P271" s="338"/>
      <c r="Q271" s="10"/>
      <c r="R271" s="63"/>
    </row>
    <row r="272" spans="1:18" x14ac:dyDescent="0.25">
      <c r="A272" s="13">
        <f t="shared" si="18"/>
        <v>27</v>
      </c>
      <c r="B272" s="4"/>
      <c r="C272" s="8"/>
      <c r="D272" s="369"/>
      <c r="E272" s="481"/>
      <c r="F272" s="369"/>
      <c r="G272" s="481"/>
      <c r="H272" s="369"/>
      <c r="I272" s="481"/>
      <c r="J272" s="369"/>
      <c r="K272" s="481"/>
      <c r="L272" s="369"/>
      <c r="M272" s="481"/>
      <c r="N272" s="565"/>
      <c r="O272" s="8">
        <f t="shared" si="17"/>
        <v>0</v>
      </c>
      <c r="P272" s="338"/>
      <c r="Q272" s="10"/>
      <c r="R272" s="63"/>
    </row>
    <row r="273" spans="1:18" x14ac:dyDescent="0.25">
      <c r="A273" s="13">
        <f t="shared" si="18"/>
        <v>28</v>
      </c>
      <c r="B273" s="4"/>
      <c r="C273" s="9"/>
      <c r="D273" s="359"/>
      <c r="E273" s="478"/>
      <c r="F273" s="359"/>
      <c r="G273" s="478"/>
      <c r="H273" s="359"/>
      <c r="I273" s="478"/>
      <c r="J273" s="359"/>
      <c r="K273" s="478"/>
      <c r="L273" s="359"/>
      <c r="M273" s="478"/>
      <c r="N273" s="561"/>
      <c r="O273" s="8">
        <f t="shared" si="17"/>
        <v>0</v>
      </c>
      <c r="P273" s="338"/>
      <c r="Q273" s="10"/>
      <c r="R273" s="63"/>
    </row>
    <row r="274" spans="1:18" x14ac:dyDescent="0.25">
      <c r="A274" s="13">
        <f t="shared" si="18"/>
        <v>29</v>
      </c>
      <c r="B274" s="4"/>
      <c r="C274" s="9"/>
      <c r="D274" s="369"/>
      <c r="E274" s="481"/>
      <c r="F274" s="369"/>
      <c r="G274" s="481"/>
      <c r="H274" s="369"/>
      <c r="I274" s="481"/>
      <c r="J274" s="369"/>
      <c r="K274" s="481"/>
      <c r="L274" s="369"/>
      <c r="M274" s="481"/>
      <c r="N274" s="565"/>
      <c r="O274" s="8">
        <f t="shared" si="17"/>
        <v>0</v>
      </c>
      <c r="P274" s="338"/>
      <c r="Q274" s="10"/>
      <c r="R274" s="63"/>
    </row>
    <row r="275" spans="1:18" x14ac:dyDescent="0.25">
      <c r="A275" s="13">
        <f t="shared" si="18"/>
        <v>30</v>
      </c>
      <c r="B275" s="4"/>
      <c r="C275" s="9"/>
      <c r="D275" s="369"/>
      <c r="E275" s="481"/>
      <c r="F275" s="369"/>
      <c r="G275" s="481"/>
      <c r="H275" s="369"/>
      <c r="I275" s="481"/>
      <c r="J275" s="369"/>
      <c r="K275" s="481"/>
      <c r="L275" s="369"/>
      <c r="M275" s="481"/>
      <c r="N275" s="565"/>
      <c r="O275" s="8">
        <f t="shared" si="17"/>
        <v>0</v>
      </c>
      <c r="P275" s="338"/>
      <c r="Q275" s="10"/>
      <c r="R275" s="63"/>
    </row>
    <row r="276" spans="1:18" x14ac:dyDescent="0.25">
      <c r="A276" s="13">
        <f t="shared" si="18"/>
        <v>31</v>
      </c>
      <c r="B276" s="4"/>
      <c r="C276" s="9"/>
      <c r="D276" s="369"/>
      <c r="E276" s="481"/>
      <c r="F276" s="369"/>
      <c r="G276" s="481"/>
      <c r="H276" s="369"/>
      <c r="I276" s="481"/>
      <c r="J276" s="369"/>
      <c r="K276" s="481"/>
      <c r="L276" s="369"/>
      <c r="M276" s="481"/>
      <c r="N276" s="565"/>
      <c r="O276" s="8">
        <f t="shared" si="17"/>
        <v>0</v>
      </c>
      <c r="P276" s="338"/>
      <c r="Q276" s="10"/>
      <c r="R276" s="63"/>
    </row>
    <row r="277" spans="1:18" x14ac:dyDescent="0.25">
      <c r="A277" s="13">
        <f t="shared" si="18"/>
        <v>32</v>
      </c>
      <c r="B277" s="4"/>
      <c r="C277" s="9"/>
      <c r="D277" s="369"/>
      <c r="E277" s="481"/>
      <c r="F277" s="369"/>
      <c r="G277" s="481"/>
      <c r="H277" s="369"/>
      <c r="I277" s="481"/>
      <c r="J277" s="369"/>
      <c r="K277" s="481"/>
      <c r="L277" s="369"/>
      <c r="M277" s="481"/>
      <c r="N277" s="565"/>
      <c r="O277" s="8">
        <f t="shared" si="17"/>
        <v>0</v>
      </c>
      <c r="P277" s="338"/>
      <c r="Q277" s="10"/>
      <c r="R277" s="63"/>
    </row>
    <row r="278" spans="1:18" x14ac:dyDescent="0.25">
      <c r="A278" s="13">
        <f t="shared" si="18"/>
        <v>33</v>
      </c>
      <c r="B278" s="4"/>
      <c r="C278" s="9"/>
      <c r="D278" s="359"/>
      <c r="E278" s="478"/>
      <c r="F278" s="359"/>
      <c r="G278" s="478"/>
      <c r="H278" s="359"/>
      <c r="I278" s="478"/>
      <c r="J278" s="359"/>
      <c r="K278" s="478"/>
      <c r="L278" s="359"/>
      <c r="M278" s="478"/>
      <c r="N278" s="561"/>
      <c r="O278" s="8">
        <f t="shared" si="17"/>
        <v>0</v>
      </c>
      <c r="P278" s="338"/>
      <c r="Q278" s="10"/>
      <c r="R278" s="63"/>
    </row>
    <row r="279" spans="1:18" x14ac:dyDescent="0.25">
      <c r="A279" s="13">
        <f t="shared" si="18"/>
        <v>34</v>
      </c>
      <c r="B279" s="4"/>
      <c r="C279" s="9"/>
      <c r="D279" s="369"/>
      <c r="E279" s="481"/>
      <c r="F279" s="369"/>
      <c r="G279" s="481"/>
      <c r="H279" s="369"/>
      <c r="I279" s="481"/>
      <c r="J279" s="369"/>
      <c r="K279" s="481"/>
      <c r="L279" s="369"/>
      <c r="M279" s="481"/>
      <c r="N279" s="565"/>
      <c r="O279" s="8">
        <f t="shared" si="17"/>
        <v>0</v>
      </c>
      <c r="P279" s="338"/>
      <c r="Q279" s="10"/>
      <c r="R279" s="63"/>
    </row>
    <row r="280" spans="1:18" x14ac:dyDescent="0.25">
      <c r="A280" s="13">
        <f t="shared" si="18"/>
        <v>35</v>
      </c>
      <c r="B280" s="4"/>
      <c r="C280" s="9"/>
      <c r="D280" s="369"/>
      <c r="E280" s="481"/>
      <c r="F280" s="369"/>
      <c r="G280" s="481"/>
      <c r="H280" s="369"/>
      <c r="I280" s="481"/>
      <c r="J280" s="369"/>
      <c r="K280" s="481"/>
      <c r="L280" s="369"/>
      <c r="M280" s="481"/>
      <c r="N280" s="565"/>
      <c r="O280" s="8">
        <f t="shared" si="17"/>
        <v>0</v>
      </c>
      <c r="P280" s="338"/>
      <c r="Q280" s="10"/>
      <c r="R280" s="63"/>
    </row>
    <row r="281" spans="1:18" x14ac:dyDescent="0.25">
      <c r="A281" s="13">
        <f t="shared" si="18"/>
        <v>36</v>
      </c>
      <c r="B281" s="4"/>
      <c r="C281" s="9"/>
      <c r="D281" s="359"/>
      <c r="E281" s="478"/>
      <c r="F281" s="359"/>
      <c r="G281" s="478"/>
      <c r="H281" s="359"/>
      <c r="I281" s="478"/>
      <c r="J281" s="359"/>
      <c r="K281" s="478"/>
      <c r="L281" s="359"/>
      <c r="M281" s="478"/>
      <c r="N281" s="561"/>
      <c r="O281" s="8">
        <f t="shared" si="17"/>
        <v>0</v>
      </c>
      <c r="P281" s="338"/>
      <c r="Q281" s="10"/>
      <c r="R281" s="63"/>
    </row>
    <row r="282" spans="1:18" x14ac:dyDescent="0.25">
      <c r="A282" s="13">
        <f t="shared" si="18"/>
        <v>37</v>
      </c>
      <c r="B282" s="4"/>
      <c r="C282" s="8"/>
      <c r="D282" s="369"/>
      <c r="E282" s="481"/>
      <c r="F282" s="369"/>
      <c r="G282" s="481"/>
      <c r="H282" s="369"/>
      <c r="I282" s="481"/>
      <c r="J282" s="369"/>
      <c r="K282" s="481"/>
      <c r="L282" s="369"/>
      <c r="M282" s="481"/>
      <c r="N282" s="565"/>
      <c r="O282" s="8">
        <f t="shared" si="17"/>
        <v>0</v>
      </c>
      <c r="P282" s="338"/>
      <c r="Q282" s="10"/>
      <c r="R282" s="63"/>
    </row>
    <row r="283" spans="1:18" x14ac:dyDescent="0.25">
      <c r="A283" s="13">
        <f t="shared" si="18"/>
        <v>38</v>
      </c>
      <c r="B283" s="4"/>
      <c r="C283" s="9"/>
      <c r="D283" s="369"/>
      <c r="E283" s="481"/>
      <c r="F283" s="369"/>
      <c r="G283" s="481"/>
      <c r="H283" s="369"/>
      <c r="I283" s="481"/>
      <c r="J283" s="369"/>
      <c r="K283" s="481"/>
      <c r="L283" s="369"/>
      <c r="M283" s="481"/>
      <c r="N283" s="565"/>
      <c r="O283" s="8">
        <f t="shared" si="17"/>
        <v>0</v>
      </c>
      <c r="P283" s="338"/>
      <c r="Q283" s="10"/>
      <c r="R283" s="63"/>
    </row>
    <row r="284" spans="1:18" x14ac:dyDescent="0.25">
      <c r="A284" s="13">
        <f t="shared" si="18"/>
        <v>39</v>
      </c>
      <c r="B284" s="4"/>
      <c r="C284" s="9"/>
      <c r="D284" s="359"/>
      <c r="E284" s="478"/>
      <c r="F284" s="359"/>
      <c r="G284" s="478"/>
      <c r="H284" s="359"/>
      <c r="I284" s="478"/>
      <c r="J284" s="359"/>
      <c r="K284" s="478"/>
      <c r="L284" s="359"/>
      <c r="M284" s="478"/>
      <c r="N284" s="561"/>
      <c r="O284" s="8">
        <f t="shared" si="17"/>
        <v>0</v>
      </c>
      <c r="P284" s="338"/>
      <c r="Q284" s="10"/>
      <c r="R284" s="63"/>
    </row>
    <row r="285" spans="1:18" x14ac:dyDescent="0.25">
      <c r="A285" s="13">
        <f t="shared" si="18"/>
        <v>40</v>
      </c>
      <c r="B285" s="4"/>
      <c r="C285" s="8"/>
      <c r="D285" s="369"/>
      <c r="E285" s="481"/>
      <c r="F285" s="369"/>
      <c r="G285" s="481"/>
      <c r="H285" s="369"/>
      <c r="I285" s="481"/>
      <c r="J285" s="369"/>
      <c r="K285" s="481"/>
      <c r="L285" s="369"/>
      <c r="M285" s="481"/>
      <c r="N285" s="565"/>
      <c r="O285" s="8">
        <f t="shared" si="17"/>
        <v>0</v>
      </c>
      <c r="P285" s="338"/>
      <c r="Q285" s="10"/>
      <c r="R285" s="64"/>
    </row>
    <row r="286" spans="1:18" x14ac:dyDescent="0.25">
      <c r="A286" s="13">
        <f t="shared" si="18"/>
        <v>41</v>
      </c>
      <c r="B286" s="4"/>
      <c r="C286" s="8"/>
      <c r="D286" s="369"/>
      <c r="E286" s="481"/>
      <c r="F286" s="369"/>
      <c r="G286" s="481"/>
      <c r="H286" s="369"/>
      <c r="I286" s="481"/>
      <c r="J286" s="369"/>
      <c r="K286" s="481"/>
      <c r="L286" s="369"/>
      <c r="M286" s="481"/>
      <c r="N286" s="565"/>
      <c r="O286" s="8">
        <f t="shared" si="17"/>
        <v>0</v>
      </c>
      <c r="P286" s="338"/>
      <c r="Q286" s="10"/>
      <c r="R286" s="63"/>
    </row>
    <row r="287" spans="1:18" x14ac:dyDescent="0.25">
      <c r="A287" s="13">
        <f t="shared" si="18"/>
        <v>42</v>
      </c>
      <c r="B287" s="4"/>
      <c r="C287" s="9"/>
      <c r="D287" s="369"/>
      <c r="E287" s="481"/>
      <c r="F287" s="369"/>
      <c r="G287" s="481"/>
      <c r="H287" s="369"/>
      <c r="I287" s="481"/>
      <c r="J287" s="369"/>
      <c r="K287" s="481"/>
      <c r="L287" s="369"/>
      <c r="M287" s="481"/>
      <c r="N287" s="565"/>
      <c r="O287" s="8">
        <f t="shared" si="17"/>
        <v>0</v>
      </c>
      <c r="P287" s="338"/>
      <c r="Q287" s="10"/>
      <c r="R287" s="63"/>
    </row>
    <row r="288" spans="1:18" x14ac:dyDescent="0.25">
      <c r="A288" s="13">
        <f t="shared" si="18"/>
        <v>43</v>
      </c>
      <c r="B288" s="4"/>
      <c r="C288" s="9"/>
      <c r="D288" s="369"/>
      <c r="E288" s="481"/>
      <c r="F288" s="369"/>
      <c r="G288" s="481"/>
      <c r="H288" s="369"/>
      <c r="I288" s="481"/>
      <c r="J288" s="369"/>
      <c r="K288" s="481"/>
      <c r="L288" s="369"/>
      <c r="M288" s="481"/>
      <c r="N288" s="565"/>
      <c r="O288" s="8">
        <f t="shared" si="17"/>
        <v>0</v>
      </c>
      <c r="P288" s="338"/>
      <c r="Q288" s="10"/>
      <c r="R288" s="63"/>
    </row>
    <row r="289" spans="1:18" x14ac:dyDescent="0.25">
      <c r="A289" s="13">
        <f t="shared" si="18"/>
        <v>44</v>
      </c>
      <c r="B289" s="4"/>
      <c r="C289" s="9"/>
      <c r="D289" s="369"/>
      <c r="E289" s="481"/>
      <c r="F289" s="369"/>
      <c r="G289" s="481"/>
      <c r="H289" s="369"/>
      <c r="I289" s="481"/>
      <c r="J289" s="369"/>
      <c r="K289" s="481"/>
      <c r="L289" s="369"/>
      <c r="M289" s="481"/>
      <c r="N289" s="565"/>
      <c r="O289" s="8">
        <f t="shared" si="17"/>
        <v>0</v>
      </c>
      <c r="P289" s="338"/>
      <c r="Q289" s="10"/>
      <c r="R289" s="63"/>
    </row>
    <row r="290" spans="1:18" x14ac:dyDescent="0.25">
      <c r="A290" s="13">
        <f t="shared" si="18"/>
        <v>45</v>
      </c>
      <c r="B290" s="4"/>
      <c r="C290" s="9"/>
      <c r="D290" s="369"/>
      <c r="E290" s="481"/>
      <c r="F290" s="369"/>
      <c r="G290" s="481"/>
      <c r="H290" s="369"/>
      <c r="I290" s="481"/>
      <c r="J290" s="369"/>
      <c r="K290" s="481"/>
      <c r="L290" s="369"/>
      <c r="M290" s="481"/>
      <c r="N290" s="565"/>
      <c r="O290" s="8">
        <f t="shared" si="17"/>
        <v>0</v>
      </c>
      <c r="P290" s="338"/>
      <c r="Q290" s="10"/>
      <c r="R290" s="63"/>
    </row>
    <row r="291" spans="1:18" x14ac:dyDescent="0.25">
      <c r="A291" s="13">
        <f t="shared" si="18"/>
        <v>46</v>
      </c>
      <c r="B291" s="4"/>
      <c r="C291" s="8"/>
      <c r="D291" s="369"/>
      <c r="E291" s="481"/>
      <c r="F291" s="369"/>
      <c r="G291" s="481"/>
      <c r="H291" s="369"/>
      <c r="I291" s="481"/>
      <c r="J291" s="369"/>
      <c r="K291" s="481"/>
      <c r="L291" s="369"/>
      <c r="M291" s="481"/>
      <c r="N291" s="565"/>
      <c r="O291" s="8">
        <f t="shared" si="17"/>
        <v>0</v>
      </c>
      <c r="P291" s="338"/>
      <c r="Q291" s="10"/>
      <c r="R291" s="63"/>
    </row>
    <row r="292" spans="1:18" x14ac:dyDescent="0.25">
      <c r="A292" s="13">
        <f t="shared" si="18"/>
        <v>47</v>
      </c>
      <c r="B292" s="4"/>
      <c r="C292" s="9"/>
      <c r="D292" s="369"/>
      <c r="E292" s="481"/>
      <c r="F292" s="369"/>
      <c r="G292" s="481"/>
      <c r="H292" s="369"/>
      <c r="I292" s="481"/>
      <c r="J292" s="369"/>
      <c r="K292" s="481"/>
      <c r="L292" s="369"/>
      <c r="M292" s="481"/>
      <c r="N292" s="565"/>
      <c r="O292" s="8">
        <f t="shared" si="17"/>
        <v>0</v>
      </c>
      <c r="P292" s="338"/>
      <c r="Q292" s="10"/>
      <c r="R292" s="63"/>
    </row>
    <row r="293" spans="1:18" x14ac:dyDescent="0.25">
      <c r="A293" s="13">
        <f t="shared" si="18"/>
        <v>48</v>
      </c>
      <c r="B293" s="4"/>
      <c r="C293" s="9"/>
      <c r="D293" s="369"/>
      <c r="E293" s="481"/>
      <c r="F293" s="369"/>
      <c r="G293" s="481"/>
      <c r="H293" s="369"/>
      <c r="I293" s="481"/>
      <c r="J293" s="369"/>
      <c r="K293" s="481"/>
      <c r="L293" s="369"/>
      <c r="M293" s="481"/>
      <c r="N293" s="565"/>
      <c r="O293" s="8">
        <f t="shared" si="17"/>
        <v>0</v>
      </c>
      <c r="P293" s="338"/>
      <c r="Q293" s="10"/>
      <c r="R293" s="63"/>
    </row>
    <row r="294" spans="1:18" x14ac:dyDescent="0.25">
      <c r="A294" s="13">
        <f t="shared" si="18"/>
        <v>49</v>
      </c>
      <c r="B294" s="4"/>
      <c r="C294" s="8"/>
      <c r="D294" s="359"/>
      <c r="E294" s="478"/>
      <c r="F294" s="359"/>
      <c r="G294" s="478"/>
      <c r="H294" s="359"/>
      <c r="I294" s="478"/>
      <c r="J294" s="359"/>
      <c r="K294" s="478"/>
      <c r="L294" s="359"/>
      <c r="M294" s="478"/>
      <c r="N294" s="561"/>
      <c r="O294" s="8">
        <f t="shared" si="17"/>
        <v>0</v>
      </c>
      <c r="P294" s="338"/>
      <c r="Q294" s="10"/>
      <c r="R294" s="63"/>
    </row>
    <row r="295" spans="1:18" x14ac:dyDescent="0.25">
      <c r="A295" s="13">
        <f t="shared" si="18"/>
        <v>50</v>
      </c>
      <c r="B295" s="4"/>
      <c r="C295" s="9"/>
      <c r="D295" s="369"/>
      <c r="E295" s="481"/>
      <c r="F295" s="369"/>
      <c r="G295" s="481"/>
      <c r="H295" s="369"/>
      <c r="I295" s="481"/>
      <c r="J295" s="369"/>
      <c r="K295" s="481"/>
      <c r="L295" s="369"/>
      <c r="M295" s="481"/>
      <c r="N295" s="565"/>
      <c r="O295" s="8">
        <f t="shared" si="17"/>
        <v>0</v>
      </c>
      <c r="P295" s="338"/>
      <c r="Q295" s="10"/>
      <c r="R295" s="63"/>
    </row>
    <row r="296" spans="1:18" x14ac:dyDescent="0.25">
      <c r="A296" s="13">
        <f t="shared" si="18"/>
        <v>51</v>
      </c>
      <c r="B296" s="4"/>
      <c r="C296" s="9"/>
      <c r="D296" s="369"/>
      <c r="E296" s="481"/>
      <c r="F296" s="369"/>
      <c r="G296" s="481"/>
      <c r="H296" s="369"/>
      <c r="I296" s="481"/>
      <c r="J296" s="369"/>
      <c r="K296" s="481"/>
      <c r="L296" s="369"/>
      <c r="M296" s="481"/>
      <c r="N296" s="565"/>
      <c r="O296" s="8">
        <f t="shared" si="17"/>
        <v>0</v>
      </c>
      <c r="P296" s="338"/>
      <c r="Q296" s="10"/>
      <c r="R296" s="63"/>
    </row>
    <row r="297" spans="1:18" x14ac:dyDescent="0.25">
      <c r="A297" s="13">
        <f t="shared" si="18"/>
        <v>52</v>
      </c>
      <c r="B297" s="4"/>
      <c r="C297" s="8"/>
      <c r="D297" s="369"/>
      <c r="E297" s="481"/>
      <c r="F297" s="369"/>
      <c r="G297" s="481"/>
      <c r="H297" s="369"/>
      <c r="I297" s="481"/>
      <c r="J297" s="369"/>
      <c r="K297" s="481"/>
      <c r="L297" s="369"/>
      <c r="M297" s="481"/>
      <c r="N297" s="565"/>
      <c r="O297" s="8">
        <f t="shared" si="17"/>
        <v>0</v>
      </c>
      <c r="P297" s="338"/>
      <c r="Q297" s="10"/>
      <c r="R297" s="63"/>
    </row>
    <row r="298" spans="1:18" x14ac:dyDescent="0.25">
      <c r="A298" s="13">
        <f t="shared" si="18"/>
        <v>53</v>
      </c>
      <c r="B298" s="4"/>
      <c r="C298" s="9"/>
      <c r="D298" s="369"/>
      <c r="E298" s="481"/>
      <c r="F298" s="369"/>
      <c r="G298" s="481"/>
      <c r="H298" s="369"/>
      <c r="I298" s="481"/>
      <c r="J298" s="369"/>
      <c r="K298" s="481"/>
      <c r="L298" s="369"/>
      <c r="M298" s="481"/>
      <c r="N298" s="565"/>
      <c r="O298" s="8">
        <f t="shared" si="17"/>
        <v>0</v>
      </c>
      <c r="P298" s="338"/>
      <c r="Q298" s="10"/>
      <c r="R298" s="63"/>
    </row>
    <row r="299" spans="1:18" x14ac:dyDescent="0.25">
      <c r="A299" s="13">
        <f t="shared" si="18"/>
        <v>54</v>
      </c>
      <c r="B299" s="4"/>
      <c r="C299" s="9"/>
      <c r="D299" s="369"/>
      <c r="E299" s="481"/>
      <c r="F299" s="369"/>
      <c r="G299" s="481"/>
      <c r="H299" s="369"/>
      <c r="I299" s="481"/>
      <c r="J299" s="369"/>
      <c r="K299" s="481"/>
      <c r="L299" s="369"/>
      <c r="M299" s="481"/>
      <c r="N299" s="565"/>
      <c r="O299" s="8">
        <f t="shared" ref="O299:O337" si="19">SUM(C299:N299)</f>
        <v>0</v>
      </c>
      <c r="P299" s="338"/>
      <c r="Q299" s="10"/>
      <c r="R299" s="63"/>
    </row>
    <row r="300" spans="1:18" x14ac:dyDescent="0.25">
      <c r="A300" s="13">
        <f t="shared" si="18"/>
        <v>55</v>
      </c>
      <c r="B300" s="4"/>
      <c r="C300" s="8"/>
      <c r="D300" s="369"/>
      <c r="E300" s="481"/>
      <c r="F300" s="369"/>
      <c r="G300" s="481"/>
      <c r="H300" s="369"/>
      <c r="I300" s="481"/>
      <c r="J300" s="369"/>
      <c r="K300" s="481"/>
      <c r="L300" s="369"/>
      <c r="M300" s="481"/>
      <c r="N300" s="565"/>
      <c r="O300" s="8">
        <f t="shared" si="19"/>
        <v>0</v>
      </c>
      <c r="P300" s="338"/>
      <c r="Q300" s="10"/>
      <c r="R300" s="63"/>
    </row>
    <row r="301" spans="1:18" x14ac:dyDescent="0.25">
      <c r="A301" s="13">
        <f t="shared" si="18"/>
        <v>56</v>
      </c>
      <c r="B301" s="4"/>
      <c r="C301" s="9"/>
      <c r="D301" s="359"/>
      <c r="E301" s="478"/>
      <c r="F301" s="359"/>
      <c r="G301" s="478"/>
      <c r="H301" s="359"/>
      <c r="I301" s="478"/>
      <c r="J301" s="359"/>
      <c r="K301" s="478"/>
      <c r="L301" s="359"/>
      <c r="M301" s="478"/>
      <c r="N301" s="561"/>
      <c r="O301" s="8">
        <f t="shared" si="19"/>
        <v>0</v>
      </c>
      <c r="P301" s="338"/>
      <c r="Q301" s="10"/>
      <c r="R301" s="63"/>
    </row>
    <row r="302" spans="1:18" x14ac:dyDescent="0.25">
      <c r="A302" s="13">
        <f t="shared" si="18"/>
        <v>57</v>
      </c>
      <c r="B302" s="4"/>
      <c r="C302" s="9"/>
      <c r="D302" s="369"/>
      <c r="E302" s="481"/>
      <c r="F302" s="369"/>
      <c r="G302" s="481"/>
      <c r="H302" s="369"/>
      <c r="I302" s="481"/>
      <c r="J302" s="369"/>
      <c r="K302" s="481"/>
      <c r="L302" s="369"/>
      <c r="M302" s="481"/>
      <c r="N302" s="565"/>
      <c r="O302" s="8">
        <f t="shared" si="19"/>
        <v>0</v>
      </c>
      <c r="P302" s="338"/>
      <c r="Q302" s="10"/>
      <c r="R302" s="63"/>
    </row>
    <row r="303" spans="1:18" x14ac:dyDescent="0.25">
      <c r="A303" s="13">
        <f t="shared" si="18"/>
        <v>58</v>
      </c>
      <c r="B303" s="4"/>
      <c r="C303" s="9"/>
      <c r="D303" s="369"/>
      <c r="E303" s="481"/>
      <c r="F303" s="369"/>
      <c r="G303" s="481"/>
      <c r="H303" s="369"/>
      <c r="I303" s="481"/>
      <c r="J303" s="369"/>
      <c r="K303" s="481"/>
      <c r="L303" s="369"/>
      <c r="M303" s="481"/>
      <c r="N303" s="565"/>
      <c r="O303" s="8">
        <f t="shared" si="19"/>
        <v>0</v>
      </c>
      <c r="P303" s="338"/>
      <c r="Q303" s="10"/>
      <c r="R303" s="63"/>
    </row>
    <row r="304" spans="1:18" x14ac:dyDescent="0.25">
      <c r="A304" s="13">
        <f t="shared" si="18"/>
        <v>59</v>
      </c>
      <c r="B304" s="4"/>
      <c r="C304" s="8"/>
      <c r="D304" s="369"/>
      <c r="E304" s="481"/>
      <c r="F304" s="369"/>
      <c r="G304" s="481"/>
      <c r="H304" s="369"/>
      <c r="I304" s="481"/>
      <c r="J304" s="369"/>
      <c r="K304" s="481"/>
      <c r="L304" s="369"/>
      <c r="M304" s="481"/>
      <c r="N304" s="565"/>
      <c r="O304" s="8">
        <f t="shared" si="19"/>
        <v>0</v>
      </c>
      <c r="P304" s="338"/>
      <c r="Q304" s="10"/>
      <c r="R304" s="63"/>
    </row>
    <row r="305" spans="1:18" x14ac:dyDescent="0.25">
      <c r="A305" s="13">
        <f t="shared" si="18"/>
        <v>60</v>
      </c>
      <c r="B305" s="4"/>
      <c r="C305" s="9"/>
      <c r="D305" s="369"/>
      <c r="E305" s="481"/>
      <c r="F305" s="369"/>
      <c r="G305" s="481"/>
      <c r="H305" s="369"/>
      <c r="I305" s="481"/>
      <c r="J305" s="369"/>
      <c r="K305" s="481"/>
      <c r="L305" s="369"/>
      <c r="M305" s="481"/>
      <c r="N305" s="565"/>
      <c r="O305" s="8">
        <f t="shared" si="19"/>
        <v>0</v>
      </c>
      <c r="P305" s="338"/>
      <c r="Q305" s="10"/>
      <c r="R305" s="63"/>
    </row>
    <row r="306" spans="1:18" x14ac:dyDescent="0.25">
      <c r="A306" s="13">
        <f t="shared" si="18"/>
        <v>61</v>
      </c>
      <c r="B306" s="4"/>
      <c r="C306" s="9"/>
      <c r="D306" s="369"/>
      <c r="E306" s="481"/>
      <c r="F306" s="369"/>
      <c r="G306" s="481"/>
      <c r="H306" s="369"/>
      <c r="I306" s="481"/>
      <c r="J306" s="369"/>
      <c r="K306" s="481"/>
      <c r="L306" s="369"/>
      <c r="M306" s="481"/>
      <c r="N306" s="565"/>
      <c r="O306" s="8">
        <f t="shared" si="19"/>
        <v>0</v>
      </c>
      <c r="P306" s="338"/>
      <c r="Q306" s="10"/>
      <c r="R306" s="63"/>
    </row>
    <row r="307" spans="1:18" x14ac:dyDescent="0.25">
      <c r="A307" s="13">
        <f t="shared" si="18"/>
        <v>62</v>
      </c>
      <c r="B307" s="4"/>
      <c r="C307" s="9"/>
      <c r="D307" s="369"/>
      <c r="E307" s="481"/>
      <c r="F307" s="369"/>
      <c r="G307" s="481"/>
      <c r="H307" s="369"/>
      <c r="I307" s="481"/>
      <c r="J307" s="369"/>
      <c r="K307" s="481"/>
      <c r="L307" s="369"/>
      <c r="M307" s="481"/>
      <c r="N307" s="565"/>
      <c r="O307" s="8">
        <f t="shared" si="19"/>
        <v>0</v>
      </c>
      <c r="P307" s="338"/>
      <c r="Q307" s="10"/>
      <c r="R307" s="63"/>
    </row>
    <row r="308" spans="1:18" x14ac:dyDescent="0.25">
      <c r="A308" s="13">
        <f t="shared" si="18"/>
        <v>63</v>
      </c>
      <c r="B308" s="4"/>
      <c r="C308" s="9"/>
      <c r="D308" s="369"/>
      <c r="E308" s="481"/>
      <c r="F308" s="369"/>
      <c r="G308" s="481"/>
      <c r="H308" s="369"/>
      <c r="I308" s="481"/>
      <c r="J308" s="369"/>
      <c r="K308" s="481"/>
      <c r="L308" s="369"/>
      <c r="M308" s="481"/>
      <c r="N308" s="565"/>
      <c r="O308" s="8">
        <f t="shared" si="19"/>
        <v>0</v>
      </c>
      <c r="P308" s="338"/>
      <c r="Q308" s="10"/>
      <c r="R308" s="63"/>
    </row>
    <row r="309" spans="1:18" x14ac:dyDescent="0.25">
      <c r="A309" s="13">
        <f t="shared" si="18"/>
        <v>64</v>
      </c>
      <c r="B309" s="4"/>
      <c r="C309" s="9"/>
      <c r="D309" s="369"/>
      <c r="E309" s="481"/>
      <c r="F309" s="369"/>
      <c r="G309" s="481"/>
      <c r="H309" s="369"/>
      <c r="I309" s="481"/>
      <c r="J309" s="369"/>
      <c r="K309" s="481"/>
      <c r="L309" s="369"/>
      <c r="M309" s="481"/>
      <c r="N309" s="565"/>
      <c r="O309" s="8">
        <f t="shared" si="19"/>
        <v>0</v>
      </c>
      <c r="P309" s="338"/>
      <c r="Q309" s="10"/>
      <c r="R309" s="63"/>
    </row>
    <row r="310" spans="1:18" x14ac:dyDescent="0.25">
      <c r="A310" s="13">
        <f t="shared" si="18"/>
        <v>65</v>
      </c>
      <c r="B310" s="4"/>
      <c r="C310" s="9"/>
      <c r="D310" s="369"/>
      <c r="E310" s="481"/>
      <c r="F310" s="369"/>
      <c r="G310" s="481"/>
      <c r="H310" s="369"/>
      <c r="I310" s="481"/>
      <c r="J310" s="369"/>
      <c r="K310" s="481"/>
      <c r="L310" s="369"/>
      <c r="M310" s="481"/>
      <c r="N310" s="565"/>
      <c r="O310" s="8">
        <f t="shared" si="19"/>
        <v>0</v>
      </c>
      <c r="P310" s="338"/>
      <c r="Q310" s="10"/>
      <c r="R310" s="63"/>
    </row>
    <row r="311" spans="1:18" x14ac:dyDescent="0.25">
      <c r="A311" s="13">
        <f t="shared" ref="A311:A348" si="20">A310+1</f>
        <v>66</v>
      </c>
      <c r="B311" s="4"/>
      <c r="C311" s="9"/>
      <c r="D311" s="369"/>
      <c r="E311" s="481"/>
      <c r="F311" s="369"/>
      <c r="G311" s="481"/>
      <c r="H311" s="369"/>
      <c r="I311" s="481"/>
      <c r="J311" s="369"/>
      <c r="K311" s="481"/>
      <c r="L311" s="369"/>
      <c r="M311" s="481"/>
      <c r="N311" s="565"/>
      <c r="O311" s="8">
        <f t="shared" si="19"/>
        <v>0</v>
      </c>
      <c r="P311" s="338"/>
      <c r="Q311" s="10"/>
      <c r="R311" s="63"/>
    </row>
    <row r="312" spans="1:18" x14ac:dyDescent="0.25">
      <c r="A312" s="13">
        <f t="shared" si="20"/>
        <v>67</v>
      </c>
      <c r="B312" s="4"/>
      <c r="C312" s="9"/>
      <c r="D312" s="369"/>
      <c r="E312" s="481"/>
      <c r="F312" s="369"/>
      <c r="G312" s="481"/>
      <c r="H312" s="369"/>
      <c r="I312" s="481"/>
      <c r="J312" s="369"/>
      <c r="K312" s="481"/>
      <c r="L312" s="369"/>
      <c r="M312" s="481"/>
      <c r="N312" s="565"/>
      <c r="O312" s="8">
        <f t="shared" si="19"/>
        <v>0</v>
      </c>
      <c r="P312" s="338"/>
      <c r="Q312" s="10"/>
      <c r="R312" s="63"/>
    </row>
    <row r="313" spans="1:18" x14ac:dyDescent="0.25">
      <c r="A313" s="13">
        <f t="shared" si="20"/>
        <v>68</v>
      </c>
      <c r="B313" s="4"/>
      <c r="C313" s="9"/>
      <c r="D313" s="369"/>
      <c r="E313" s="481"/>
      <c r="F313" s="369"/>
      <c r="G313" s="481"/>
      <c r="H313" s="369"/>
      <c r="I313" s="481"/>
      <c r="J313" s="369"/>
      <c r="K313" s="481"/>
      <c r="L313" s="369"/>
      <c r="M313" s="481"/>
      <c r="N313" s="565"/>
      <c r="O313" s="8">
        <f t="shared" si="19"/>
        <v>0</v>
      </c>
      <c r="P313" s="338"/>
      <c r="Q313" s="10"/>
      <c r="R313" s="63"/>
    </row>
    <row r="314" spans="1:18" x14ac:dyDescent="0.25">
      <c r="A314" s="13">
        <f t="shared" si="20"/>
        <v>69</v>
      </c>
      <c r="B314" s="4"/>
      <c r="C314" s="9"/>
      <c r="D314" s="369"/>
      <c r="E314" s="481"/>
      <c r="F314" s="369"/>
      <c r="G314" s="481"/>
      <c r="H314" s="369"/>
      <c r="I314" s="481"/>
      <c r="J314" s="369"/>
      <c r="K314" s="481"/>
      <c r="L314" s="369"/>
      <c r="M314" s="481"/>
      <c r="N314" s="565"/>
      <c r="O314" s="8">
        <f t="shared" si="19"/>
        <v>0</v>
      </c>
      <c r="P314" s="338"/>
      <c r="Q314" s="10"/>
      <c r="R314" s="63"/>
    </row>
    <row r="315" spans="1:18" x14ac:dyDescent="0.25">
      <c r="A315" s="13">
        <f t="shared" si="20"/>
        <v>70</v>
      </c>
      <c r="B315" s="4"/>
      <c r="C315" s="8"/>
      <c r="D315" s="359"/>
      <c r="E315" s="478"/>
      <c r="F315" s="359"/>
      <c r="G315" s="478"/>
      <c r="H315" s="359"/>
      <c r="I315" s="478"/>
      <c r="J315" s="359"/>
      <c r="K315" s="478"/>
      <c r="L315" s="359"/>
      <c r="M315" s="478"/>
      <c r="N315" s="561"/>
      <c r="O315" s="8">
        <f t="shared" si="19"/>
        <v>0</v>
      </c>
      <c r="P315" s="338"/>
      <c r="Q315" s="10"/>
      <c r="R315" s="63"/>
    </row>
    <row r="316" spans="1:18" x14ac:dyDescent="0.25">
      <c r="A316" s="13">
        <f t="shared" si="20"/>
        <v>71</v>
      </c>
      <c r="B316" s="4"/>
      <c r="C316" s="9"/>
      <c r="D316" s="369"/>
      <c r="E316" s="481"/>
      <c r="F316" s="369"/>
      <c r="G316" s="481"/>
      <c r="H316" s="369"/>
      <c r="I316" s="481"/>
      <c r="J316" s="369"/>
      <c r="K316" s="481"/>
      <c r="L316" s="369"/>
      <c r="M316" s="481"/>
      <c r="N316" s="565"/>
      <c r="O316" s="8">
        <f t="shared" si="19"/>
        <v>0</v>
      </c>
      <c r="P316" s="338"/>
      <c r="Q316" s="10"/>
      <c r="R316" s="63"/>
    </row>
    <row r="317" spans="1:18" x14ac:dyDescent="0.25">
      <c r="A317" s="13">
        <f t="shared" si="20"/>
        <v>72</v>
      </c>
      <c r="B317" s="4"/>
      <c r="C317" s="9"/>
      <c r="D317" s="359"/>
      <c r="E317" s="478"/>
      <c r="F317" s="359"/>
      <c r="G317" s="478"/>
      <c r="H317" s="359"/>
      <c r="I317" s="478"/>
      <c r="J317" s="359"/>
      <c r="K317" s="478"/>
      <c r="L317" s="359"/>
      <c r="M317" s="478"/>
      <c r="N317" s="561"/>
      <c r="O317" s="8">
        <f t="shared" si="19"/>
        <v>0</v>
      </c>
      <c r="P317" s="338"/>
      <c r="Q317" s="10"/>
      <c r="R317" s="63"/>
    </row>
    <row r="318" spans="1:18" x14ac:dyDescent="0.25">
      <c r="A318" s="13">
        <f t="shared" si="20"/>
        <v>73</v>
      </c>
      <c r="B318" s="4"/>
      <c r="C318" s="9"/>
      <c r="D318" s="369"/>
      <c r="E318" s="481"/>
      <c r="F318" s="369"/>
      <c r="G318" s="481"/>
      <c r="H318" s="369"/>
      <c r="I318" s="481"/>
      <c r="J318" s="369"/>
      <c r="K318" s="481"/>
      <c r="L318" s="369"/>
      <c r="M318" s="481"/>
      <c r="N318" s="565"/>
      <c r="O318" s="8">
        <f t="shared" si="19"/>
        <v>0</v>
      </c>
      <c r="P318" s="338"/>
      <c r="Q318" s="10"/>
      <c r="R318" s="63"/>
    </row>
    <row r="319" spans="1:18" x14ac:dyDescent="0.25">
      <c r="A319" s="13">
        <f t="shared" si="20"/>
        <v>74</v>
      </c>
      <c r="B319" s="4"/>
      <c r="C319" s="9"/>
      <c r="D319" s="369"/>
      <c r="E319" s="481"/>
      <c r="F319" s="369"/>
      <c r="G319" s="481"/>
      <c r="H319" s="369"/>
      <c r="I319" s="481"/>
      <c r="J319" s="369"/>
      <c r="K319" s="481"/>
      <c r="L319" s="369"/>
      <c r="M319" s="481"/>
      <c r="N319" s="565"/>
      <c r="O319" s="8">
        <f t="shared" si="19"/>
        <v>0</v>
      </c>
      <c r="P319" s="338"/>
      <c r="Q319" s="10"/>
      <c r="R319" s="63"/>
    </row>
    <row r="320" spans="1:18" x14ac:dyDescent="0.25">
      <c r="A320" s="13">
        <f t="shared" si="20"/>
        <v>75</v>
      </c>
      <c r="B320" s="4"/>
      <c r="C320" s="8"/>
      <c r="D320" s="369"/>
      <c r="E320" s="481"/>
      <c r="F320" s="369"/>
      <c r="G320" s="481"/>
      <c r="H320" s="369"/>
      <c r="I320" s="481"/>
      <c r="J320" s="369"/>
      <c r="K320" s="481"/>
      <c r="L320" s="369"/>
      <c r="M320" s="481"/>
      <c r="N320" s="565"/>
      <c r="O320" s="8">
        <f t="shared" si="19"/>
        <v>0</v>
      </c>
      <c r="P320" s="338"/>
      <c r="Q320" s="10"/>
      <c r="R320" s="63"/>
    </row>
    <row r="321" spans="1:18" x14ac:dyDescent="0.25">
      <c r="A321" s="13">
        <f t="shared" si="20"/>
        <v>76</v>
      </c>
      <c r="B321" s="4"/>
      <c r="C321" s="9"/>
      <c r="D321" s="369"/>
      <c r="E321" s="481"/>
      <c r="F321" s="369"/>
      <c r="G321" s="481"/>
      <c r="H321" s="369"/>
      <c r="I321" s="481"/>
      <c r="J321" s="369"/>
      <c r="K321" s="481"/>
      <c r="L321" s="369"/>
      <c r="M321" s="481"/>
      <c r="N321" s="565"/>
      <c r="O321" s="8">
        <f t="shared" si="19"/>
        <v>0</v>
      </c>
      <c r="P321" s="338"/>
      <c r="Q321" s="10"/>
      <c r="R321" s="63"/>
    </row>
    <row r="322" spans="1:18" x14ac:dyDescent="0.25">
      <c r="A322" s="13">
        <f t="shared" si="20"/>
        <v>77</v>
      </c>
      <c r="B322" s="4"/>
      <c r="C322" s="9"/>
      <c r="D322" s="359"/>
      <c r="E322" s="478"/>
      <c r="F322" s="359"/>
      <c r="G322" s="478"/>
      <c r="H322" s="359"/>
      <c r="I322" s="478"/>
      <c r="J322" s="359"/>
      <c r="K322" s="478"/>
      <c r="L322" s="359"/>
      <c r="M322" s="478"/>
      <c r="N322" s="561"/>
      <c r="O322" s="8">
        <f t="shared" si="19"/>
        <v>0</v>
      </c>
      <c r="P322" s="338"/>
      <c r="Q322" s="10"/>
      <c r="R322" s="63"/>
    </row>
    <row r="323" spans="1:18" x14ac:dyDescent="0.25">
      <c r="A323" s="13">
        <f t="shared" si="20"/>
        <v>78</v>
      </c>
      <c r="B323" s="4"/>
      <c r="C323" s="9"/>
      <c r="D323" s="369"/>
      <c r="E323" s="481"/>
      <c r="F323" s="369"/>
      <c r="G323" s="481"/>
      <c r="H323" s="369"/>
      <c r="I323" s="481"/>
      <c r="J323" s="369"/>
      <c r="K323" s="481"/>
      <c r="L323" s="369"/>
      <c r="M323" s="481"/>
      <c r="N323" s="565"/>
      <c r="O323" s="8">
        <f t="shared" si="19"/>
        <v>0</v>
      </c>
      <c r="P323" s="338"/>
      <c r="Q323" s="10"/>
      <c r="R323" s="63"/>
    </row>
    <row r="324" spans="1:18" x14ac:dyDescent="0.25">
      <c r="A324" s="13">
        <f t="shared" si="20"/>
        <v>79</v>
      </c>
      <c r="B324" s="4"/>
      <c r="C324" s="8"/>
      <c r="D324" s="369"/>
      <c r="E324" s="481"/>
      <c r="F324" s="369"/>
      <c r="G324" s="481"/>
      <c r="H324" s="369"/>
      <c r="I324" s="481"/>
      <c r="J324" s="369"/>
      <c r="K324" s="481"/>
      <c r="L324" s="369"/>
      <c r="M324" s="481"/>
      <c r="N324" s="565"/>
      <c r="O324" s="8">
        <f t="shared" si="19"/>
        <v>0</v>
      </c>
      <c r="P324" s="338"/>
      <c r="Q324" s="10"/>
      <c r="R324" s="63"/>
    </row>
    <row r="325" spans="1:18" x14ac:dyDescent="0.25">
      <c r="A325" s="13">
        <f t="shared" si="20"/>
        <v>80</v>
      </c>
      <c r="B325" s="4"/>
      <c r="C325" s="9"/>
      <c r="D325" s="369"/>
      <c r="E325" s="481"/>
      <c r="F325" s="369"/>
      <c r="G325" s="481"/>
      <c r="H325" s="369"/>
      <c r="I325" s="481"/>
      <c r="J325" s="369"/>
      <c r="K325" s="481"/>
      <c r="L325" s="369"/>
      <c r="M325" s="481"/>
      <c r="N325" s="565"/>
      <c r="O325" s="8">
        <f t="shared" si="19"/>
        <v>0</v>
      </c>
      <c r="P325" s="338"/>
      <c r="Q325" s="10"/>
      <c r="R325" s="63"/>
    </row>
    <row r="326" spans="1:18" x14ac:dyDescent="0.25">
      <c r="A326" s="13">
        <f t="shared" si="20"/>
        <v>81</v>
      </c>
      <c r="B326" s="4"/>
      <c r="C326" s="9"/>
      <c r="D326" s="369"/>
      <c r="E326" s="481"/>
      <c r="F326" s="369"/>
      <c r="G326" s="481"/>
      <c r="H326" s="369"/>
      <c r="I326" s="481"/>
      <c r="J326" s="369"/>
      <c r="K326" s="481"/>
      <c r="L326" s="369"/>
      <c r="M326" s="481"/>
      <c r="N326" s="565"/>
      <c r="O326" s="8">
        <f t="shared" si="19"/>
        <v>0</v>
      </c>
      <c r="P326" s="338"/>
      <c r="Q326" s="10"/>
      <c r="R326" s="63"/>
    </row>
    <row r="327" spans="1:18" x14ac:dyDescent="0.25">
      <c r="A327" s="13">
        <f t="shared" si="20"/>
        <v>82</v>
      </c>
      <c r="B327" s="4"/>
      <c r="C327" s="9"/>
      <c r="D327" s="369"/>
      <c r="E327" s="481"/>
      <c r="F327" s="369"/>
      <c r="G327" s="481"/>
      <c r="H327" s="369"/>
      <c r="I327" s="481"/>
      <c r="J327" s="369"/>
      <c r="K327" s="481"/>
      <c r="L327" s="369"/>
      <c r="M327" s="481"/>
      <c r="N327" s="565"/>
      <c r="O327" s="8">
        <f t="shared" si="19"/>
        <v>0</v>
      </c>
      <c r="P327" s="338"/>
      <c r="Q327" s="10"/>
      <c r="R327" s="63"/>
    </row>
    <row r="328" spans="1:18" x14ac:dyDescent="0.25">
      <c r="A328" s="13">
        <f t="shared" si="20"/>
        <v>83</v>
      </c>
      <c r="B328" s="4"/>
      <c r="C328" s="9"/>
      <c r="D328" s="369"/>
      <c r="E328" s="481"/>
      <c r="F328" s="369"/>
      <c r="G328" s="481"/>
      <c r="H328" s="369"/>
      <c r="I328" s="481"/>
      <c r="J328" s="369"/>
      <c r="K328" s="481"/>
      <c r="L328" s="369"/>
      <c r="M328" s="481"/>
      <c r="N328" s="565"/>
      <c r="O328" s="8">
        <f t="shared" si="19"/>
        <v>0</v>
      </c>
      <c r="P328" s="338"/>
      <c r="Q328" s="10"/>
      <c r="R328" s="63"/>
    </row>
    <row r="329" spans="1:18" x14ac:dyDescent="0.25">
      <c r="A329" s="13">
        <f t="shared" si="20"/>
        <v>84</v>
      </c>
      <c r="B329" s="4"/>
      <c r="C329" s="9"/>
      <c r="D329" s="369"/>
      <c r="E329" s="481"/>
      <c r="F329" s="369"/>
      <c r="G329" s="481"/>
      <c r="H329" s="369"/>
      <c r="I329" s="481"/>
      <c r="J329" s="369"/>
      <c r="K329" s="481"/>
      <c r="L329" s="369"/>
      <c r="M329" s="481"/>
      <c r="N329" s="565"/>
      <c r="O329" s="8">
        <f t="shared" si="19"/>
        <v>0</v>
      </c>
      <c r="P329" s="338"/>
      <c r="Q329" s="10"/>
      <c r="R329" s="63"/>
    </row>
    <row r="330" spans="1:18" x14ac:dyDescent="0.25">
      <c r="A330" s="13">
        <f t="shared" si="20"/>
        <v>85</v>
      </c>
      <c r="B330" s="4"/>
      <c r="C330" s="9"/>
      <c r="D330" s="369"/>
      <c r="E330" s="481"/>
      <c r="F330" s="369"/>
      <c r="G330" s="481"/>
      <c r="H330" s="369"/>
      <c r="I330" s="481"/>
      <c r="J330" s="369"/>
      <c r="K330" s="481"/>
      <c r="L330" s="369"/>
      <c r="M330" s="481"/>
      <c r="N330" s="565"/>
      <c r="O330" s="8">
        <f t="shared" si="19"/>
        <v>0</v>
      </c>
      <c r="P330" s="338"/>
      <c r="Q330" s="10"/>
      <c r="R330" s="63"/>
    </row>
    <row r="331" spans="1:18" x14ac:dyDescent="0.25">
      <c r="A331" s="13">
        <f t="shared" si="20"/>
        <v>86</v>
      </c>
      <c r="B331" s="4"/>
      <c r="C331" s="9"/>
      <c r="D331" s="369"/>
      <c r="E331" s="481"/>
      <c r="F331" s="369"/>
      <c r="G331" s="481"/>
      <c r="H331" s="369"/>
      <c r="I331" s="481"/>
      <c r="J331" s="369"/>
      <c r="K331" s="481"/>
      <c r="L331" s="369"/>
      <c r="M331" s="481"/>
      <c r="N331" s="565"/>
      <c r="O331" s="8">
        <f t="shared" si="19"/>
        <v>0</v>
      </c>
      <c r="P331" s="338"/>
      <c r="Q331" s="10"/>
      <c r="R331" s="63"/>
    </row>
    <row r="332" spans="1:18" x14ac:dyDescent="0.25">
      <c r="A332" s="13">
        <f t="shared" si="20"/>
        <v>87</v>
      </c>
      <c r="B332" s="4"/>
      <c r="C332" s="9"/>
      <c r="D332" s="369"/>
      <c r="E332" s="481"/>
      <c r="F332" s="369"/>
      <c r="G332" s="481"/>
      <c r="H332" s="369"/>
      <c r="I332" s="481"/>
      <c r="J332" s="369"/>
      <c r="K332" s="481"/>
      <c r="L332" s="369"/>
      <c r="M332" s="481"/>
      <c r="N332" s="565"/>
      <c r="O332" s="8">
        <f t="shared" si="19"/>
        <v>0</v>
      </c>
      <c r="P332" s="338"/>
      <c r="Q332" s="10"/>
      <c r="R332" s="63"/>
    </row>
    <row r="333" spans="1:18" x14ac:dyDescent="0.25">
      <c r="A333" s="13">
        <f t="shared" si="20"/>
        <v>88</v>
      </c>
      <c r="B333" s="4"/>
      <c r="C333" s="9"/>
      <c r="D333" s="369"/>
      <c r="E333" s="481"/>
      <c r="F333" s="369"/>
      <c r="G333" s="481"/>
      <c r="H333" s="369"/>
      <c r="I333" s="481"/>
      <c r="J333" s="369"/>
      <c r="K333" s="481"/>
      <c r="L333" s="369"/>
      <c r="M333" s="481"/>
      <c r="N333" s="565"/>
      <c r="O333" s="8">
        <f t="shared" si="19"/>
        <v>0</v>
      </c>
      <c r="P333" s="338"/>
      <c r="Q333" s="10"/>
      <c r="R333" s="63"/>
    </row>
    <row r="334" spans="1:18" x14ac:dyDescent="0.25">
      <c r="A334" s="13">
        <f t="shared" si="20"/>
        <v>89</v>
      </c>
      <c r="B334" s="4"/>
      <c r="C334" s="8"/>
      <c r="D334" s="359"/>
      <c r="E334" s="478"/>
      <c r="F334" s="359"/>
      <c r="G334" s="478"/>
      <c r="H334" s="359"/>
      <c r="I334" s="478"/>
      <c r="J334" s="359"/>
      <c r="K334" s="478"/>
      <c r="L334" s="359"/>
      <c r="M334" s="478"/>
      <c r="N334" s="561"/>
      <c r="O334" s="8">
        <f t="shared" si="19"/>
        <v>0</v>
      </c>
      <c r="P334" s="338"/>
      <c r="Q334" s="10"/>
      <c r="R334" s="63"/>
    </row>
    <row r="335" spans="1:18" x14ac:dyDescent="0.25">
      <c r="A335" s="13">
        <f t="shared" si="20"/>
        <v>90</v>
      </c>
      <c r="B335" s="4"/>
      <c r="C335" s="9"/>
      <c r="D335" s="369"/>
      <c r="E335" s="481"/>
      <c r="F335" s="369"/>
      <c r="G335" s="481"/>
      <c r="H335" s="369"/>
      <c r="I335" s="481"/>
      <c r="J335" s="369"/>
      <c r="K335" s="481"/>
      <c r="L335" s="369"/>
      <c r="M335" s="481"/>
      <c r="N335" s="565"/>
      <c r="O335" s="8">
        <f t="shared" si="19"/>
        <v>0</v>
      </c>
      <c r="P335" s="338"/>
      <c r="Q335" s="10"/>
      <c r="R335" s="63"/>
    </row>
    <row r="336" spans="1:18" x14ac:dyDescent="0.25">
      <c r="A336" s="13">
        <f t="shared" si="20"/>
        <v>91</v>
      </c>
      <c r="B336" s="4"/>
      <c r="C336" s="9"/>
      <c r="D336" s="369"/>
      <c r="E336" s="481"/>
      <c r="F336" s="369"/>
      <c r="G336" s="481"/>
      <c r="H336" s="369"/>
      <c r="I336" s="481"/>
      <c r="J336" s="369"/>
      <c r="K336" s="481"/>
      <c r="L336" s="369"/>
      <c r="M336" s="481"/>
      <c r="N336" s="565"/>
      <c r="O336" s="8">
        <f t="shared" si="19"/>
        <v>0</v>
      </c>
      <c r="P336" s="338"/>
      <c r="Q336" s="10"/>
      <c r="R336" s="63"/>
    </row>
    <row r="337" spans="1:18" x14ac:dyDescent="0.25">
      <c r="A337" s="13">
        <f t="shared" si="20"/>
        <v>92</v>
      </c>
      <c r="B337" s="16"/>
      <c r="C337" s="17"/>
      <c r="D337" s="369"/>
      <c r="E337" s="481"/>
      <c r="F337" s="369"/>
      <c r="G337" s="481"/>
      <c r="H337" s="369"/>
      <c r="I337" s="481"/>
      <c r="J337" s="369"/>
      <c r="K337" s="481"/>
      <c r="L337" s="369"/>
      <c r="M337" s="481"/>
      <c r="N337" s="565"/>
      <c r="O337" s="8">
        <f t="shared" si="19"/>
        <v>0</v>
      </c>
      <c r="P337" s="316"/>
      <c r="Q337" s="10"/>
      <c r="R337" s="63"/>
    </row>
    <row r="338" spans="1:18" x14ac:dyDescent="0.25">
      <c r="A338" s="13">
        <f t="shared" si="20"/>
        <v>93</v>
      </c>
      <c r="B338" s="16"/>
      <c r="C338" s="17"/>
      <c r="D338" s="369"/>
      <c r="E338" s="481"/>
      <c r="F338" s="369"/>
      <c r="G338" s="481"/>
      <c r="H338" s="369"/>
      <c r="I338" s="481"/>
      <c r="J338" s="369"/>
      <c r="K338" s="481"/>
      <c r="L338" s="369"/>
      <c r="M338" s="481"/>
      <c r="N338" s="565"/>
      <c r="O338" s="48"/>
      <c r="P338" s="316"/>
      <c r="Q338" s="10"/>
      <c r="R338" s="125"/>
    </row>
    <row r="339" spans="1:18" x14ac:dyDescent="0.25">
      <c r="A339" s="13">
        <f t="shared" si="20"/>
        <v>94</v>
      </c>
      <c r="B339" s="16"/>
      <c r="C339" s="17"/>
      <c r="D339" s="369"/>
      <c r="E339" s="481"/>
      <c r="F339" s="369"/>
      <c r="G339" s="481"/>
      <c r="H339" s="369"/>
      <c r="I339" s="481"/>
      <c r="J339" s="369"/>
      <c r="K339" s="481"/>
      <c r="L339" s="369"/>
      <c r="M339" s="481"/>
      <c r="N339" s="565"/>
      <c r="O339" s="48"/>
      <c r="P339" s="316"/>
      <c r="R339" s="125"/>
    </row>
    <row r="340" spans="1:18" x14ac:dyDescent="0.25">
      <c r="A340" s="13">
        <f t="shared" si="20"/>
        <v>95</v>
      </c>
      <c r="B340" s="16"/>
      <c r="C340" s="17"/>
      <c r="D340" s="369"/>
      <c r="E340" s="481"/>
      <c r="F340" s="369"/>
      <c r="G340" s="481"/>
      <c r="H340" s="369"/>
      <c r="I340" s="481"/>
      <c r="J340" s="369"/>
      <c r="K340" s="481"/>
      <c r="L340" s="369"/>
      <c r="M340" s="481"/>
      <c r="N340" s="565"/>
      <c r="O340" s="48"/>
      <c r="P340" s="316"/>
      <c r="R340" s="125"/>
    </row>
    <row r="341" spans="1:18" x14ac:dyDescent="0.25">
      <c r="A341" s="13">
        <f t="shared" si="20"/>
        <v>96</v>
      </c>
      <c r="B341" s="16"/>
      <c r="C341" s="17"/>
      <c r="D341" s="369"/>
      <c r="E341" s="481"/>
      <c r="F341" s="369"/>
      <c r="G341" s="481"/>
      <c r="H341" s="369"/>
      <c r="I341" s="481"/>
      <c r="J341" s="369"/>
      <c r="K341" s="481"/>
      <c r="L341" s="369"/>
      <c r="M341" s="481"/>
      <c r="N341" s="565"/>
      <c r="O341" s="48"/>
      <c r="P341" s="316"/>
      <c r="R341" s="125"/>
    </row>
    <row r="342" spans="1:18" x14ac:dyDescent="0.25">
      <c r="A342" s="13">
        <f t="shared" si="20"/>
        <v>97</v>
      </c>
      <c r="B342" s="16"/>
      <c r="C342" s="17"/>
      <c r="D342" s="369"/>
      <c r="E342" s="481"/>
      <c r="F342" s="369"/>
      <c r="G342" s="481"/>
      <c r="H342" s="369"/>
      <c r="I342" s="481"/>
      <c r="J342" s="369"/>
      <c r="K342" s="481"/>
      <c r="L342" s="369"/>
      <c r="M342" s="481"/>
      <c r="N342" s="565"/>
      <c r="O342" s="48"/>
      <c r="P342" s="316"/>
      <c r="R342" s="125"/>
    </row>
    <row r="343" spans="1:18" x14ac:dyDescent="0.25">
      <c r="A343" s="13">
        <f t="shared" si="20"/>
        <v>98</v>
      </c>
      <c r="B343" s="16"/>
      <c r="C343" s="17"/>
      <c r="D343" s="369"/>
      <c r="E343" s="481"/>
      <c r="F343" s="369"/>
      <c r="G343" s="481"/>
      <c r="H343" s="369"/>
      <c r="I343" s="481"/>
      <c r="J343" s="369"/>
      <c r="K343" s="481"/>
      <c r="L343" s="369"/>
      <c r="M343" s="481"/>
      <c r="N343" s="565"/>
      <c r="O343" s="48"/>
      <c r="P343" s="316"/>
      <c r="R343" s="125"/>
    </row>
    <row r="344" spans="1:18" x14ac:dyDescent="0.25">
      <c r="A344" s="13">
        <f t="shared" si="20"/>
        <v>99</v>
      </c>
    </row>
    <row r="345" spans="1:18" x14ac:dyDescent="0.25">
      <c r="A345" s="13">
        <f t="shared" si="20"/>
        <v>100</v>
      </c>
    </row>
    <row r="346" spans="1:18" x14ac:dyDescent="0.25">
      <c r="A346" s="13">
        <f t="shared" si="20"/>
        <v>101</v>
      </c>
    </row>
    <row r="347" spans="1:18" x14ac:dyDescent="0.25">
      <c r="A347" s="13">
        <f t="shared" si="20"/>
        <v>102</v>
      </c>
    </row>
    <row r="348" spans="1:18" x14ac:dyDescent="0.25">
      <c r="A348" s="13">
        <f t="shared" si="20"/>
        <v>103</v>
      </c>
    </row>
    <row r="349" spans="1:18" x14ac:dyDescent="0.25">
      <c r="A349" s="13"/>
    </row>
    <row r="350" spans="1:18" x14ac:dyDescent="0.25">
      <c r="A350" s="13"/>
    </row>
    <row r="351" spans="1:18" x14ac:dyDescent="0.25">
      <c r="A351" s="13"/>
    </row>
    <row r="352" spans="1:18" x14ac:dyDescent="0.25">
      <c r="A352" s="13"/>
    </row>
    <row r="353" spans="1:1" x14ac:dyDescent="0.25">
      <c r="A353" s="13"/>
    </row>
    <row r="354" spans="1:1" x14ac:dyDescent="0.25">
      <c r="A354" s="13"/>
    </row>
  </sheetData>
  <autoFilter ref="A1:AD34"/>
  <sortState ref="B2:AD33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1"/>
  <sheetViews>
    <sheetView topLeftCell="A10" workbookViewId="0">
      <selection activeCell="B33" sqref="B33"/>
    </sheetView>
  </sheetViews>
  <sheetFormatPr baseColWidth="10" defaultRowHeight="15" x14ac:dyDescent="0.25"/>
  <cols>
    <col min="1" max="1" width="3.5703125" customWidth="1"/>
    <col min="2" max="2" width="50.28515625" customWidth="1"/>
    <col min="3" max="3" width="4.7109375" customWidth="1"/>
    <col min="4" max="4" width="3.85546875" style="379" customWidth="1"/>
    <col min="5" max="5" width="3.42578125" style="504" customWidth="1"/>
    <col min="6" max="6" width="3.140625" style="379" customWidth="1"/>
    <col min="7" max="7" width="3.5703125" style="504" customWidth="1"/>
    <col min="8" max="8" width="3.5703125" style="379" customWidth="1"/>
    <col min="9" max="9" width="3.5703125" style="504" customWidth="1"/>
    <col min="10" max="10" width="3.28515625" style="379" customWidth="1"/>
    <col min="11" max="11" width="3.28515625" style="504" customWidth="1"/>
    <col min="12" max="12" width="3.28515625" style="379" customWidth="1"/>
    <col min="13" max="13" width="3.5703125" style="504" customWidth="1"/>
    <col min="14" max="14" width="3.42578125" customWidth="1"/>
    <col min="15" max="15" width="4.7109375" style="154" customWidth="1"/>
    <col min="16" max="16" width="6.85546875" bestFit="1" customWidth="1"/>
    <col min="17" max="17" width="7.5703125" bestFit="1" customWidth="1"/>
    <col min="18" max="18" width="5.7109375" customWidth="1"/>
    <col min="19" max="19" width="7.5703125" bestFit="1" customWidth="1"/>
    <col min="21" max="21" width="29.5703125" bestFit="1" customWidth="1"/>
  </cols>
  <sheetData>
    <row r="1" spans="1:19" ht="93.75" x14ac:dyDescent="0.25">
      <c r="A1" s="304" t="s">
        <v>0</v>
      </c>
      <c r="B1" s="305" t="s">
        <v>652</v>
      </c>
      <c r="C1" s="41" t="s">
        <v>10</v>
      </c>
      <c r="D1" s="358" t="s">
        <v>554</v>
      </c>
      <c r="E1" s="477" t="s">
        <v>555</v>
      </c>
      <c r="F1" s="358" t="s">
        <v>556</v>
      </c>
      <c r="G1" s="477" t="s">
        <v>557</v>
      </c>
      <c r="H1" s="358" t="s">
        <v>558</v>
      </c>
      <c r="I1" s="477" t="s">
        <v>559</v>
      </c>
      <c r="J1" s="358" t="s">
        <v>560</v>
      </c>
      <c r="K1" s="477" t="s">
        <v>563</v>
      </c>
      <c r="L1" s="358" t="s">
        <v>561</v>
      </c>
      <c r="M1" s="477" t="s">
        <v>562</v>
      </c>
      <c r="N1" s="263" t="s">
        <v>3</v>
      </c>
      <c r="O1" s="250" t="s">
        <v>4</v>
      </c>
      <c r="P1" s="219" t="s">
        <v>5</v>
      </c>
      <c r="Q1" s="269" t="s">
        <v>107</v>
      </c>
      <c r="R1" s="277" t="s">
        <v>539</v>
      </c>
      <c r="S1" s="269" t="s">
        <v>108</v>
      </c>
    </row>
    <row r="2" spans="1:19" ht="15.75" x14ac:dyDescent="0.25">
      <c r="A2" s="248">
        <v>1</v>
      </c>
      <c r="B2" s="463" t="s">
        <v>1238</v>
      </c>
      <c r="C2" s="340">
        <v>2</v>
      </c>
      <c r="D2" s="359"/>
      <c r="E2" s="478"/>
      <c r="F2" s="359"/>
      <c r="G2" s="478"/>
      <c r="H2" s="359"/>
      <c r="I2" s="478"/>
      <c r="J2" s="359"/>
      <c r="K2" s="478"/>
      <c r="L2" s="359"/>
      <c r="M2" s="478"/>
      <c r="N2" s="338"/>
      <c r="O2" s="343">
        <f t="shared" ref="O2:O33" si="0">SUM(C2-D2-E2-F2-G2-H2-I2-J2-K2-L2-M2-N2)</f>
        <v>2</v>
      </c>
      <c r="P2" s="10">
        <v>8</v>
      </c>
      <c r="Q2" s="7"/>
      <c r="R2" s="53"/>
      <c r="S2" s="309"/>
    </row>
    <row r="3" spans="1:19" ht="15.75" x14ac:dyDescent="0.25">
      <c r="A3" s="248">
        <f>A2+1</f>
        <v>2</v>
      </c>
      <c r="B3" s="314" t="s">
        <v>350</v>
      </c>
      <c r="C3" s="415">
        <v>38</v>
      </c>
      <c r="D3" s="363"/>
      <c r="E3" s="478"/>
      <c r="F3" s="360"/>
      <c r="G3" s="480"/>
      <c r="H3" s="360"/>
      <c r="I3" s="480"/>
      <c r="J3" s="360"/>
      <c r="K3" s="480"/>
      <c r="L3" s="360"/>
      <c r="M3" s="480"/>
      <c r="N3" s="8"/>
      <c r="O3" s="343">
        <f t="shared" si="0"/>
        <v>38</v>
      </c>
      <c r="P3" s="10">
        <v>2</v>
      </c>
      <c r="Q3" s="344"/>
      <c r="R3" s="318"/>
      <c r="S3" s="344">
        <v>44593</v>
      </c>
    </row>
    <row r="4" spans="1:19" ht="18" customHeight="1" x14ac:dyDescent="0.25">
      <c r="A4" s="248">
        <f>A3+1</f>
        <v>3</v>
      </c>
      <c r="B4" s="314" t="s">
        <v>658</v>
      </c>
      <c r="C4" s="280">
        <v>19</v>
      </c>
      <c r="D4" s="363"/>
      <c r="E4" s="478"/>
      <c r="F4" s="360"/>
      <c r="G4" s="480"/>
      <c r="H4" s="360"/>
      <c r="I4" s="480"/>
      <c r="J4" s="360"/>
      <c r="K4" s="480"/>
      <c r="L4" s="360"/>
      <c r="M4" s="480"/>
      <c r="N4" s="8"/>
      <c r="O4" s="343">
        <f t="shared" si="0"/>
        <v>19</v>
      </c>
      <c r="P4" s="10">
        <v>1</v>
      </c>
      <c r="Q4" s="8"/>
      <c r="R4" s="8"/>
      <c r="S4" s="8"/>
    </row>
    <row r="5" spans="1:19" ht="15.75" x14ac:dyDescent="0.25">
      <c r="A5" s="248">
        <f t="shared" ref="A5:A58" si="1">A4+1</f>
        <v>4</v>
      </c>
      <c r="B5" s="164" t="s">
        <v>836</v>
      </c>
      <c r="C5" s="102">
        <v>1</v>
      </c>
      <c r="D5" s="363"/>
      <c r="E5" s="478"/>
      <c r="F5" s="360"/>
      <c r="G5" s="480"/>
      <c r="H5" s="360"/>
      <c r="I5" s="480"/>
      <c r="J5" s="360"/>
      <c r="K5" s="480"/>
      <c r="L5" s="360"/>
      <c r="M5" s="480"/>
      <c r="N5" s="8"/>
      <c r="O5" s="343">
        <f t="shared" si="0"/>
        <v>1</v>
      </c>
      <c r="P5" s="169">
        <v>80</v>
      </c>
      <c r="Q5" s="81">
        <v>46692</v>
      </c>
      <c r="R5" s="14">
        <v>0</v>
      </c>
      <c r="S5" s="118">
        <v>45323</v>
      </c>
    </row>
    <row r="6" spans="1:19" ht="15.75" x14ac:dyDescent="0.25">
      <c r="A6" s="248">
        <f t="shared" si="1"/>
        <v>5</v>
      </c>
      <c r="B6" s="314" t="s">
        <v>967</v>
      </c>
      <c r="C6" s="340">
        <v>9</v>
      </c>
      <c r="D6" s="359"/>
      <c r="E6" s="478"/>
      <c r="F6" s="359"/>
      <c r="G6" s="478"/>
      <c r="H6" s="359"/>
      <c r="I6" s="478"/>
      <c r="J6" s="359"/>
      <c r="K6" s="478"/>
      <c r="L6" s="362"/>
      <c r="M6" s="499"/>
      <c r="N6" s="60"/>
      <c r="O6" s="343">
        <f t="shared" si="0"/>
        <v>9</v>
      </c>
      <c r="P6" s="7">
        <v>20</v>
      </c>
      <c r="Q6" s="344">
        <v>45658</v>
      </c>
      <c r="R6" s="53"/>
      <c r="S6" s="309"/>
    </row>
    <row r="7" spans="1:19" ht="15.75" x14ac:dyDescent="0.25">
      <c r="A7" s="248">
        <f t="shared" si="1"/>
        <v>6</v>
      </c>
      <c r="B7" s="314" t="s">
        <v>749</v>
      </c>
      <c r="C7" s="340">
        <v>27</v>
      </c>
      <c r="D7" s="363"/>
      <c r="E7" s="478"/>
      <c r="F7" s="360"/>
      <c r="G7" s="480"/>
      <c r="H7" s="360"/>
      <c r="I7" s="480"/>
      <c r="J7" s="360"/>
      <c r="K7" s="480"/>
      <c r="L7" s="360"/>
      <c r="M7" s="480"/>
      <c r="N7" s="8"/>
      <c r="O7" s="343">
        <f t="shared" si="0"/>
        <v>27</v>
      </c>
      <c r="P7" s="7">
        <v>1.8</v>
      </c>
      <c r="Q7" s="344">
        <v>46327</v>
      </c>
      <c r="R7" s="309"/>
      <c r="S7" s="344">
        <v>45261</v>
      </c>
    </row>
    <row r="8" spans="1:19" ht="15.75" x14ac:dyDescent="0.25">
      <c r="A8" s="248">
        <f t="shared" si="1"/>
        <v>7</v>
      </c>
      <c r="B8" s="314" t="s">
        <v>724</v>
      </c>
      <c r="C8" s="340">
        <v>1</v>
      </c>
      <c r="D8" s="363"/>
      <c r="E8" s="478"/>
      <c r="F8" s="360"/>
      <c r="G8" s="480"/>
      <c r="H8" s="360"/>
      <c r="I8" s="480"/>
      <c r="J8" s="360"/>
      <c r="K8" s="480"/>
      <c r="L8" s="360"/>
      <c r="M8" s="480"/>
      <c r="N8" s="8"/>
      <c r="O8" s="343">
        <f t="shared" si="0"/>
        <v>1</v>
      </c>
      <c r="P8" s="7">
        <v>5</v>
      </c>
      <c r="Q8" s="309"/>
      <c r="R8" s="53"/>
      <c r="S8" s="309"/>
    </row>
    <row r="9" spans="1:19" ht="15.75" x14ac:dyDescent="0.25">
      <c r="A9" s="248">
        <f t="shared" si="1"/>
        <v>8</v>
      </c>
      <c r="B9" s="4" t="s">
        <v>614</v>
      </c>
      <c r="C9" s="415">
        <v>1</v>
      </c>
      <c r="D9" s="363"/>
      <c r="E9" s="478"/>
      <c r="F9" s="360"/>
      <c r="G9" s="480"/>
      <c r="H9" s="360"/>
      <c r="I9" s="480"/>
      <c r="J9" s="360"/>
      <c r="K9" s="480"/>
      <c r="L9" s="360"/>
      <c r="M9" s="480"/>
      <c r="N9" s="8"/>
      <c r="O9" s="343">
        <f t="shared" si="0"/>
        <v>1</v>
      </c>
      <c r="P9" s="10">
        <v>78</v>
      </c>
      <c r="Q9" s="344">
        <v>46722</v>
      </c>
      <c r="R9" s="318"/>
      <c r="S9" s="344">
        <v>44986</v>
      </c>
    </row>
    <row r="10" spans="1:19" ht="15.75" x14ac:dyDescent="0.25">
      <c r="A10" s="248">
        <f t="shared" si="1"/>
        <v>9</v>
      </c>
      <c r="B10" s="164" t="s">
        <v>367</v>
      </c>
      <c r="C10" s="474">
        <v>1</v>
      </c>
      <c r="D10" s="363"/>
      <c r="E10" s="478"/>
      <c r="F10" s="360"/>
      <c r="G10" s="480"/>
      <c r="H10" s="360"/>
      <c r="I10" s="480"/>
      <c r="J10" s="360"/>
      <c r="K10" s="480"/>
      <c r="L10" s="360"/>
      <c r="M10" s="480"/>
      <c r="N10" s="8"/>
      <c r="O10" s="343">
        <f t="shared" si="0"/>
        <v>1</v>
      </c>
      <c r="P10" s="169">
        <v>10</v>
      </c>
      <c r="Q10" s="227"/>
      <c r="R10" s="320">
        <v>0</v>
      </c>
      <c r="S10" s="227">
        <v>44805</v>
      </c>
    </row>
    <row r="11" spans="1:19" ht="15.75" x14ac:dyDescent="0.25">
      <c r="A11" s="248">
        <f t="shared" si="1"/>
        <v>10</v>
      </c>
      <c r="B11" s="164" t="s">
        <v>368</v>
      </c>
      <c r="C11" s="474">
        <v>6</v>
      </c>
      <c r="D11" s="363"/>
      <c r="E11" s="478"/>
      <c r="F11" s="360"/>
      <c r="G11" s="480"/>
      <c r="H11" s="360"/>
      <c r="I11" s="480">
        <v>2</v>
      </c>
      <c r="J11" s="360"/>
      <c r="K11" s="480"/>
      <c r="L11" s="360"/>
      <c r="M11" s="480"/>
      <c r="N11" s="8"/>
      <c r="O11" s="343">
        <f t="shared" si="0"/>
        <v>4</v>
      </c>
      <c r="P11" s="169">
        <v>4</v>
      </c>
      <c r="Q11" s="227"/>
      <c r="R11" s="320">
        <v>8</v>
      </c>
      <c r="S11" s="227">
        <v>44774</v>
      </c>
    </row>
    <row r="12" spans="1:19" ht="15.75" x14ac:dyDescent="0.25">
      <c r="A12" s="248">
        <f t="shared" si="1"/>
        <v>11</v>
      </c>
      <c r="B12" s="314" t="s">
        <v>450</v>
      </c>
      <c r="C12" s="415">
        <v>2</v>
      </c>
      <c r="D12" s="363"/>
      <c r="E12" s="478"/>
      <c r="F12" s="360"/>
      <c r="G12" s="480"/>
      <c r="H12" s="360"/>
      <c r="I12" s="480"/>
      <c r="J12" s="360"/>
      <c r="K12" s="480"/>
      <c r="L12" s="360"/>
      <c r="M12" s="480"/>
      <c r="N12" s="8"/>
      <c r="O12" s="343">
        <f t="shared" si="0"/>
        <v>2</v>
      </c>
      <c r="P12" s="10">
        <v>8</v>
      </c>
      <c r="Q12" s="309"/>
      <c r="R12" s="318"/>
      <c r="S12" s="344">
        <v>44866</v>
      </c>
    </row>
    <row r="13" spans="1:19" ht="15.75" x14ac:dyDescent="0.25">
      <c r="A13" s="248">
        <f t="shared" si="1"/>
        <v>12</v>
      </c>
      <c r="B13" s="314" t="s">
        <v>369</v>
      </c>
      <c r="C13" s="280">
        <v>1</v>
      </c>
      <c r="D13" s="363"/>
      <c r="E13" s="478"/>
      <c r="F13" s="360"/>
      <c r="G13" s="480"/>
      <c r="H13" s="360"/>
      <c r="I13" s="480"/>
      <c r="J13" s="360"/>
      <c r="K13" s="480"/>
      <c r="L13" s="360"/>
      <c r="M13" s="480"/>
      <c r="N13" s="8"/>
      <c r="O13" s="343">
        <f t="shared" si="0"/>
        <v>1</v>
      </c>
      <c r="P13" s="10">
        <v>5</v>
      </c>
      <c r="Q13" s="344"/>
      <c r="R13" s="318">
        <v>3</v>
      </c>
      <c r="S13" s="344"/>
    </row>
    <row r="14" spans="1:19" ht="15.75" x14ac:dyDescent="0.25">
      <c r="A14" s="248">
        <f t="shared" si="1"/>
        <v>13</v>
      </c>
      <c r="B14" s="281" t="s">
        <v>218</v>
      </c>
      <c r="C14" s="340">
        <v>1</v>
      </c>
      <c r="D14" s="363"/>
      <c r="E14" s="478"/>
      <c r="F14" s="360"/>
      <c r="G14" s="480"/>
      <c r="H14" s="360"/>
      <c r="I14" s="480"/>
      <c r="J14" s="360"/>
      <c r="K14" s="480"/>
      <c r="L14" s="360"/>
      <c r="M14" s="480"/>
      <c r="N14" s="8"/>
      <c r="O14" s="343">
        <f t="shared" si="0"/>
        <v>1</v>
      </c>
      <c r="P14" s="10">
        <v>10</v>
      </c>
      <c r="Q14" s="309"/>
      <c r="R14" s="309"/>
      <c r="S14" s="309"/>
    </row>
    <row r="15" spans="1:19" ht="15.75" x14ac:dyDescent="0.25">
      <c r="A15" s="248">
        <f t="shared" si="1"/>
        <v>14</v>
      </c>
      <c r="B15" s="314" t="s">
        <v>735</v>
      </c>
      <c r="C15" s="340">
        <v>1</v>
      </c>
      <c r="D15" s="363"/>
      <c r="E15" s="478"/>
      <c r="F15" s="360"/>
      <c r="G15" s="480"/>
      <c r="H15" s="360"/>
      <c r="I15" s="480"/>
      <c r="J15" s="360"/>
      <c r="K15" s="480"/>
      <c r="L15" s="360"/>
      <c r="M15" s="480"/>
      <c r="N15" s="8"/>
      <c r="O15" s="343">
        <f t="shared" si="0"/>
        <v>1</v>
      </c>
      <c r="P15" s="7">
        <v>25</v>
      </c>
      <c r="Q15" s="309"/>
      <c r="R15" s="53"/>
      <c r="S15" s="309"/>
    </row>
    <row r="16" spans="1:19" ht="15.75" x14ac:dyDescent="0.25">
      <c r="A16" s="248">
        <f t="shared" si="1"/>
        <v>15</v>
      </c>
      <c r="B16" s="16" t="s">
        <v>1448</v>
      </c>
      <c r="C16" s="14">
        <v>1</v>
      </c>
      <c r="D16" s="378"/>
      <c r="E16" s="488"/>
      <c r="F16" s="378"/>
      <c r="G16" s="488"/>
      <c r="H16" s="378"/>
      <c r="I16" s="488"/>
      <c r="J16" s="378"/>
      <c r="K16" s="488"/>
      <c r="L16" s="378"/>
      <c r="M16" s="488"/>
      <c r="N16" s="16"/>
      <c r="O16" s="14">
        <f t="shared" si="0"/>
        <v>1</v>
      </c>
      <c r="P16" s="16">
        <v>150</v>
      </c>
      <c r="Q16" s="16"/>
      <c r="R16" s="16"/>
      <c r="S16" s="16"/>
    </row>
    <row r="17" spans="1:21" ht="15.75" x14ac:dyDescent="0.25">
      <c r="A17" s="248">
        <f t="shared" si="1"/>
        <v>16</v>
      </c>
      <c r="B17" s="164" t="s">
        <v>768</v>
      </c>
      <c r="C17" s="474">
        <v>1</v>
      </c>
      <c r="D17" s="363"/>
      <c r="E17" s="478"/>
      <c r="F17" s="360"/>
      <c r="G17" s="480"/>
      <c r="H17" s="360"/>
      <c r="I17" s="480"/>
      <c r="J17" s="360"/>
      <c r="K17" s="480"/>
      <c r="L17" s="360"/>
      <c r="M17" s="480"/>
      <c r="N17" s="8"/>
      <c r="O17" s="343">
        <f t="shared" si="0"/>
        <v>1</v>
      </c>
      <c r="P17" s="169">
        <v>23</v>
      </c>
      <c r="Q17" s="220"/>
      <c r="R17" s="275">
        <v>0</v>
      </c>
      <c r="S17" s="220">
        <v>44896</v>
      </c>
    </row>
    <row r="18" spans="1:21" ht="15.75" x14ac:dyDescent="0.25">
      <c r="A18" s="248">
        <f t="shared" si="1"/>
        <v>17</v>
      </c>
      <c r="B18" s="164" t="s">
        <v>769</v>
      </c>
      <c r="C18" s="474">
        <v>1</v>
      </c>
      <c r="D18" s="363"/>
      <c r="E18" s="478"/>
      <c r="F18" s="360"/>
      <c r="G18" s="480"/>
      <c r="H18" s="360"/>
      <c r="I18" s="480"/>
      <c r="J18" s="360"/>
      <c r="K18" s="480"/>
      <c r="L18" s="360"/>
      <c r="M18" s="480"/>
      <c r="N18" s="8"/>
      <c r="O18" s="343">
        <f t="shared" si="0"/>
        <v>1</v>
      </c>
      <c r="P18" s="169">
        <v>23</v>
      </c>
      <c r="Q18" s="233">
        <v>46082</v>
      </c>
      <c r="R18" s="231">
        <v>0</v>
      </c>
      <c r="S18" s="235">
        <v>44378</v>
      </c>
    </row>
    <row r="19" spans="1:21" ht="15.75" x14ac:dyDescent="0.25">
      <c r="A19" s="248">
        <f t="shared" si="1"/>
        <v>18</v>
      </c>
      <c r="B19" s="314" t="s">
        <v>741</v>
      </c>
      <c r="C19" s="340">
        <v>18</v>
      </c>
      <c r="D19" s="359"/>
      <c r="E19" s="478"/>
      <c r="F19" s="359"/>
      <c r="G19" s="478"/>
      <c r="H19" s="359"/>
      <c r="I19" s="478"/>
      <c r="J19" s="359"/>
      <c r="K19" s="478"/>
      <c r="L19" s="359"/>
      <c r="M19" s="478"/>
      <c r="N19" s="338"/>
      <c r="O19" s="343">
        <f t="shared" si="0"/>
        <v>18</v>
      </c>
      <c r="P19" s="542">
        <v>2</v>
      </c>
      <c r="Q19" s="7">
        <v>0.5</v>
      </c>
      <c r="R19" s="53"/>
      <c r="S19" s="344">
        <v>45292</v>
      </c>
    </row>
    <row r="20" spans="1:21" ht="15.75" x14ac:dyDescent="0.25">
      <c r="A20" s="248">
        <f t="shared" si="1"/>
        <v>19</v>
      </c>
      <c r="B20" s="314" t="s">
        <v>1366</v>
      </c>
      <c r="C20" s="280">
        <v>2</v>
      </c>
      <c r="D20" s="359"/>
      <c r="E20" s="478"/>
      <c r="F20" s="359"/>
      <c r="G20" s="478"/>
      <c r="H20" s="359"/>
      <c r="I20" s="478"/>
      <c r="J20" s="359"/>
      <c r="K20" s="478"/>
      <c r="L20" s="359"/>
      <c r="M20" s="478"/>
      <c r="N20" s="338"/>
      <c r="O20" s="343">
        <f t="shared" si="0"/>
        <v>2</v>
      </c>
      <c r="P20" s="7">
        <v>35</v>
      </c>
      <c r="Q20" s="7"/>
      <c r="R20" s="16"/>
      <c r="S20" s="16"/>
    </row>
    <row r="21" spans="1:21" ht="15.75" x14ac:dyDescent="0.25">
      <c r="A21" s="248">
        <f t="shared" si="1"/>
        <v>20</v>
      </c>
      <c r="B21" s="314" t="s">
        <v>1367</v>
      </c>
      <c r="C21" s="340">
        <v>2</v>
      </c>
      <c r="D21" s="363"/>
      <c r="E21" s="478"/>
      <c r="F21" s="360"/>
      <c r="G21" s="480"/>
      <c r="H21" s="360"/>
      <c r="I21" s="480"/>
      <c r="J21" s="360"/>
      <c r="K21" s="480"/>
      <c r="L21" s="360"/>
      <c r="M21" s="480"/>
      <c r="N21" s="8"/>
      <c r="O21" s="343">
        <f t="shared" si="0"/>
        <v>2</v>
      </c>
      <c r="P21" s="7">
        <v>25</v>
      </c>
      <c r="Q21" s="309"/>
      <c r="R21" s="53"/>
      <c r="S21" s="309"/>
    </row>
    <row r="22" spans="1:21" ht="15.75" x14ac:dyDescent="0.25">
      <c r="A22" s="248">
        <f t="shared" si="1"/>
        <v>21</v>
      </c>
      <c r="B22" s="314" t="s">
        <v>1363</v>
      </c>
      <c r="C22" s="340">
        <v>1</v>
      </c>
      <c r="D22" s="363"/>
      <c r="E22" s="478"/>
      <c r="F22" s="360"/>
      <c r="G22" s="480"/>
      <c r="H22" s="360"/>
      <c r="I22" s="480"/>
      <c r="J22" s="360"/>
      <c r="K22" s="480"/>
      <c r="L22" s="360"/>
      <c r="M22" s="480"/>
      <c r="N22" s="8"/>
      <c r="O22" s="343">
        <f t="shared" si="0"/>
        <v>1</v>
      </c>
      <c r="P22" s="10">
        <v>30</v>
      </c>
      <c r="Q22" s="344">
        <v>45839</v>
      </c>
      <c r="R22" s="318"/>
      <c r="S22" s="344">
        <v>44593</v>
      </c>
    </row>
    <row r="23" spans="1:21" ht="18" customHeight="1" x14ac:dyDescent="0.25">
      <c r="A23" s="248">
        <f t="shared" si="1"/>
        <v>22</v>
      </c>
      <c r="B23" s="164" t="s">
        <v>766</v>
      </c>
      <c r="C23" s="474">
        <v>2</v>
      </c>
      <c r="D23" s="363"/>
      <c r="E23" s="478"/>
      <c r="F23" s="360"/>
      <c r="G23" s="480"/>
      <c r="H23" s="360"/>
      <c r="I23" s="480"/>
      <c r="J23" s="360"/>
      <c r="K23" s="480"/>
      <c r="L23" s="360"/>
      <c r="M23" s="480"/>
      <c r="N23" s="8"/>
      <c r="O23" s="343">
        <f t="shared" si="0"/>
        <v>2</v>
      </c>
      <c r="P23" s="169">
        <v>22</v>
      </c>
      <c r="Q23" s="228">
        <v>45839</v>
      </c>
      <c r="R23" s="320">
        <v>0</v>
      </c>
      <c r="S23" s="227">
        <v>45292</v>
      </c>
    </row>
    <row r="24" spans="1:21" ht="15.75" x14ac:dyDescent="0.25">
      <c r="A24" s="248">
        <f t="shared" si="1"/>
        <v>23</v>
      </c>
      <c r="B24" s="314" t="s">
        <v>1365</v>
      </c>
      <c r="C24" s="340">
        <v>2</v>
      </c>
      <c r="D24" s="363"/>
      <c r="E24" s="478"/>
      <c r="F24" s="360"/>
      <c r="G24" s="480"/>
      <c r="H24" s="360"/>
      <c r="I24" s="480"/>
      <c r="J24" s="360"/>
      <c r="K24" s="480"/>
      <c r="L24" s="360"/>
      <c r="M24" s="480"/>
      <c r="N24" s="8"/>
      <c r="O24" s="343">
        <f t="shared" si="0"/>
        <v>2</v>
      </c>
      <c r="P24" s="7">
        <v>33</v>
      </c>
      <c r="Q24" s="77"/>
      <c r="R24" s="16">
        <v>2</v>
      </c>
      <c r="S24" s="77"/>
    </row>
    <row r="25" spans="1:21" ht="15.75" x14ac:dyDescent="0.25">
      <c r="A25" s="248">
        <f t="shared" si="1"/>
        <v>24</v>
      </c>
      <c r="B25" s="164" t="s">
        <v>1364</v>
      </c>
      <c r="C25" s="474">
        <v>2</v>
      </c>
      <c r="D25" s="363"/>
      <c r="E25" s="478"/>
      <c r="F25" s="360"/>
      <c r="G25" s="480"/>
      <c r="H25" s="360"/>
      <c r="I25" s="480"/>
      <c r="J25" s="360"/>
      <c r="K25" s="480"/>
      <c r="L25" s="360"/>
      <c r="M25" s="480"/>
      <c r="N25" s="8"/>
      <c r="O25" s="343">
        <f t="shared" si="0"/>
        <v>2</v>
      </c>
      <c r="P25" s="169">
        <v>25</v>
      </c>
      <c r="Q25" s="227"/>
      <c r="R25" s="320"/>
      <c r="S25" s="227"/>
    </row>
    <row r="26" spans="1:21" ht="15.75" x14ac:dyDescent="0.25">
      <c r="A26" s="248">
        <f t="shared" si="1"/>
        <v>25</v>
      </c>
      <c r="B26" s="16" t="s">
        <v>1449</v>
      </c>
      <c r="C26" s="14">
        <v>1</v>
      </c>
      <c r="D26" s="378">
        <v>1</v>
      </c>
      <c r="E26" s="488"/>
      <c r="F26" s="378"/>
      <c r="G26" s="488"/>
      <c r="H26" s="378"/>
      <c r="I26" s="488"/>
      <c r="J26" s="378"/>
      <c r="K26" s="488"/>
      <c r="L26" s="378"/>
      <c r="M26" s="488"/>
      <c r="N26" s="16"/>
      <c r="O26" s="14">
        <f t="shared" si="0"/>
        <v>0</v>
      </c>
      <c r="P26" s="7">
        <v>40</v>
      </c>
      <c r="Q26" s="407">
        <v>46054</v>
      </c>
      <c r="R26" s="16"/>
      <c r="S26" s="16"/>
      <c r="T26" s="469"/>
      <c r="U26" s="470"/>
    </row>
    <row r="27" spans="1:21" ht="15.75" x14ac:dyDescent="0.25">
      <c r="A27" s="248">
        <f t="shared" si="1"/>
        <v>26</v>
      </c>
      <c r="B27" s="314" t="s">
        <v>183</v>
      </c>
      <c r="C27" s="415">
        <v>16</v>
      </c>
      <c r="D27" s="363"/>
      <c r="E27" s="478"/>
      <c r="F27" s="360"/>
      <c r="G27" s="480"/>
      <c r="H27" s="360"/>
      <c r="I27" s="480"/>
      <c r="J27" s="360"/>
      <c r="K27" s="480"/>
      <c r="L27" s="360"/>
      <c r="M27" s="480"/>
      <c r="N27" s="8"/>
      <c r="O27" s="343">
        <f t="shared" si="0"/>
        <v>16</v>
      </c>
      <c r="P27" s="7">
        <v>1</v>
      </c>
      <c r="Q27" s="207"/>
      <c r="R27" s="53"/>
      <c r="S27" s="309"/>
    </row>
    <row r="28" spans="1:21" ht="15.75" x14ac:dyDescent="0.25">
      <c r="A28" s="248">
        <f t="shared" si="1"/>
        <v>27</v>
      </c>
      <c r="B28" s="314" t="s">
        <v>896</v>
      </c>
      <c r="C28" s="340">
        <v>4</v>
      </c>
      <c r="D28" s="363"/>
      <c r="E28" s="478"/>
      <c r="F28" s="360"/>
      <c r="G28" s="480"/>
      <c r="H28" s="360"/>
      <c r="I28" s="480"/>
      <c r="J28" s="360"/>
      <c r="K28" s="480"/>
      <c r="L28" s="360"/>
      <c r="M28" s="480"/>
      <c r="N28" s="8"/>
      <c r="O28" s="343">
        <f t="shared" si="0"/>
        <v>4</v>
      </c>
      <c r="P28" s="169">
        <v>6</v>
      </c>
      <c r="Q28" s="282"/>
      <c r="R28" s="320">
        <v>0</v>
      </c>
      <c r="S28" s="227">
        <v>44743</v>
      </c>
    </row>
    <row r="29" spans="1:21" ht="15.75" x14ac:dyDescent="0.25">
      <c r="A29" s="248">
        <f t="shared" si="1"/>
        <v>28</v>
      </c>
      <c r="B29" s="314" t="s">
        <v>284</v>
      </c>
      <c r="C29" s="340">
        <v>3.5</v>
      </c>
      <c r="D29" s="363"/>
      <c r="E29" s="478"/>
      <c r="F29" s="360"/>
      <c r="G29" s="480"/>
      <c r="H29" s="360"/>
      <c r="I29" s="480"/>
      <c r="J29" s="360"/>
      <c r="K29" s="480"/>
      <c r="L29" s="360"/>
      <c r="M29" s="480"/>
      <c r="N29" s="8"/>
      <c r="O29" s="343">
        <f t="shared" si="0"/>
        <v>3.5</v>
      </c>
      <c r="P29" s="10">
        <v>20</v>
      </c>
      <c r="Q29" s="198">
        <v>45658</v>
      </c>
      <c r="R29" s="318">
        <v>0</v>
      </c>
      <c r="S29" s="344">
        <v>44835</v>
      </c>
    </row>
    <row r="30" spans="1:21" ht="15.75" x14ac:dyDescent="0.25">
      <c r="A30" s="248">
        <f t="shared" si="1"/>
        <v>29</v>
      </c>
      <c r="B30" s="314" t="s">
        <v>1328</v>
      </c>
      <c r="C30" s="339">
        <v>1</v>
      </c>
      <c r="D30" s="363"/>
      <c r="E30" s="478"/>
      <c r="F30" s="360"/>
      <c r="G30" s="480"/>
      <c r="H30" s="360"/>
      <c r="I30" s="480"/>
      <c r="J30" s="360"/>
      <c r="K30" s="480"/>
      <c r="L30" s="360"/>
      <c r="M30" s="480"/>
      <c r="N30" s="8"/>
      <c r="O30" s="343">
        <f t="shared" si="0"/>
        <v>1</v>
      </c>
      <c r="P30" s="468">
        <v>12</v>
      </c>
      <c r="Q30" s="207"/>
      <c r="R30" s="53"/>
      <c r="S30" s="309"/>
    </row>
    <row r="31" spans="1:21" ht="15.75" x14ac:dyDescent="0.25">
      <c r="A31" s="248">
        <f t="shared" si="1"/>
        <v>30</v>
      </c>
      <c r="B31" s="314" t="s">
        <v>1309</v>
      </c>
      <c r="C31" s="340">
        <v>0</v>
      </c>
      <c r="D31" s="363"/>
      <c r="E31" s="478"/>
      <c r="F31" s="360"/>
      <c r="G31" s="480"/>
      <c r="H31" s="360"/>
      <c r="I31" s="480"/>
      <c r="J31" s="360"/>
      <c r="K31" s="480"/>
      <c r="L31" s="360"/>
      <c r="M31" s="480"/>
      <c r="N31" s="8"/>
      <c r="O31" s="343">
        <f t="shared" si="0"/>
        <v>0</v>
      </c>
      <c r="P31" s="7">
        <v>15</v>
      </c>
      <c r="Q31" s="344">
        <v>46966</v>
      </c>
      <c r="R31" s="53"/>
      <c r="S31" s="344">
        <v>45597</v>
      </c>
    </row>
    <row r="32" spans="1:21" ht="15.75" x14ac:dyDescent="0.25">
      <c r="A32" s="248">
        <f t="shared" si="1"/>
        <v>31</v>
      </c>
      <c r="B32" s="314" t="s">
        <v>502</v>
      </c>
      <c r="C32" s="415">
        <v>2</v>
      </c>
      <c r="D32" s="363"/>
      <c r="E32" s="478"/>
      <c r="F32" s="360"/>
      <c r="G32" s="480"/>
      <c r="H32" s="360"/>
      <c r="I32" s="480"/>
      <c r="J32" s="360"/>
      <c r="K32" s="480"/>
      <c r="L32" s="360"/>
      <c r="M32" s="480"/>
      <c r="N32" s="8"/>
      <c r="O32" s="343">
        <f t="shared" si="0"/>
        <v>2</v>
      </c>
      <c r="P32" s="10">
        <v>8</v>
      </c>
      <c r="Q32" s="539"/>
      <c r="R32" s="318">
        <v>1</v>
      </c>
      <c r="S32" s="99">
        <v>44287</v>
      </c>
    </row>
    <row r="33" spans="1:19" ht="15.75" x14ac:dyDescent="0.25">
      <c r="A33" s="248">
        <f t="shared" si="1"/>
        <v>32</v>
      </c>
      <c r="B33" s="314" t="s">
        <v>503</v>
      </c>
      <c r="C33" s="415">
        <v>3</v>
      </c>
      <c r="D33" s="363"/>
      <c r="E33" s="478"/>
      <c r="F33" s="360"/>
      <c r="G33" s="480"/>
      <c r="H33" s="360"/>
      <c r="I33" s="480"/>
      <c r="J33" s="360"/>
      <c r="K33" s="480"/>
      <c r="L33" s="360"/>
      <c r="M33" s="480"/>
      <c r="N33" s="8"/>
      <c r="O33" s="343">
        <f t="shared" si="0"/>
        <v>3</v>
      </c>
      <c r="P33" s="10">
        <v>8</v>
      </c>
      <c r="Q33" s="539"/>
      <c r="R33" s="318">
        <v>4</v>
      </c>
      <c r="S33" s="99">
        <v>44682</v>
      </c>
    </row>
    <row r="34" spans="1:19" ht="15.75" x14ac:dyDescent="0.25">
      <c r="A34" s="248">
        <f t="shared" si="1"/>
        <v>33</v>
      </c>
      <c r="B34" s="314" t="s">
        <v>1436</v>
      </c>
      <c r="C34" s="340">
        <v>3</v>
      </c>
      <c r="D34" s="378"/>
      <c r="E34" s="488"/>
      <c r="F34" s="378"/>
      <c r="G34" s="488"/>
      <c r="H34" s="378"/>
      <c r="I34" s="488"/>
      <c r="J34" s="378">
        <v>1</v>
      </c>
      <c r="K34" s="488"/>
      <c r="L34" s="378"/>
      <c r="M34" s="488"/>
      <c r="N34" s="16"/>
      <c r="O34" s="343">
        <f t="shared" ref="O34:O53" si="2">SUM(C34-D34-E34-F34-G34-H34-I34-J34-K34-L34-M34-N34)</f>
        <v>2</v>
      </c>
      <c r="P34" s="10">
        <v>22</v>
      </c>
      <c r="Q34" s="329"/>
      <c r="R34" s="16"/>
      <c r="S34" s="16"/>
    </row>
    <row r="35" spans="1:19" ht="15.75" x14ac:dyDescent="0.25">
      <c r="A35" s="248">
        <f t="shared" si="1"/>
        <v>34</v>
      </c>
      <c r="B35" s="314" t="s">
        <v>1159</v>
      </c>
      <c r="C35" s="415">
        <v>7</v>
      </c>
      <c r="D35" s="363"/>
      <c r="E35" s="478"/>
      <c r="F35" s="360"/>
      <c r="G35" s="480"/>
      <c r="H35" s="360"/>
      <c r="I35" s="480"/>
      <c r="J35" s="360"/>
      <c r="K35" s="480"/>
      <c r="L35" s="360"/>
      <c r="M35" s="480"/>
      <c r="N35" s="8"/>
      <c r="O35" s="343">
        <f t="shared" si="2"/>
        <v>7</v>
      </c>
      <c r="P35" s="7">
        <v>5</v>
      </c>
      <c r="Q35" s="207"/>
      <c r="R35" s="53"/>
      <c r="S35" s="309"/>
    </row>
    <row r="36" spans="1:19" ht="15.75" x14ac:dyDescent="0.25">
      <c r="A36" s="248">
        <f t="shared" si="1"/>
        <v>35</v>
      </c>
      <c r="B36" s="16" t="s">
        <v>1441</v>
      </c>
      <c r="C36" s="14">
        <v>1</v>
      </c>
      <c r="D36" s="378"/>
      <c r="E36" s="488"/>
      <c r="F36" s="378"/>
      <c r="G36" s="488"/>
      <c r="H36" s="378"/>
      <c r="I36" s="488"/>
      <c r="J36" s="378"/>
      <c r="K36" s="488"/>
      <c r="L36" s="378"/>
      <c r="M36" s="488"/>
      <c r="N36" s="16"/>
      <c r="O36" s="14">
        <f t="shared" si="2"/>
        <v>1</v>
      </c>
      <c r="P36" s="467">
        <v>150</v>
      </c>
      <c r="Q36" s="407">
        <v>46327</v>
      </c>
      <c r="R36" s="16"/>
      <c r="S36" s="77">
        <v>45717</v>
      </c>
    </row>
    <row r="37" spans="1:19" ht="15.75" x14ac:dyDescent="0.25">
      <c r="A37" s="248">
        <f t="shared" si="1"/>
        <v>36</v>
      </c>
      <c r="B37" s="314" t="s">
        <v>189</v>
      </c>
      <c r="C37" s="340">
        <v>1</v>
      </c>
      <c r="D37" s="363"/>
      <c r="E37" s="478"/>
      <c r="F37" s="360"/>
      <c r="G37" s="480"/>
      <c r="H37" s="360"/>
      <c r="I37" s="480"/>
      <c r="J37" s="360"/>
      <c r="K37" s="480"/>
      <c r="L37" s="360"/>
      <c r="M37" s="480"/>
      <c r="N37" s="8"/>
      <c r="O37" s="343">
        <f t="shared" si="2"/>
        <v>1</v>
      </c>
      <c r="P37" s="10">
        <v>10</v>
      </c>
      <c r="Q37" s="680">
        <v>45536</v>
      </c>
      <c r="R37" s="273"/>
      <c r="S37" s="344">
        <v>44621</v>
      </c>
    </row>
    <row r="38" spans="1:19" ht="17.25" customHeight="1" x14ac:dyDescent="0.25">
      <c r="A38" s="248">
        <f t="shared" si="1"/>
        <v>37</v>
      </c>
      <c r="B38" s="164" t="s">
        <v>546</v>
      </c>
      <c r="C38" s="474">
        <v>1</v>
      </c>
      <c r="D38" s="363"/>
      <c r="E38" s="478"/>
      <c r="F38" s="360"/>
      <c r="G38" s="480"/>
      <c r="H38" s="360"/>
      <c r="I38" s="480"/>
      <c r="J38" s="360"/>
      <c r="K38" s="480"/>
      <c r="L38" s="360"/>
      <c r="M38" s="480"/>
      <c r="N38" s="8"/>
      <c r="O38" s="343">
        <f t="shared" si="2"/>
        <v>1</v>
      </c>
      <c r="P38" s="169">
        <v>8</v>
      </c>
      <c r="Q38" s="234"/>
      <c r="R38" s="240">
        <v>0</v>
      </c>
      <c r="S38" s="235">
        <v>43405</v>
      </c>
    </row>
    <row r="39" spans="1:19" ht="15.75" x14ac:dyDescent="0.25">
      <c r="A39" s="248">
        <f t="shared" si="1"/>
        <v>38</v>
      </c>
      <c r="B39" s="314" t="s">
        <v>997</v>
      </c>
      <c r="C39" s="340">
        <v>1</v>
      </c>
      <c r="D39" s="363"/>
      <c r="E39" s="478"/>
      <c r="F39" s="360"/>
      <c r="G39" s="480"/>
      <c r="H39" s="360"/>
      <c r="I39" s="480"/>
      <c r="J39" s="360"/>
      <c r="K39" s="480"/>
      <c r="L39" s="360"/>
      <c r="M39" s="480"/>
      <c r="N39" s="8"/>
      <c r="O39" s="343">
        <f t="shared" si="2"/>
        <v>1</v>
      </c>
      <c r="P39" s="468">
        <v>29</v>
      </c>
      <c r="Q39" s="207"/>
      <c r="R39" s="309">
        <v>1</v>
      </c>
      <c r="S39" s="344">
        <v>45536</v>
      </c>
    </row>
    <row r="40" spans="1:19" ht="15.75" x14ac:dyDescent="0.25">
      <c r="A40" s="248">
        <f t="shared" si="1"/>
        <v>39</v>
      </c>
      <c r="B40" s="314" t="s">
        <v>529</v>
      </c>
      <c r="C40" s="340">
        <v>1</v>
      </c>
      <c r="D40" s="363"/>
      <c r="E40" s="478"/>
      <c r="F40" s="360"/>
      <c r="G40" s="480"/>
      <c r="H40" s="360"/>
      <c r="I40" s="480"/>
      <c r="J40" s="360"/>
      <c r="K40" s="480"/>
      <c r="L40" s="360"/>
      <c r="M40" s="480"/>
      <c r="N40" s="8"/>
      <c r="O40" s="343">
        <f t="shared" si="2"/>
        <v>1</v>
      </c>
      <c r="P40" s="7">
        <v>40</v>
      </c>
      <c r="Q40" s="187">
        <v>45992</v>
      </c>
      <c r="R40" s="110"/>
      <c r="S40" s="332">
        <v>44774</v>
      </c>
    </row>
    <row r="41" spans="1:19" ht="15.75" x14ac:dyDescent="0.25">
      <c r="A41" s="248">
        <f t="shared" si="1"/>
        <v>40</v>
      </c>
      <c r="B41" s="314" t="s">
        <v>530</v>
      </c>
      <c r="C41" s="340">
        <v>24</v>
      </c>
      <c r="D41" s="359"/>
      <c r="E41" s="478"/>
      <c r="F41" s="359"/>
      <c r="G41" s="478"/>
      <c r="H41" s="359"/>
      <c r="I41" s="478"/>
      <c r="J41" s="359"/>
      <c r="K41" s="478"/>
      <c r="L41" s="359"/>
      <c r="M41" s="478"/>
      <c r="N41" s="338"/>
      <c r="O41" s="343">
        <f t="shared" si="2"/>
        <v>24</v>
      </c>
      <c r="P41" s="7">
        <v>6</v>
      </c>
      <c r="Q41" s="329"/>
      <c r="R41" s="16"/>
      <c r="S41" s="16"/>
    </row>
    <row r="42" spans="1:19" ht="15.75" x14ac:dyDescent="0.25">
      <c r="A42" s="248">
        <f t="shared" si="1"/>
        <v>41</v>
      </c>
      <c r="B42" s="164" t="s">
        <v>575</v>
      </c>
      <c r="C42" s="474">
        <v>5</v>
      </c>
      <c r="D42" s="363"/>
      <c r="E42" s="478"/>
      <c r="F42" s="360"/>
      <c r="G42" s="480"/>
      <c r="H42" s="360"/>
      <c r="I42" s="480"/>
      <c r="J42" s="360"/>
      <c r="K42" s="480"/>
      <c r="L42" s="360"/>
      <c r="M42" s="480"/>
      <c r="N42" s="8"/>
      <c r="O42" s="343">
        <f t="shared" si="2"/>
        <v>5</v>
      </c>
      <c r="P42" s="186">
        <v>10</v>
      </c>
      <c r="Q42" s="282">
        <v>45839</v>
      </c>
      <c r="R42" s="320">
        <v>7</v>
      </c>
      <c r="S42" s="227">
        <v>44927</v>
      </c>
    </row>
    <row r="43" spans="1:19" ht="15.75" x14ac:dyDescent="0.25">
      <c r="A43" s="248">
        <f t="shared" si="1"/>
        <v>42</v>
      </c>
      <c r="B43" s="314" t="s">
        <v>1360</v>
      </c>
      <c r="C43" s="340">
        <v>19</v>
      </c>
      <c r="D43" s="363"/>
      <c r="E43" s="478"/>
      <c r="F43" s="360"/>
      <c r="G43" s="480"/>
      <c r="H43" s="360"/>
      <c r="I43" s="480"/>
      <c r="J43" s="360"/>
      <c r="K43" s="480"/>
      <c r="L43" s="360"/>
      <c r="M43" s="480"/>
      <c r="N43" s="8"/>
      <c r="O43" s="343">
        <f t="shared" si="2"/>
        <v>19</v>
      </c>
      <c r="P43" s="10">
        <v>3.5</v>
      </c>
      <c r="Q43" s="615"/>
      <c r="R43" s="8"/>
      <c r="S43" s="99"/>
    </row>
    <row r="44" spans="1:19" ht="15.75" x14ac:dyDescent="0.25">
      <c r="A44" s="248">
        <f t="shared" si="1"/>
        <v>43</v>
      </c>
      <c r="B44" s="314" t="s">
        <v>404</v>
      </c>
      <c r="C44" s="280">
        <v>1</v>
      </c>
      <c r="D44" s="363"/>
      <c r="E44" s="478"/>
      <c r="F44" s="360"/>
      <c r="G44" s="480"/>
      <c r="H44" s="360"/>
      <c r="I44" s="480"/>
      <c r="J44" s="360"/>
      <c r="K44" s="480"/>
      <c r="L44" s="360"/>
      <c r="M44" s="480"/>
      <c r="N44" s="8"/>
      <c r="O44" s="343">
        <f t="shared" si="2"/>
        <v>1</v>
      </c>
      <c r="P44" s="10">
        <v>1.2</v>
      </c>
      <c r="Q44" s="198">
        <v>45748</v>
      </c>
      <c r="R44" s="53"/>
      <c r="S44" s="344">
        <v>45170</v>
      </c>
    </row>
    <row r="45" spans="1:19" ht="15.75" x14ac:dyDescent="0.25">
      <c r="A45" s="248">
        <f t="shared" si="1"/>
        <v>44</v>
      </c>
      <c r="B45" s="314" t="s">
        <v>1430</v>
      </c>
      <c r="C45" s="280">
        <v>1</v>
      </c>
      <c r="D45" s="378"/>
      <c r="E45" s="488"/>
      <c r="F45" s="378"/>
      <c r="G45" s="488"/>
      <c r="H45" s="378"/>
      <c r="I45" s="488"/>
      <c r="J45" s="378"/>
      <c r="K45" s="488"/>
      <c r="L45" s="378"/>
      <c r="M45" s="488"/>
      <c r="N45" s="16"/>
      <c r="O45" s="343">
        <f t="shared" si="2"/>
        <v>1</v>
      </c>
      <c r="P45" s="467">
        <v>50</v>
      </c>
      <c r="Q45" s="77">
        <v>45901</v>
      </c>
      <c r="R45" s="16"/>
      <c r="S45" s="16"/>
    </row>
    <row r="46" spans="1:19" ht="15.75" x14ac:dyDescent="0.25">
      <c r="A46" s="248">
        <f t="shared" si="1"/>
        <v>45</v>
      </c>
      <c r="B46" s="314" t="s">
        <v>586</v>
      </c>
      <c r="C46" s="340">
        <v>10</v>
      </c>
      <c r="D46" s="363"/>
      <c r="E46" s="478"/>
      <c r="F46" s="360"/>
      <c r="G46" s="480"/>
      <c r="H46" s="360"/>
      <c r="I46" s="480"/>
      <c r="J46" s="360"/>
      <c r="K46" s="480"/>
      <c r="L46" s="360"/>
      <c r="M46" s="480"/>
      <c r="N46" s="8"/>
      <c r="O46" s="343">
        <f t="shared" si="2"/>
        <v>10</v>
      </c>
      <c r="P46" s="7">
        <v>1.5</v>
      </c>
      <c r="Q46" s="309"/>
      <c r="R46" s="53"/>
      <c r="S46" s="309"/>
    </row>
    <row r="47" spans="1:19" ht="15.75" x14ac:dyDescent="0.25">
      <c r="A47" s="248">
        <f t="shared" si="1"/>
        <v>46</v>
      </c>
      <c r="B47" s="314" t="s">
        <v>927</v>
      </c>
      <c r="C47" s="340">
        <v>2</v>
      </c>
      <c r="D47" s="363"/>
      <c r="E47" s="478"/>
      <c r="F47" s="360"/>
      <c r="G47" s="480"/>
      <c r="H47" s="360"/>
      <c r="I47" s="480"/>
      <c r="J47" s="360"/>
      <c r="K47" s="480"/>
      <c r="L47" s="360"/>
      <c r="M47" s="480"/>
      <c r="N47" s="8"/>
      <c r="O47" s="343">
        <f t="shared" si="2"/>
        <v>2</v>
      </c>
      <c r="P47" s="7">
        <v>1</v>
      </c>
      <c r="Q47" s="309"/>
      <c r="R47" s="53"/>
      <c r="S47" s="309"/>
    </row>
    <row r="48" spans="1:19" ht="15.75" x14ac:dyDescent="0.25">
      <c r="A48" s="248">
        <f t="shared" si="1"/>
        <v>47</v>
      </c>
      <c r="B48" s="314" t="s">
        <v>885</v>
      </c>
      <c r="C48" s="340">
        <v>11</v>
      </c>
      <c r="D48" s="363"/>
      <c r="E48" s="478"/>
      <c r="F48" s="360"/>
      <c r="G48" s="480"/>
      <c r="H48" s="360"/>
      <c r="I48" s="480"/>
      <c r="J48" s="360"/>
      <c r="K48" s="480"/>
      <c r="L48" s="360"/>
      <c r="M48" s="480"/>
      <c r="N48" s="8"/>
      <c r="O48" s="343">
        <f t="shared" si="2"/>
        <v>11</v>
      </c>
      <c r="P48" s="10">
        <v>29</v>
      </c>
      <c r="Q48" s="103"/>
      <c r="R48" s="8"/>
      <c r="S48" s="105"/>
    </row>
    <row r="49" spans="1:21" ht="15.75" x14ac:dyDescent="0.25">
      <c r="A49" s="248">
        <f t="shared" si="1"/>
        <v>48</v>
      </c>
      <c r="B49" s="164" t="s">
        <v>396</v>
      </c>
      <c r="C49" s="474">
        <v>3</v>
      </c>
      <c r="D49" s="363"/>
      <c r="E49" s="478"/>
      <c r="F49" s="360"/>
      <c r="G49" s="480"/>
      <c r="H49" s="360"/>
      <c r="I49" s="480"/>
      <c r="J49" s="360"/>
      <c r="K49" s="480"/>
      <c r="L49" s="360"/>
      <c r="M49" s="480"/>
      <c r="N49" s="8"/>
      <c r="O49" s="343">
        <f t="shared" si="2"/>
        <v>3</v>
      </c>
      <c r="P49" s="169">
        <v>8</v>
      </c>
      <c r="Q49" s="223"/>
      <c r="R49" s="320">
        <v>18</v>
      </c>
      <c r="S49" s="227">
        <v>44835</v>
      </c>
    </row>
    <row r="50" spans="1:21" ht="15.75" x14ac:dyDescent="0.25">
      <c r="A50" s="248">
        <f t="shared" si="1"/>
        <v>49</v>
      </c>
      <c r="B50" s="314" t="s">
        <v>1001</v>
      </c>
      <c r="C50" s="340">
        <v>1</v>
      </c>
      <c r="D50" s="363"/>
      <c r="E50" s="478"/>
      <c r="F50" s="360"/>
      <c r="G50" s="480"/>
      <c r="H50" s="360"/>
      <c r="I50" s="480"/>
      <c r="J50" s="360"/>
      <c r="K50" s="480"/>
      <c r="L50" s="360"/>
      <c r="M50" s="480"/>
      <c r="N50" s="8"/>
      <c r="O50" s="343">
        <f t="shared" si="2"/>
        <v>1</v>
      </c>
      <c r="P50" s="468">
        <v>10</v>
      </c>
      <c r="Q50" s="309"/>
      <c r="R50" s="309"/>
      <c r="S50" s="309"/>
    </row>
    <row r="51" spans="1:21" ht="15.75" x14ac:dyDescent="0.25">
      <c r="A51" s="248">
        <f t="shared" si="1"/>
        <v>50</v>
      </c>
      <c r="B51" s="314" t="s">
        <v>449</v>
      </c>
      <c r="C51" s="340">
        <v>2.2999999999999998</v>
      </c>
      <c r="D51" s="363"/>
      <c r="E51" s="478"/>
      <c r="F51" s="360"/>
      <c r="G51" s="480"/>
      <c r="H51" s="360"/>
      <c r="I51" s="480"/>
      <c r="J51" s="360"/>
      <c r="K51" s="480"/>
      <c r="L51" s="360"/>
      <c r="M51" s="480"/>
      <c r="N51" s="8"/>
      <c r="O51" s="343">
        <f t="shared" si="2"/>
        <v>2.2999999999999998</v>
      </c>
      <c r="P51" s="10">
        <v>10</v>
      </c>
      <c r="Q51" s="344"/>
      <c r="R51" s="8"/>
      <c r="S51" s="340"/>
    </row>
    <row r="52" spans="1:21" ht="15.75" x14ac:dyDescent="0.25">
      <c r="A52" s="248">
        <f t="shared" si="1"/>
        <v>51</v>
      </c>
      <c r="B52" s="588" t="s">
        <v>678</v>
      </c>
      <c r="C52" s="599">
        <v>1</v>
      </c>
      <c r="D52" s="388"/>
      <c r="E52" s="507"/>
      <c r="F52" s="388"/>
      <c r="G52" s="507"/>
      <c r="H52" s="388"/>
      <c r="I52" s="507"/>
      <c r="J52" s="383"/>
      <c r="K52" s="508"/>
      <c r="L52" s="388"/>
      <c r="M52" s="507"/>
      <c r="N52" s="320"/>
      <c r="O52" s="343">
        <f t="shared" si="2"/>
        <v>1</v>
      </c>
      <c r="P52" s="669">
        <v>60</v>
      </c>
      <c r="Q52" s="169"/>
      <c r="R52" s="318"/>
      <c r="S52" s="344">
        <v>44256</v>
      </c>
    </row>
    <row r="53" spans="1:21" ht="15.75" x14ac:dyDescent="0.25">
      <c r="A53" s="248">
        <f t="shared" si="1"/>
        <v>52</v>
      </c>
      <c r="B53" s="314" t="s">
        <v>1469</v>
      </c>
      <c r="C53" s="340">
        <v>12</v>
      </c>
      <c r="D53" s="363"/>
      <c r="E53" s="478"/>
      <c r="F53" s="360"/>
      <c r="G53" s="480"/>
      <c r="H53" s="360"/>
      <c r="I53" s="480"/>
      <c r="J53" s="360"/>
      <c r="K53" s="480"/>
      <c r="L53" s="360"/>
      <c r="M53" s="480"/>
      <c r="N53" s="8"/>
      <c r="O53" s="343">
        <f t="shared" si="2"/>
        <v>12</v>
      </c>
      <c r="P53" s="7">
        <v>20</v>
      </c>
      <c r="Q53" s="309"/>
      <c r="R53" s="53"/>
      <c r="S53" s="309"/>
    </row>
    <row r="54" spans="1:21" ht="15.75" x14ac:dyDescent="0.25">
      <c r="A54" s="248">
        <f t="shared" si="1"/>
        <v>53</v>
      </c>
      <c r="B54" s="16"/>
      <c r="C54" s="16"/>
      <c r="D54" s="378"/>
      <c r="E54" s="488"/>
      <c r="F54" s="378"/>
      <c r="G54" s="488"/>
      <c r="H54" s="378"/>
      <c r="I54" s="488"/>
      <c r="J54" s="378"/>
      <c r="K54" s="488"/>
      <c r="L54" s="378"/>
      <c r="M54" s="488"/>
      <c r="N54" s="16"/>
      <c r="O54" s="14"/>
      <c r="P54" s="7"/>
      <c r="Q54" s="16"/>
      <c r="R54" s="16"/>
      <c r="S54" s="16"/>
    </row>
    <row r="55" spans="1:21" ht="15.75" x14ac:dyDescent="0.25">
      <c r="A55" s="248">
        <f t="shared" si="1"/>
        <v>54</v>
      </c>
      <c r="B55" s="16"/>
      <c r="C55" s="16"/>
      <c r="D55" s="378"/>
      <c r="E55" s="488"/>
      <c r="F55" s="378"/>
      <c r="G55" s="488"/>
      <c r="H55" s="378"/>
      <c r="I55" s="488"/>
      <c r="J55" s="378"/>
      <c r="K55" s="488"/>
      <c r="L55" s="378"/>
      <c r="M55" s="488"/>
      <c r="N55" s="16"/>
      <c r="O55" s="14"/>
      <c r="P55" s="7"/>
      <c r="Q55" s="16"/>
      <c r="R55" s="16"/>
      <c r="S55" s="16"/>
    </row>
    <row r="56" spans="1:21" ht="15.75" x14ac:dyDescent="0.25">
      <c r="A56" s="248">
        <f t="shared" si="1"/>
        <v>55</v>
      </c>
      <c r="B56" s="16"/>
      <c r="C56" s="16"/>
      <c r="D56" s="378"/>
      <c r="E56" s="488"/>
      <c r="F56" s="378"/>
      <c r="G56" s="488"/>
      <c r="H56" s="378"/>
      <c r="I56" s="488"/>
      <c r="J56" s="378"/>
      <c r="K56" s="488"/>
      <c r="L56" s="378"/>
      <c r="M56" s="488"/>
      <c r="N56" s="16"/>
      <c r="O56" s="14"/>
      <c r="P56" s="7"/>
      <c r="Q56" s="16"/>
      <c r="R56" s="16"/>
      <c r="S56" s="16"/>
    </row>
    <row r="57" spans="1:21" ht="15.75" x14ac:dyDescent="0.25">
      <c r="A57" s="248">
        <f t="shared" si="1"/>
        <v>56</v>
      </c>
      <c r="B57" s="16"/>
      <c r="C57" s="16"/>
      <c r="D57" s="378"/>
      <c r="E57" s="488"/>
      <c r="F57" s="378"/>
      <c r="G57" s="488"/>
      <c r="H57" s="378"/>
      <c r="I57" s="488"/>
      <c r="J57" s="378"/>
      <c r="K57" s="488"/>
      <c r="L57" s="378"/>
      <c r="M57" s="488"/>
      <c r="N57" s="16"/>
      <c r="O57" s="14"/>
      <c r="P57" s="7"/>
      <c r="Q57" s="16"/>
      <c r="R57" s="16"/>
      <c r="S57" s="16"/>
    </row>
    <row r="58" spans="1:21" ht="15.75" x14ac:dyDescent="0.25">
      <c r="A58" s="248">
        <f t="shared" si="1"/>
        <v>57</v>
      </c>
      <c r="B58" s="16"/>
      <c r="C58" s="16"/>
      <c r="D58" s="378"/>
      <c r="E58" s="488"/>
      <c r="F58" s="378"/>
      <c r="G58" s="488"/>
      <c r="H58" s="378"/>
      <c r="I58" s="488"/>
      <c r="J58" s="378"/>
      <c r="K58" s="488"/>
      <c r="L58" s="378"/>
      <c r="M58" s="488"/>
      <c r="N58" s="16"/>
      <c r="O58" s="14"/>
      <c r="P58" s="7"/>
      <c r="Q58" s="16"/>
      <c r="R58" s="16"/>
      <c r="S58" s="16"/>
    </row>
    <row r="61" spans="1:21" ht="28.5" customHeight="1" x14ac:dyDescent="3.65">
      <c r="U61" s="552"/>
    </row>
  </sheetData>
  <autoFilter ref="A1:S50"/>
  <sortState ref="B2:S53">
    <sortCondition ref="B2"/>
  </sortState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/>
  <dimension ref="B2:B3"/>
  <sheetViews>
    <sheetView workbookViewId="0">
      <selection activeCell="B3" sqref="B3"/>
    </sheetView>
  </sheetViews>
  <sheetFormatPr baseColWidth="10" defaultRowHeight="15" x14ac:dyDescent="0.25"/>
  <cols>
    <col min="2" max="2" width="12.7109375" bestFit="1" customWidth="1"/>
  </cols>
  <sheetData>
    <row r="2" spans="2:2" x14ac:dyDescent="0.25">
      <c r="B2" t="s">
        <v>434</v>
      </c>
    </row>
    <row r="3" spans="2:2" x14ac:dyDescent="0.25">
      <c r="B3" s="400">
        <f>' BYF'!G182+ROSADEL!G209+' COIDE '!G174+'TORRE FUERTE'!G15+BENDICION!G209+ESTUARDO!G115+'PRECIO BAJO'!G42+AMICELCO!G34+INFASA!G28+'ROXVEL Y RABI'!G30+OLAM!G68+LAFIMARQ!G60+TIENDA!G122+GENESIS!G81</f>
        <v>57093.130000000005</v>
      </c>
    </row>
  </sheetData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7"/>
  <sheetViews>
    <sheetView topLeftCell="A15" zoomScale="85" zoomScaleNormal="85" workbookViewId="0">
      <selection activeCell="B34" sqref="B34"/>
    </sheetView>
  </sheetViews>
  <sheetFormatPr baseColWidth="10" defaultRowHeight="15" x14ac:dyDescent="0.25"/>
  <cols>
    <col min="1" max="1" width="4" bestFit="1" customWidth="1"/>
    <col min="2" max="2" width="57" bestFit="1" customWidth="1"/>
    <col min="3" max="3" width="4" bestFit="1" customWidth="1"/>
    <col min="5" max="5" width="25.85546875" customWidth="1"/>
  </cols>
  <sheetData>
    <row r="1" spans="1:14" x14ac:dyDescent="0.25">
      <c r="A1" t="s">
        <v>1398</v>
      </c>
      <c r="B1" t="s">
        <v>1387</v>
      </c>
      <c r="C1" t="s">
        <v>1388</v>
      </c>
      <c r="D1" t="s">
        <v>1389</v>
      </c>
      <c r="E1" t="s">
        <v>1399</v>
      </c>
      <c r="F1" t="s">
        <v>5</v>
      </c>
      <c r="G1" t="s">
        <v>1390</v>
      </c>
      <c r="H1" t="s">
        <v>1391</v>
      </c>
      <c r="I1" t="s">
        <v>1392</v>
      </c>
      <c r="J1" t="s">
        <v>1393</v>
      </c>
      <c r="K1" t="s">
        <v>1394</v>
      </c>
      <c r="L1" t="s">
        <v>1395</v>
      </c>
      <c r="M1" t="s">
        <v>1396</v>
      </c>
      <c r="N1" t="s">
        <v>1397</v>
      </c>
    </row>
    <row r="2" spans="1:14" x14ac:dyDescent="0.25">
      <c r="A2" s="314">
        <v>1</v>
      </c>
      <c r="B2" s="314" t="s">
        <v>296</v>
      </c>
      <c r="C2" s="339">
        <v>3</v>
      </c>
      <c r="D2" s="10">
        <v>6.5</v>
      </c>
      <c r="E2" s="10" t="s">
        <v>1400</v>
      </c>
      <c r="F2" s="7">
        <v>11</v>
      </c>
      <c r="G2" s="335">
        <v>46235</v>
      </c>
      <c r="H2" s="344">
        <v>45627</v>
      </c>
    </row>
    <row r="3" spans="1:14" x14ac:dyDescent="0.25">
      <c r="A3" s="314">
        <f>A2+1</f>
        <v>2</v>
      </c>
      <c r="B3" s="588" t="s">
        <v>1225</v>
      </c>
      <c r="C3" s="589">
        <v>147</v>
      </c>
      <c r="D3" s="10">
        <v>1.27</v>
      </c>
      <c r="E3" s="10" t="s">
        <v>1402</v>
      </c>
      <c r="F3" s="7">
        <v>2.1</v>
      </c>
      <c r="G3" s="591">
        <v>45717</v>
      </c>
      <c r="H3" s="344">
        <v>45597</v>
      </c>
    </row>
    <row r="4" spans="1:14" x14ac:dyDescent="0.25">
      <c r="A4" s="314">
        <f t="shared" ref="A4:A67" si="0">A3+1</f>
        <v>3</v>
      </c>
      <c r="B4" s="314" t="s">
        <v>409</v>
      </c>
      <c r="C4" s="340">
        <v>2</v>
      </c>
      <c r="D4" s="10">
        <v>19.95</v>
      </c>
      <c r="E4" s="10" t="s">
        <v>1400</v>
      </c>
      <c r="F4" s="7">
        <v>38</v>
      </c>
      <c r="G4" s="335">
        <v>45931</v>
      </c>
      <c r="H4" s="344">
        <v>45231</v>
      </c>
    </row>
    <row r="5" spans="1:14" x14ac:dyDescent="0.25">
      <c r="A5" s="314">
        <f t="shared" si="0"/>
        <v>4</v>
      </c>
      <c r="B5" s="588" t="s">
        <v>1229</v>
      </c>
      <c r="C5" s="590">
        <v>8</v>
      </c>
      <c r="D5" s="404">
        <v>0.8</v>
      </c>
      <c r="E5" s="404" t="s">
        <v>1404</v>
      </c>
      <c r="F5" s="7">
        <v>2.5</v>
      </c>
      <c r="G5" s="592">
        <v>45748</v>
      </c>
      <c r="H5" s="83">
        <v>45352</v>
      </c>
    </row>
    <row r="6" spans="1:14" x14ac:dyDescent="0.25">
      <c r="A6" s="314">
        <f t="shared" si="0"/>
        <v>5</v>
      </c>
      <c r="B6" s="4" t="s">
        <v>1313</v>
      </c>
      <c r="C6" s="413">
        <v>12</v>
      </c>
      <c r="D6" s="404">
        <v>1.65</v>
      </c>
      <c r="E6" s="404" t="s">
        <v>1403</v>
      </c>
      <c r="F6" s="7">
        <v>5</v>
      </c>
      <c r="G6" s="344">
        <v>46692</v>
      </c>
      <c r="H6" s="344">
        <v>45627</v>
      </c>
    </row>
    <row r="7" spans="1:14" x14ac:dyDescent="0.25">
      <c r="A7" s="314">
        <f t="shared" si="0"/>
        <v>6</v>
      </c>
      <c r="B7" s="314" t="s">
        <v>1209</v>
      </c>
      <c r="C7" s="340">
        <v>7</v>
      </c>
      <c r="D7" s="10">
        <v>3.25</v>
      </c>
      <c r="E7" s="10" t="s">
        <v>1400</v>
      </c>
      <c r="F7" s="7">
        <v>7</v>
      </c>
      <c r="G7" s="335">
        <v>45931</v>
      </c>
      <c r="H7" s="344">
        <v>45658</v>
      </c>
    </row>
    <row r="8" spans="1:14" x14ac:dyDescent="0.25">
      <c r="A8" s="314">
        <f t="shared" si="0"/>
        <v>7</v>
      </c>
      <c r="B8" s="314" t="s">
        <v>1230</v>
      </c>
      <c r="C8" s="340">
        <v>9</v>
      </c>
      <c r="D8" s="10">
        <v>0.81699999999999995</v>
      </c>
      <c r="E8" s="10" t="s">
        <v>1402</v>
      </c>
      <c r="F8" s="7">
        <v>5</v>
      </c>
      <c r="G8" s="335">
        <v>46113</v>
      </c>
      <c r="H8" s="344">
        <v>45352</v>
      </c>
    </row>
    <row r="9" spans="1:14" x14ac:dyDescent="0.25">
      <c r="A9" s="314">
        <f t="shared" si="0"/>
        <v>8</v>
      </c>
      <c r="B9" s="314" t="s">
        <v>1231</v>
      </c>
      <c r="C9" s="340">
        <v>3</v>
      </c>
      <c r="D9" s="10">
        <v>9.5</v>
      </c>
      <c r="E9" s="10" t="s">
        <v>1405</v>
      </c>
      <c r="F9" s="7">
        <v>15</v>
      </c>
      <c r="G9" s="335">
        <v>46296</v>
      </c>
      <c r="H9" s="344">
        <v>45597</v>
      </c>
    </row>
    <row r="10" spans="1:14" x14ac:dyDescent="0.25">
      <c r="A10" s="314">
        <f t="shared" si="0"/>
        <v>9</v>
      </c>
      <c r="B10" s="314" t="s">
        <v>1232</v>
      </c>
      <c r="C10" s="341">
        <v>3</v>
      </c>
      <c r="D10" s="18">
        <v>4.55</v>
      </c>
      <c r="E10" s="18" t="s">
        <v>1405</v>
      </c>
      <c r="F10" s="44">
        <v>8</v>
      </c>
      <c r="G10" s="335">
        <v>46143</v>
      </c>
      <c r="H10" s="199">
        <v>45536</v>
      </c>
    </row>
    <row r="11" spans="1:14" x14ac:dyDescent="0.25">
      <c r="A11" s="314">
        <f t="shared" si="0"/>
        <v>10</v>
      </c>
      <c r="B11" s="314" t="s">
        <v>1233</v>
      </c>
      <c r="C11" s="340">
        <v>8</v>
      </c>
      <c r="D11" s="10">
        <v>3</v>
      </c>
      <c r="E11" s="10" t="s">
        <v>1401</v>
      </c>
      <c r="F11" s="7">
        <v>5</v>
      </c>
      <c r="G11" s="434">
        <v>46296</v>
      </c>
      <c r="H11" s="199">
        <v>45627</v>
      </c>
    </row>
    <row r="12" spans="1:14" x14ac:dyDescent="0.25">
      <c r="A12" s="314">
        <f t="shared" si="0"/>
        <v>11</v>
      </c>
      <c r="B12" s="314" t="s">
        <v>1234</v>
      </c>
      <c r="C12" s="340">
        <v>16</v>
      </c>
      <c r="D12" s="10">
        <v>2.23</v>
      </c>
      <c r="E12" s="10" t="s">
        <v>1401</v>
      </c>
      <c r="F12" s="7">
        <v>5</v>
      </c>
      <c r="G12" s="335">
        <v>45931</v>
      </c>
      <c r="H12" s="344">
        <v>45292</v>
      </c>
    </row>
    <row r="13" spans="1:14" x14ac:dyDescent="0.25">
      <c r="A13" s="314">
        <f t="shared" si="0"/>
        <v>12</v>
      </c>
      <c r="B13" s="314" t="s">
        <v>1235</v>
      </c>
      <c r="C13" s="341">
        <v>22</v>
      </c>
      <c r="D13" s="18">
        <v>1.6240000000000001</v>
      </c>
      <c r="E13" s="18" t="s">
        <v>1401</v>
      </c>
      <c r="F13" s="44">
        <v>4</v>
      </c>
      <c r="G13" s="335">
        <v>46447</v>
      </c>
      <c r="H13" s="199">
        <v>45627</v>
      </c>
    </row>
    <row r="14" spans="1:14" x14ac:dyDescent="0.25">
      <c r="A14" s="314">
        <f t="shared" si="0"/>
        <v>13</v>
      </c>
      <c r="B14" s="314" t="s">
        <v>1236</v>
      </c>
      <c r="C14" s="340">
        <v>2</v>
      </c>
      <c r="D14" s="10">
        <v>51.95</v>
      </c>
      <c r="E14" s="10" t="s">
        <v>1400</v>
      </c>
      <c r="F14" s="7">
        <v>85</v>
      </c>
      <c r="G14" s="335">
        <v>46143</v>
      </c>
      <c r="H14" s="199">
        <v>45627</v>
      </c>
    </row>
    <row r="15" spans="1:14" x14ac:dyDescent="0.25">
      <c r="A15" s="314">
        <f t="shared" si="0"/>
        <v>14</v>
      </c>
      <c r="B15" s="314" t="s">
        <v>1237</v>
      </c>
      <c r="C15" s="340">
        <v>17</v>
      </c>
      <c r="D15" s="10">
        <v>2.77</v>
      </c>
      <c r="E15" s="10" t="s">
        <v>1401</v>
      </c>
      <c r="F15" s="7">
        <v>6</v>
      </c>
      <c r="G15" s="434">
        <v>46296</v>
      </c>
      <c r="H15" s="199">
        <v>45627</v>
      </c>
    </row>
    <row r="16" spans="1:14" x14ac:dyDescent="0.25">
      <c r="A16" s="314">
        <f t="shared" si="0"/>
        <v>15</v>
      </c>
      <c r="B16" s="314" t="s">
        <v>1238</v>
      </c>
      <c r="C16" s="340">
        <v>0</v>
      </c>
      <c r="D16" s="10">
        <v>4.63</v>
      </c>
      <c r="E16" s="10" t="s">
        <v>1401</v>
      </c>
      <c r="F16" s="7">
        <v>10</v>
      </c>
      <c r="G16" s="434">
        <v>46508</v>
      </c>
      <c r="H16" s="199">
        <v>45658</v>
      </c>
    </row>
    <row r="17" spans="1:8" x14ac:dyDescent="0.25">
      <c r="A17" s="314">
        <f t="shared" si="0"/>
        <v>16</v>
      </c>
      <c r="B17" s="314" t="s">
        <v>1239</v>
      </c>
      <c r="C17" s="340">
        <v>13</v>
      </c>
      <c r="D17" s="10">
        <v>1.78</v>
      </c>
      <c r="E17" s="10" t="s">
        <v>1401</v>
      </c>
      <c r="F17" s="7">
        <v>5</v>
      </c>
      <c r="G17" s="335">
        <v>46113</v>
      </c>
      <c r="H17" s="199">
        <v>45505</v>
      </c>
    </row>
    <row r="18" spans="1:8" x14ac:dyDescent="0.25">
      <c r="A18" s="314">
        <f t="shared" si="0"/>
        <v>17</v>
      </c>
      <c r="B18" s="314" t="s">
        <v>1240</v>
      </c>
      <c r="C18" s="340">
        <v>2</v>
      </c>
      <c r="D18" s="10">
        <v>12</v>
      </c>
      <c r="E18" s="10" t="s">
        <v>1400</v>
      </c>
      <c r="F18" s="7">
        <v>23</v>
      </c>
      <c r="G18" s="335">
        <v>46296</v>
      </c>
      <c r="H18" s="344">
        <v>45658</v>
      </c>
    </row>
    <row r="19" spans="1:8" x14ac:dyDescent="0.25">
      <c r="A19" s="314">
        <f t="shared" si="0"/>
        <v>18</v>
      </c>
      <c r="B19" s="314" t="s">
        <v>1241</v>
      </c>
      <c r="C19" s="340">
        <v>3</v>
      </c>
      <c r="D19" s="15">
        <v>14.65</v>
      </c>
      <c r="E19" s="15" t="s">
        <v>1400</v>
      </c>
      <c r="F19" s="7">
        <v>25</v>
      </c>
      <c r="G19" s="335">
        <v>46082</v>
      </c>
      <c r="H19" s="344">
        <v>45352</v>
      </c>
    </row>
    <row r="20" spans="1:8" x14ac:dyDescent="0.25">
      <c r="A20" s="314">
        <f t="shared" si="0"/>
        <v>19</v>
      </c>
      <c r="B20" s="314" t="s">
        <v>893</v>
      </c>
      <c r="C20" s="340">
        <v>14</v>
      </c>
      <c r="D20" s="10">
        <v>8.0399999999999991</v>
      </c>
      <c r="E20" s="10" t="s">
        <v>1402</v>
      </c>
      <c r="F20" s="7">
        <v>18</v>
      </c>
      <c r="G20" s="335">
        <v>46447</v>
      </c>
      <c r="H20" s="344">
        <v>45658</v>
      </c>
    </row>
    <row r="21" spans="1:8" x14ac:dyDescent="0.25">
      <c r="A21" s="314">
        <f t="shared" si="0"/>
        <v>20</v>
      </c>
      <c r="B21" s="314" t="s">
        <v>1242</v>
      </c>
      <c r="C21" s="340">
        <v>2</v>
      </c>
      <c r="D21" s="10">
        <v>10.8</v>
      </c>
      <c r="E21" s="10" t="s">
        <v>1400</v>
      </c>
      <c r="F21" s="7">
        <v>19</v>
      </c>
      <c r="G21" s="335">
        <v>46113</v>
      </c>
      <c r="H21" s="199">
        <v>45505</v>
      </c>
    </row>
    <row r="22" spans="1:8" x14ac:dyDescent="0.25">
      <c r="A22" s="314">
        <f t="shared" si="0"/>
        <v>21</v>
      </c>
      <c r="B22" s="4" t="s">
        <v>681</v>
      </c>
      <c r="C22" s="340">
        <v>7</v>
      </c>
      <c r="D22" s="10">
        <v>3.9</v>
      </c>
      <c r="E22" s="10" t="s">
        <v>1403</v>
      </c>
      <c r="F22" s="7">
        <v>7</v>
      </c>
      <c r="G22" s="77">
        <v>46174</v>
      </c>
      <c r="H22" s="77">
        <v>45658</v>
      </c>
    </row>
    <row r="23" spans="1:8" x14ac:dyDescent="0.25">
      <c r="A23" s="314">
        <f t="shared" si="0"/>
        <v>22</v>
      </c>
      <c r="B23" s="314" t="s">
        <v>1243</v>
      </c>
      <c r="C23" s="340">
        <v>10</v>
      </c>
      <c r="D23" s="10">
        <v>3.56</v>
      </c>
      <c r="E23" s="10" t="s">
        <v>1401</v>
      </c>
      <c r="F23" s="7">
        <v>6</v>
      </c>
      <c r="G23" s="335">
        <v>46905</v>
      </c>
      <c r="H23" s="344">
        <v>45658</v>
      </c>
    </row>
    <row r="24" spans="1:8" x14ac:dyDescent="0.25">
      <c r="A24" s="314">
        <f t="shared" si="0"/>
        <v>23</v>
      </c>
      <c r="B24" s="314" t="s">
        <v>1245</v>
      </c>
      <c r="C24" s="340">
        <v>14</v>
      </c>
      <c r="D24" s="10">
        <v>5</v>
      </c>
      <c r="E24" s="10" t="s">
        <v>1401</v>
      </c>
      <c r="F24" s="7">
        <v>9</v>
      </c>
      <c r="G24" s="335">
        <v>46935</v>
      </c>
      <c r="H24" s="199">
        <v>45627</v>
      </c>
    </row>
    <row r="25" spans="1:8" x14ac:dyDescent="0.25">
      <c r="A25" s="314">
        <f t="shared" si="0"/>
        <v>24</v>
      </c>
      <c r="B25" s="314" t="s">
        <v>1244</v>
      </c>
      <c r="C25" s="340">
        <v>9</v>
      </c>
      <c r="D25" s="10">
        <v>2.5950000000000002</v>
      </c>
      <c r="E25" s="10" t="s">
        <v>1401</v>
      </c>
      <c r="F25" s="7">
        <v>5</v>
      </c>
      <c r="G25" s="336">
        <v>46113</v>
      </c>
      <c r="H25" s="83">
        <v>45597</v>
      </c>
    </row>
    <row r="26" spans="1:8" x14ac:dyDescent="0.25">
      <c r="A26" s="314">
        <f t="shared" si="0"/>
        <v>25</v>
      </c>
      <c r="B26" s="314" t="s">
        <v>1210</v>
      </c>
      <c r="C26" s="340">
        <v>2</v>
      </c>
      <c r="D26" s="10">
        <v>18</v>
      </c>
      <c r="E26" s="10" t="s">
        <v>1400</v>
      </c>
      <c r="F26" s="7">
        <v>34</v>
      </c>
      <c r="G26" s="335">
        <v>46235</v>
      </c>
      <c r="H26" s="199">
        <v>45566</v>
      </c>
    </row>
    <row r="27" spans="1:8" x14ac:dyDescent="0.25">
      <c r="A27" s="314">
        <f t="shared" si="0"/>
        <v>26</v>
      </c>
      <c r="B27" s="588" t="s">
        <v>1211</v>
      </c>
      <c r="C27" s="589">
        <v>9</v>
      </c>
      <c r="D27" s="10">
        <v>5.25</v>
      </c>
      <c r="E27" s="10" t="s">
        <v>1406</v>
      </c>
      <c r="F27" s="7">
        <v>10</v>
      </c>
      <c r="G27" s="591">
        <v>45717</v>
      </c>
      <c r="H27" s="344">
        <v>45474</v>
      </c>
    </row>
    <row r="28" spans="1:8" x14ac:dyDescent="0.25">
      <c r="A28" s="314">
        <f t="shared" si="0"/>
        <v>27</v>
      </c>
      <c r="B28" s="314" t="s">
        <v>1246</v>
      </c>
      <c r="C28" s="340">
        <v>16</v>
      </c>
      <c r="D28" s="10">
        <v>4.5949999999999998</v>
      </c>
      <c r="E28" s="10" t="s">
        <v>1407</v>
      </c>
      <c r="F28" s="7">
        <v>10</v>
      </c>
      <c r="G28" s="335">
        <v>46508</v>
      </c>
      <c r="H28" s="199">
        <v>45627</v>
      </c>
    </row>
    <row r="29" spans="1:8" x14ac:dyDescent="0.25">
      <c r="A29" s="314">
        <f t="shared" si="0"/>
        <v>28</v>
      </c>
      <c r="B29" s="314" t="s">
        <v>894</v>
      </c>
      <c r="C29" s="340">
        <v>40</v>
      </c>
      <c r="D29" s="10">
        <v>0.69499999999999995</v>
      </c>
      <c r="E29" s="10" t="s">
        <v>1407</v>
      </c>
      <c r="F29" s="7">
        <v>1.5</v>
      </c>
      <c r="G29" s="335">
        <v>46235</v>
      </c>
      <c r="H29" s="199">
        <v>45627</v>
      </c>
    </row>
    <row r="30" spans="1:8" x14ac:dyDescent="0.25">
      <c r="A30" s="314">
        <f t="shared" si="0"/>
        <v>29</v>
      </c>
      <c r="B30" s="314" t="s">
        <v>1247</v>
      </c>
      <c r="C30" s="340">
        <v>2</v>
      </c>
      <c r="D30" s="10">
        <v>17.55</v>
      </c>
      <c r="E30" s="10" t="s">
        <v>1400</v>
      </c>
      <c r="F30" s="7">
        <v>30</v>
      </c>
      <c r="G30" s="335">
        <v>46419</v>
      </c>
      <c r="H30" s="199">
        <v>45536</v>
      </c>
    </row>
    <row r="31" spans="1:8" x14ac:dyDescent="0.25">
      <c r="A31" s="314">
        <f t="shared" si="0"/>
        <v>30</v>
      </c>
      <c r="B31" s="314" t="s">
        <v>1346</v>
      </c>
      <c r="C31" s="195">
        <v>10</v>
      </c>
      <c r="D31" s="10">
        <v>8.3149999999999995</v>
      </c>
      <c r="E31" s="10" t="s">
        <v>1401</v>
      </c>
      <c r="F31" s="7">
        <v>17</v>
      </c>
      <c r="G31" s="199">
        <v>47088</v>
      </c>
      <c r="H31" s="199">
        <v>45566</v>
      </c>
    </row>
    <row r="32" spans="1:8" x14ac:dyDescent="0.25">
      <c r="A32" s="314">
        <f t="shared" si="0"/>
        <v>31</v>
      </c>
      <c r="B32" s="314" t="s">
        <v>1213</v>
      </c>
      <c r="C32" s="340">
        <v>3</v>
      </c>
      <c r="D32" s="10">
        <v>9.75</v>
      </c>
      <c r="E32" s="10" t="s">
        <v>1408</v>
      </c>
      <c r="F32" s="7">
        <v>17</v>
      </c>
      <c r="G32" s="335">
        <v>46784</v>
      </c>
      <c r="H32" s="199">
        <v>45627</v>
      </c>
    </row>
    <row r="33" spans="1:8" x14ac:dyDescent="0.25">
      <c r="A33" s="314">
        <f t="shared" si="0"/>
        <v>32</v>
      </c>
      <c r="B33" s="314" t="s">
        <v>1212</v>
      </c>
      <c r="C33" s="340">
        <v>2</v>
      </c>
      <c r="D33" s="10">
        <v>8.75</v>
      </c>
      <c r="E33" s="10" t="s">
        <v>1408</v>
      </c>
      <c r="F33" s="7">
        <v>16</v>
      </c>
      <c r="G33" s="335">
        <v>46235</v>
      </c>
      <c r="H33" s="344">
        <v>45536</v>
      </c>
    </row>
    <row r="34" spans="1:8" x14ac:dyDescent="0.25">
      <c r="A34" s="314">
        <f t="shared" si="0"/>
        <v>33</v>
      </c>
      <c r="B34" s="314" t="s">
        <v>1248</v>
      </c>
      <c r="C34" s="340">
        <v>63</v>
      </c>
      <c r="D34" s="10">
        <v>5.3</v>
      </c>
      <c r="E34" s="10" t="s">
        <v>1409</v>
      </c>
      <c r="F34" s="7">
        <v>8</v>
      </c>
      <c r="G34" s="335">
        <v>46600</v>
      </c>
      <c r="H34" s="344">
        <v>45658</v>
      </c>
    </row>
    <row r="35" spans="1:8" x14ac:dyDescent="0.25">
      <c r="A35" s="314">
        <f t="shared" si="0"/>
        <v>34</v>
      </c>
      <c r="B35" s="314" t="s">
        <v>1224</v>
      </c>
      <c r="C35" s="340">
        <v>10</v>
      </c>
      <c r="D35" s="10">
        <v>0.8</v>
      </c>
      <c r="E35" s="10" t="s">
        <v>1401</v>
      </c>
      <c r="F35" s="7">
        <v>2</v>
      </c>
      <c r="G35" s="337">
        <v>46296</v>
      </c>
      <c r="H35" s="199">
        <v>45627</v>
      </c>
    </row>
    <row r="36" spans="1:8" x14ac:dyDescent="0.25">
      <c r="A36" s="314">
        <f t="shared" si="0"/>
        <v>35</v>
      </c>
      <c r="B36" s="314" t="s">
        <v>1249</v>
      </c>
      <c r="C36" s="340">
        <v>1</v>
      </c>
      <c r="D36" s="10">
        <v>22.95</v>
      </c>
      <c r="E36" s="10" t="s">
        <v>1410</v>
      </c>
      <c r="F36" s="7">
        <v>40</v>
      </c>
      <c r="G36" s="336">
        <v>46143</v>
      </c>
      <c r="H36" s="83">
        <v>45627</v>
      </c>
    </row>
    <row r="37" spans="1:8" x14ac:dyDescent="0.25">
      <c r="A37" s="314">
        <f t="shared" si="0"/>
        <v>36</v>
      </c>
      <c r="B37" s="314" t="s">
        <v>1250</v>
      </c>
      <c r="C37" s="340">
        <v>1</v>
      </c>
      <c r="D37" s="10">
        <v>23.85</v>
      </c>
      <c r="E37" s="10" t="s">
        <v>1400</v>
      </c>
      <c r="F37" s="7">
        <v>39</v>
      </c>
      <c r="G37" s="337">
        <v>46054</v>
      </c>
      <c r="H37" s="199">
        <v>44986</v>
      </c>
    </row>
    <row r="38" spans="1:8" x14ac:dyDescent="0.25">
      <c r="A38" s="314">
        <f t="shared" si="0"/>
        <v>37</v>
      </c>
      <c r="B38" s="314" t="s">
        <v>1322</v>
      </c>
      <c r="C38" s="340">
        <v>3</v>
      </c>
      <c r="D38" s="10">
        <v>13.45</v>
      </c>
      <c r="E38" s="10" t="s">
        <v>1400</v>
      </c>
      <c r="F38" s="7">
        <v>23</v>
      </c>
      <c r="G38" s="199">
        <v>46600</v>
      </c>
      <c r="H38" s="199">
        <v>45658</v>
      </c>
    </row>
    <row r="39" spans="1:8" x14ac:dyDescent="0.25">
      <c r="A39" s="314">
        <f t="shared" si="0"/>
        <v>38</v>
      </c>
      <c r="B39" s="314" t="s">
        <v>1251</v>
      </c>
      <c r="C39" s="340">
        <v>14</v>
      </c>
      <c r="D39" s="10">
        <v>2.78</v>
      </c>
      <c r="E39" s="10" t="s">
        <v>1401</v>
      </c>
      <c r="F39" s="7">
        <v>5</v>
      </c>
      <c r="G39" s="335">
        <v>46447</v>
      </c>
      <c r="H39" s="344">
        <v>45597</v>
      </c>
    </row>
    <row r="40" spans="1:8" x14ac:dyDescent="0.25">
      <c r="A40" s="314">
        <f t="shared" si="0"/>
        <v>39</v>
      </c>
      <c r="B40" s="314" t="s">
        <v>1252</v>
      </c>
      <c r="C40" s="340">
        <v>20</v>
      </c>
      <c r="D40" s="10">
        <v>4.4000000000000004</v>
      </c>
      <c r="E40" s="10" t="s">
        <v>1401</v>
      </c>
      <c r="F40" s="7">
        <v>8</v>
      </c>
      <c r="G40" s="335">
        <v>46569</v>
      </c>
      <c r="H40" s="344">
        <v>45658</v>
      </c>
    </row>
    <row r="41" spans="1:8" x14ac:dyDescent="0.25">
      <c r="A41" s="314">
        <f t="shared" si="0"/>
        <v>40</v>
      </c>
      <c r="B41" s="314" t="s">
        <v>1253</v>
      </c>
      <c r="C41" s="340">
        <v>4</v>
      </c>
      <c r="D41" s="10">
        <v>22.95</v>
      </c>
      <c r="E41" s="10" t="s">
        <v>1400</v>
      </c>
      <c r="F41" s="7">
        <v>39</v>
      </c>
      <c r="G41" s="335">
        <v>46539</v>
      </c>
      <c r="H41" s="344">
        <v>45566</v>
      </c>
    </row>
    <row r="42" spans="1:8" x14ac:dyDescent="0.25">
      <c r="A42" s="314">
        <f t="shared" si="0"/>
        <v>41</v>
      </c>
      <c r="B42" s="314" t="s">
        <v>1254</v>
      </c>
      <c r="C42" s="340">
        <v>12</v>
      </c>
      <c r="D42" s="10">
        <v>4</v>
      </c>
      <c r="E42" s="10" t="s">
        <v>1401</v>
      </c>
      <c r="F42" s="7">
        <v>7</v>
      </c>
      <c r="G42" s="199">
        <v>46447</v>
      </c>
      <c r="H42" s="199">
        <v>45658</v>
      </c>
    </row>
    <row r="43" spans="1:8" x14ac:dyDescent="0.25">
      <c r="A43" s="314">
        <f t="shared" si="0"/>
        <v>42</v>
      </c>
      <c r="B43" s="314" t="s">
        <v>542</v>
      </c>
      <c r="C43" s="341">
        <v>5</v>
      </c>
      <c r="D43" s="18">
        <v>9.85</v>
      </c>
      <c r="E43" s="18" t="s">
        <v>1400</v>
      </c>
      <c r="F43" s="44">
        <v>17</v>
      </c>
      <c r="G43" s="335">
        <v>46054</v>
      </c>
      <c r="H43" s="199">
        <v>45139</v>
      </c>
    </row>
    <row r="44" spans="1:8" x14ac:dyDescent="0.25">
      <c r="A44" s="314">
        <f t="shared" si="0"/>
        <v>43</v>
      </c>
      <c r="B44" s="314" t="s">
        <v>1256</v>
      </c>
      <c r="C44" s="341">
        <v>12</v>
      </c>
      <c r="D44" s="18">
        <v>2.875</v>
      </c>
      <c r="E44" s="18" t="s">
        <v>1401</v>
      </c>
      <c r="F44" s="44">
        <v>7</v>
      </c>
      <c r="G44" s="335">
        <v>46174</v>
      </c>
      <c r="H44" s="199">
        <v>45536</v>
      </c>
    </row>
    <row r="45" spans="1:8" x14ac:dyDescent="0.25">
      <c r="A45" s="314">
        <f t="shared" si="0"/>
        <v>44</v>
      </c>
      <c r="B45" s="314" t="s">
        <v>1255</v>
      </c>
      <c r="C45" s="340">
        <v>11</v>
      </c>
      <c r="D45" s="10">
        <v>4.4000000000000004</v>
      </c>
      <c r="E45" s="10" t="s">
        <v>1401</v>
      </c>
      <c r="F45" s="7">
        <v>9</v>
      </c>
      <c r="G45" s="335">
        <v>45931</v>
      </c>
      <c r="H45" s="199">
        <v>45627</v>
      </c>
    </row>
    <row r="46" spans="1:8" x14ac:dyDescent="0.25">
      <c r="A46" s="314">
        <f t="shared" si="0"/>
        <v>45</v>
      </c>
      <c r="B46" s="314" t="s">
        <v>1257</v>
      </c>
      <c r="C46" s="340">
        <v>55</v>
      </c>
      <c r="D46" s="10">
        <v>0.43</v>
      </c>
      <c r="E46" s="10" t="s">
        <v>1411</v>
      </c>
      <c r="F46" s="7">
        <v>0.8</v>
      </c>
      <c r="G46" s="335">
        <v>46174</v>
      </c>
      <c r="H46" s="344">
        <v>45658</v>
      </c>
    </row>
    <row r="47" spans="1:8" x14ac:dyDescent="0.25">
      <c r="A47" s="314">
        <f t="shared" si="0"/>
        <v>46</v>
      </c>
      <c r="B47" s="314" t="s">
        <v>1258</v>
      </c>
      <c r="C47" s="340">
        <v>27</v>
      </c>
      <c r="D47" s="10">
        <v>0.94</v>
      </c>
      <c r="E47" s="10" t="s">
        <v>1401</v>
      </c>
      <c r="F47" s="7">
        <v>2.5</v>
      </c>
      <c r="G47" s="434">
        <v>46419</v>
      </c>
      <c r="H47" s="199">
        <v>45597</v>
      </c>
    </row>
    <row r="48" spans="1:8" x14ac:dyDescent="0.25">
      <c r="A48" s="314">
        <f t="shared" si="0"/>
        <v>47</v>
      </c>
      <c r="B48" s="314" t="s">
        <v>1259</v>
      </c>
      <c r="C48" s="340">
        <v>14</v>
      </c>
      <c r="D48" s="10">
        <v>1.2649999999999999</v>
      </c>
      <c r="E48" s="10" t="s">
        <v>1401</v>
      </c>
      <c r="F48" s="7">
        <v>2.5</v>
      </c>
      <c r="G48" s="335">
        <v>46844</v>
      </c>
      <c r="H48" s="344">
        <v>45352</v>
      </c>
    </row>
    <row r="49" spans="1:8" x14ac:dyDescent="0.25">
      <c r="A49" s="314">
        <f t="shared" si="0"/>
        <v>48</v>
      </c>
      <c r="B49" s="314" t="s">
        <v>895</v>
      </c>
      <c r="C49" s="340">
        <v>5</v>
      </c>
      <c r="D49" s="10">
        <v>8.35</v>
      </c>
      <c r="E49" s="10" t="s">
        <v>1401</v>
      </c>
      <c r="F49" s="7">
        <v>17</v>
      </c>
      <c r="G49" s="335">
        <v>46204</v>
      </c>
      <c r="H49" s="199">
        <v>45505</v>
      </c>
    </row>
    <row r="50" spans="1:8" x14ac:dyDescent="0.25">
      <c r="A50" s="314">
        <f t="shared" si="0"/>
        <v>49</v>
      </c>
      <c r="B50" s="314" t="s">
        <v>1223</v>
      </c>
      <c r="C50" s="340">
        <v>8</v>
      </c>
      <c r="D50" s="10">
        <v>1.75</v>
      </c>
      <c r="E50" s="10" t="s">
        <v>1412</v>
      </c>
      <c r="F50" s="7">
        <v>3</v>
      </c>
      <c r="G50" s="335">
        <v>46539</v>
      </c>
      <c r="H50" s="199">
        <v>45658</v>
      </c>
    </row>
    <row r="51" spans="1:8" x14ac:dyDescent="0.25">
      <c r="A51" s="314">
        <f t="shared" si="0"/>
        <v>50</v>
      </c>
      <c r="B51" s="314" t="s">
        <v>1260</v>
      </c>
      <c r="C51" s="340">
        <v>7</v>
      </c>
      <c r="D51" s="10">
        <v>6.5</v>
      </c>
      <c r="E51" s="10" t="s">
        <v>1401</v>
      </c>
      <c r="F51" s="7">
        <v>12</v>
      </c>
      <c r="G51" s="335">
        <v>46082</v>
      </c>
      <c r="H51" s="344">
        <v>45413</v>
      </c>
    </row>
    <row r="52" spans="1:8" x14ac:dyDescent="0.25">
      <c r="A52" s="314">
        <f t="shared" si="0"/>
        <v>51</v>
      </c>
      <c r="B52" s="314" t="s">
        <v>1261</v>
      </c>
      <c r="C52" s="340">
        <v>4</v>
      </c>
      <c r="D52" s="10">
        <v>6.75</v>
      </c>
      <c r="E52" s="10" t="s">
        <v>1401</v>
      </c>
      <c r="F52" s="7">
        <v>13</v>
      </c>
      <c r="G52" s="335">
        <v>46266</v>
      </c>
      <c r="H52" s="344">
        <v>45536</v>
      </c>
    </row>
    <row r="53" spans="1:8" x14ac:dyDescent="0.25">
      <c r="A53" s="314">
        <f t="shared" si="0"/>
        <v>52</v>
      </c>
      <c r="B53" s="314" t="s">
        <v>1262</v>
      </c>
      <c r="C53" s="340">
        <v>5</v>
      </c>
      <c r="D53" s="10">
        <v>4.04</v>
      </c>
      <c r="E53" s="10" t="s">
        <v>1400</v>
      </c>
      <c r="F53" s="7">
        <v>7</v>
      </c>
      <c r="G53" s="335">
        <v>45962</v>
      </c>
      <c r="H53" s="199">
        <v>45597</v>
      </c>
    </row>
    <row r="54" spans="1:8" x14ac:dyDescent="0.25">
      <c r="A54" s="314">
        <f t="shared" si="0"/>
        <v>53</v>
      </c>
      <c r="B54" s="314" t="s">
        <v>80</v>
      </c>
      <c r="C54" s="340">
        <v>12</v>
      </c>
      <c r="D54" s="15">
        <v>10.88</v>
      </c>
      <c r="E54" s="15" t="s">
        <v>1401</v>
      </c>
      <c r="F54" s="7">
        <v>19</v>
      </c>
      <c r="G54" s="344">
        <v>46508</v>
      </c>
      <c r="H54" s="344">
        <v>45627</v>
      </c>
    </row>
    <row r="55" spans="1:8" x14ac:dyDescent="0.25">
      <c r="A55" s="314">
        <f t="shared" si="0"/>
        <v>54</v>
      </c>
      <c r="B55" s="314" t="s">
        <v>1263</v>
      </c>
      <c r="C55" s="340">
        <v>66</v>
      </c>
      <c r="D55" s="10">
        <v>1.25</v>
      </c>
      <c r="E55" s="10" t="s">
        <v>1401</v>
      </c>
      <c r="F55" s="7">
        <v>4</v>
      </c>
      <c r="G55" s="344">
        <v>45870</v>
      </c>
      <c r="H55" s="344">
        <v>45536</v>
      </c>
    </row>
    <row r="56" spans="1:8" x14ac:dyDescent="0.25">
      <c r="A56" s="314">
        <f t="shared" si="0"/>
        <v>55</v>
      </c>
      <c r="B56" s="314" t="s">
        <v>1264</v>
      </c>
      <c r="C56" s="340">
        <v>26</v>
      </c>
      <c r="D56" s="10">
        <v>2.5</v>
      </c>
      <c r="E56" s="10" t="s">
        <v>1401</v>
      </c>
      <c r="F56" s="7">
        <v>4.5</v>
      </c>
      <c r="G56" s="199">
        <v>46113</v>
      </c>
      <c r="H56" s="199">
        <v>45627</v>
      </c>
    </row>
    <row r="57" spans="1:8" x14ac:dyDescent="0.25">
      <c r="A57" s="314">
        <f t="shared" si="0"/>
        <v>56</v>
      </c>
      <c r="B57" s="314" t="s">
        <v>891</v>
      </c>
      <c r="C57" s="340">
        <v>17</v>
      </c>
      <c r="D57" s="10">
        <v>4.25</v>
      </c>
      <c r="E57" s="10" t="s">
        <v>1401</v>
      </c>
      <c r="F57" s="7">
        <v>8</v>
      </c>
      <c r="G57" s="335">
        <v>46023</v>
      </c>
      <c r="H57" s="199">
        <v>45658</v>
      </c>
    </row>
    <row r="58" spans="1:8" x14ac:dyDescent="0.25">
      <c r="A58" s="314">
        <f t="shared" si="0"/>
        <v>57</v>
      </c>
      <c r="B58" s="314" t="s">
        <v>187</v>
      </c>
      <c r="C58" s="340">
        <v>10</v>
      </c>
      <c r="D58" s="10">
        <v>8.0299999999999994</v>
      </c>
      <c r="E58" s="10" t="s">
        <v>1401</v>
      </c>
      <c r="F58" s="7">
        <v>15</v>
      </c>
      <c r="G58" s="335">
        <v>46600</v>
      </c>
      <c r="H58" s="344">
        <v>45658</v>
      </c>
    </row>
    <row r="59" spans="1:8" x14ac:dyDescent="0.25">
      <c r="A59" s="314">
        <f t="shared" si="0"/>
        <v>58</v>
      </c>
      <c r="B59" s="314" t="s">
        <v>1265</v>
      </c>
      <c r="C59" s="340">
        <v>13</v>
      </c>
      <c r="D59" s="10">
        <v>7.92</v>
      </c>
      <c r="E59" s="10" t="s">
        <v>1401</v>
      </c>
      <c r="F59" s="7">
        <v>13</v>
      </c>
      <c r="G59" s="335">
        <v>46600</v>
      </c>
      <c r="H59" s="344">
        <v>45658</v>
      </c>
    </row>
    <row r="60" spans="1:8" x14ac:dyDescent="0.25">
      <c r="A60" s="314">
        <f t="shared" si="0"/>
        <v>59</v>
      </c>
      <c r="B60" s="314" t="s">
        <v>1336</v>
      </c>
      <c r="C60" s="340">
        <v>6</v>
      </c>
      <c r="D60" s="10">
        <v>11.46</v>
      </c>
      <c r="E60" s="10" t="s">
        <v>1401</v>
      </c>
      <c r="F60" s="7">
        <v>20</v>
      </c>
      <c r="G60" s="199">
        <v>46023</v>
      </c>
      <c r="H60" s="199">
        <v>45292</v>
      </c>
    </row>
    <row r="61" spans="1:8" x14ac:dyDescent="0.25">
      <c r="A61" s="314">
        <f t="shared" si="0"/>
        <v>60</v>
      </c>
      <c r="B61" s="314" t="s">
        <v>1266</v>
      </c>
      <c r="C61" s="340">
        <v>2</v>
      </c>
      <c r="D61" s="10">
        <v>12.15</v>
      </c>
      <c r="E61" s="10" t="s">
        <v>1400</v>
      </c>
      <c r="F61" s="44">
        <v>22</v>
      </c>
      <c r="G61" s="199">
        <v>46631</v>
      </c>
      <c r="H61" s="199">
        <v>45323</v>
      </c>
    </row>
    <row r="62" spans="1:8" x14ac:dyDescent="0.25">
      <c r="A62" s="314">
        <f t="shared" si="0"/>
        <v>61</v>
      </c>
      <c r="B62" s="588" t="s">
        <v>873</v>
      </c>
      <c r="C62" s="589">
        <v>1</v>
      </c>
      <c r="D62" s="10">
        <v>50.55</v>
      </c>
      <c r="E62" s="10" t="s">
        <v>1463</v>
      </c>
      <c r="F62" s="7">
        <v>85</v>
      </c>
      <c r="G62" s="593">
        <v>45748</v>
      </c>
      <c r="H62" s="199">
        <v>45444</v>
      </c>
    </row>
    <row r="63" spans="1:8" x14ac:dyDescent="0.25">
      <c r="A63" s="314">
        <f t="shared" si="0"/>
        <v>62</v>
      </c>
      <c r="B63" s="588" t="s">
        <v>1267</v>
      </c>
      <c r="C63" s="589">
        <v>10</v>
      </c>
      <c r="D63" s="10">
        <v>0.75</v>
      </c>
      <c r="E63" s="10" t="s">
        <v>1401</v>
      </c>
      <c r="F63" s="7">
        <v>1.8</v>
      </c>
      <c r="G63" s="591">
        <v>45689</v>
      </c>
      <c r="H63" s="199">
        <v>45597</v>
      </c>
    </row>
    <row r="64" spans="1:8" x14ac:dyDescent="0.25">
      <c r="A64" s="314">
        <f t="shared" si="0"/>
        <v>63</v>
      </c>
      <c r="B64" s="314" t="s">
        <v>1268</v>
      </c>
      <c r="C64" s="340">
        <v>19</v>
      </c>
      <c r="D64" s="10">
        <v>10.856999999999999</v>
      </c>
      <c r="E64" s="10" t="s">
        <v>1401</v>
      </c>
      <c r="F64" s="7">
        <v>20</v>
      </c>
      <c r="G64" s="199">
        <v>46419</v>
      </c>
      <c r="H64" s="199">
        <v>45627</v>
      </c>
    </row>
    <row r="65" spans="1:8" x14ac:dyDescent="0.25">
      <c r="A65" s="314">
        <f t="shared" si="0"/>
        <v>64</v>
      </c>
      <c r="B65" s="314" t="s">
        <v>896</v>
      </c>
      <c r="C65" s="340">
        <v>5</v>
      </c>
      <c r="D65" s="10">
        <v>4</v>
      </c>
      <c r="E65" s="10" t="s">
        <v>1401</v>
      </c>
      <c r="F65" s="7">
        <v>6</v>
      </c>
      <c r="G65" s="335">
        <v>46054</v>
      </c>
      <c r="H65" s="199">
        <v>45200</v>
      </c>
    </row>
    <row r="66" spans="1:8" x14ac:dyDescent="0.25">
      <c r="A66" s="314">
        <f t="shared" si="0"/>
        <v>65</v>
      </c>
      <c r="B66" s="314" t="s">
        <v>897</v>
      </c>
      <c r="C66" s="340">
        <v>22</v>
      </c>
      <c r="D66" s="10">
        <v>5</v>
      </c>
      <c r="E66" s="10" t="s">
        <v>1401</v>
      </c>
      <c r="F66" s="7">
        <v>8.3000000000000007</v>
      </c>
      <c r="G66" s="335">
        <v>46266</v>
      </c>
      <c r="H66" s="199">
        <v>45627</v>
      </c>
    </row>
    <row r="67" spans="1:8" x14ac:dyDescent="0.25">
      <c r="A67" s="314">
        <f t="shared" si="0"/>
        <v>66</v>
      </c>
      <c r="B67" s="314" t="s">
        <v>1321</v>
      </c>
      <c r="C67" s="340">
        <v>1</v>
      </c>
      <c r="D67" s="10">
        <v>18.95</v>
      </c>
      <c r="E67" s="10" t="s">
        <v>1400</v>
      </c>
      <c r="F67" s="7">
        <v>32</v>
      </c>
      <c r="G67" s="199">
        <v>46266</v>
      </c>
      <c r="H67" s="199">
        <v>45627</v>
      </c>
    </row>
    <row r="68" spans="1:8" x14ac:dyDescent="0.25">
      <c r="A68" s="314">
        <f t="shared" ref="A68:A130" si="1">A67+1</f>
        <v>67</v>
      </c>
      <c r="B68" s="314" t="s">
        <v>1269</v>
      </c>
      <c r="C68" s="340">
        <v>4</v>
      </c>
      <c r="D68" s="10">
        <v>11.65</v>
      </c>
      <c r="E68" s="10" t="s">
        <v>1400</v>
      </c>
      <c r="F68" s="7">
        <v>20</v>
      </c>
      <c r="G68" s="335">
        <v>46419</v>
      </c>
      <c r="H68" s="199">
        <v>45627</v>
      </c>
    </row>
    <row r="69" spans="1:8" x14ac:dyDescent="0.25">
      <c r="A69" s="314">
        <f t="shared" si="1"/>
        <v>68</v>
      </c>
      <c r="B69" s="314" t="s">
        <v>757</v>
      </c>
      <c r="C69" s="340">
        <v>1</v>
      </c>
      <c r="D69" s="10">
        <v>59.95</v>
      </c>
      <c r="E69" s="10" t="s">
        <v>1400</v>
      </c>
      <c r="F69" s="7">
        <v>94</v>
      </c>
      <c r="G69" s="199">
        <v>45962</v>
      </c>
      <c r="H69" s="199">
        <v>45566</v>
      </c>
    </row>
    <row r="70" spans="1:8" x14ac:dyDescent="0.25">
      <c r="A70" s="314">
        <f>A69+1</f>
        <v>69</v>
      </c>
      <c r="B70" s="314" t="s">
        <v>1270</v>
      </c>
      <c r="C70" s="340">
        <v>4</v>
      </c>
      <c r="D70" s="10">
        <v>3.25</v>
      </c>
      <c r="E70" s="10" t="s">
        <v>1402</v>
      </c>
      <c r="F70" s="7">
        <v>6</v>
      </c>
      <c r="G70" s="336">
        <v>46508</v>
      </c>
      <c r="H70" s="77">
        <v>45658</v>
      </c>
    </row>
    <row r="71" spans="1:8" x14ac:dyDescent="0.25">
      <c r="A71" s="314">
        <f t="shared" si="1"/>
        <v>70</v>
      </c>
      <c r="B71" s="314" t="s">
        <v>323</v>
      </c>
      <c r="C71" s="340">
        <v>5</v>
      </c>
      <c r="D71" s="10">
        <v>3.6</v>
      </c>
      <c r="E71" s="10" t="s">
        <v>1402</v>
      </c>
      <c r="F71" s="7">
        <v>6</v>
      </c>
      <c r="G71" s="336">
        <v>46508</v>
      </c>
      <c r="H71" s="77">
        <v>45627</v>
      </c>
    </row>
    <row r="72" spans="1:8" x14ac:dyDescent="0.25">
      <c r="A72" s="314">
        <f t="shared" si="1"/>
        <v>71</v>
      </c>
      <c r="B72" s="314" t="s">
        <v>1100</v>
      </c>
      <c r="C72" s="340">
        <v>12</v>
      </c>
      <c r="D72" s="10">
        <v>8.65</v>
      </c>
      <c r="E72" s="10" t="s">
        <v>1401</v>
      </c>
      <c r="F72" s="7">
        <v>15</v>
      </c>
      <c r="G72" s="335">
        <v>46539</v>
      </c>
      <c r="H72" s="344">
        <v>45627</v>
      </c>
    </row>
    <row r="73" spans="1:8" x14ac:dyDescent="0.25">
      <c r="A73" s="314">
        <f t="shared" si="1"/>
        <v>72</v>
      </c>
      <c r="B73" s="314" t="s">
        <v>898</v>
      </c>
      <c r="C73" s="340">
        <v>71</v>
      </c>
      <c r="D73" s="10">
        <v>1.58</v>
      </c>
      <c r="E73" s="10" t="s">
        <v>1401</v>
      </c>
      <c r="F73" s="7">
        <v>3</v>
      </c>
      <c r="G73" s="337">
        <v>46508</v>
      </c>
      <c r="H73" s="199">
        <v>45627</v>
      </c>
    </row>
    <row r="74" spans="1:8" x14ac:dyDescent="0.25">
      <c r="A74" s="314">
        <f t="shared" si="1"/>
        <v>73</v>
      </c>
      <c r="B74" s="314" t="s">
        <v>1271</v>
      </c>
      <c r="C74" s="340">
        <v>9</v>
      </c>
      <c r="D74" s="10">
        <v>5.8949999999999996</v>
      </c>
      <c r="E74" s="10" t="s">
        <v>1401</v>
      </c>
      <c r="F74" s="7">
        <v>12</v>
      </c>
      <c r="G74" s="335">
        <v>46419</v>
      </c>
      <c r="H74" s="344">
        <v>45627</v>
      </c>
    </row>
    <row r="75" spans="1:8" x14ac:dyDescent="0.25">
      <c r="A75" s="314">
        <f t="shared" si="1"/>
        <v>74</v>
      </c>
      <c r="B75" s="314" t="s">
        <v>1272</v>
      </c>
      <c r="C75" s="341">
        <v>1</v>
      </c>
      <c r="D75" s="18">
        <v>13.95</v>
      </c>
      <c r="E75" s="18" t="s">
        <v>1408</v>
      </c>
      <c r="F75" s="44">
        <v>24</v>
      </c>
      <c r="G75" s="335">
        <v>46296</v>
      </c>
      <c r="H75" s="199">
        <v>45536</v>
      </c>
    </row>
    <row r="76" spans="1:8" x14ac:dyDescent="0.25">
      <c r="A76" s="314">
        <f t="shared" si="1"/>
        <v>75</v>
      </c>
      <c r="B76" s="314" t="s">
        <v>1273</v>
      </c>
      <c r="C76" s="340">
        <v>7</v>
      </c>
      <c r="D76" s="10">
        <v>5.8550000000000004</v>
      </c>
      <c r="E76" s="10" t="s">
        <v>1464</v>
      </c>
      <c r="F76" s="7">
        <v>12</v>
      </c>
      <c r="G76" s="547">
        <v>46419</v>
      </c>
      <c r="H76" s="344">
        <v>45566</v>
      </c>
    </row>
    <row r="77" spans="1:8" x14ac:dyDescent="0.25">
      <c r="A77" s="314">
        <f t="shared" si="1"/>
        <v>76</v>
      </c>
      <c r="B77" s="314" t="s">
        <v>1274</v>
      </c>
      <c r="C77" s="340">
        <v>61</v>
      </c>
      <c r="D77" s="10">
        <v>1.19</v>
      </c>
      <c r="E77" s="10" t="s">
        <v>1401</v>
      </c>
      <c r="F77" s="7">
        <v>2</v>
      </c>
      <c r="G77" s="335">
        <v>46419</v>
      </c>
      <c r="H77" s="344">
        <v>45597</v>
      </c>
    </row>
    <row r="78" spans="1:8" x14ac:dyDescent="0.25">
      <c r="A78" s="314">
        <f t="shared" si="1"/>
        <v>77</v>
      </c>
      <c r="B78" s="314" t="s">
        <v>1275</v>
      </c>
      <c r="C78" s="340">
        <v>1</v>
      </c>
      <c r="D78" s="10">
        <v>18.8</v>
      </c>
      <c r="E78" s="10" t="s">
        <v>1465</v>
      </c>
      <c r="F78" s="7">
        <v>35</v>
      </c>
      <c r="G78" s="434">
        <v>45931</v>
      </c>
      <c r="H78" s="344">
        <v>45658</v>
      </c>
    </row>
    <row r="79" spans="1:8" x14ac:dyDescent="0.25">
      <c r="A79" s="314">
        <f t="shared" si="1"/>
        <v>78</v>
      </c>
      <c r="B79" s="314" t="s">
        <v>1276</v>
      </c>
      <c r="C79" s="340">
        <v>5</v>
      </c>
      <c r="D79" s="15">
        <v>10.65</v>
      </c>
      <c r="E79" s="15" t="s">
        <v>1400</v>
      </c>
      <c r="F79" s="7">
        <v>19</v>
      </c>
      <c r="G79" s="83">
        <v>46508</v>
      </c>
      <c r="H79" s="118">
        <v>45627</v>
      </c>
    </row>
    <row r="80" spans="1:8" x14ac:dyDescent="0.25">
      <c r="A80" s="314">
        <f t="shared" si="1"/>
        <v>79</v>
      </c>
      <c r="B80" s="314" t="s">
        <v>1277</v>
      </c>
      <c r="C80" s="340">
        <v>19</v>
      </c>
      <c r="D80" s="10">
        <v>5.34</v>
      </c>
      <c r="E80" s="10" t="s">
        <v>1410</v>
      </c>
      <c r="F80" s="7">
        <v>9</v>
      </c>
      <c r="G80" s="199">
        <v>46113</v>
      </c>
      <c r="H80" s="199">
        <v>45505</v>
      </c>
    </row>
    <row r="81" spans="1:8" x14ac:dyDescent="0.25">
      <c r="A81" s="314">
        <f t="shared" si="1"/>
        <v>80</v>
      </c>
      <c r="B81" s="314" t="s">
        <v>1278</v>
      </c>
      <c r="C81" s="340">
        <v>2</v>
      </c>
      <c r="D81" s="10">
        <v>44.95</v>
      </c>
      <c r="E81" s="10" t="s">
        <v>1410</v>
      </c>
      <c r="F81" s="7">
        <v>75</v>
      </c>
      <c r="G81" s="335">
        <v>46054</v>
      </c>
      <c r="H81" s="344">
        <v>45444</v>
      </c>
    </row>
    <row r="82" spans="1:8" x14ac:dyDescent="0.25">
      <c r="A82" s="314">
        <f t="shared" si="1"/>
        <v>81</v>
      </c>
      <c r="B82" s="314" t="s">
        <v>1279</v>
      </c>
      <c r="C82" s="340">
        <v>7</v>
      </c>
      <c r="D82" s="10">
        <v>8.1</v>
      </c>
      <c r="E82" s="10" t="s">
        <v>1400</v>
      </c>
      <c r="F82" s="7">
        <v>13</v>
      </c>
      <c r="G82" s="335">
        <v>46874</v>
      </c>
      <c r="H82" s="199">
        <v>45627</v>
      </c>
    </row>
    <row r="83" spans="1:8" x14ac:dyDescent="0.25">
      <c r="A83" s="314">
        <f t="shared" si="1"/>
        <v>82</v>
      </c>
      <c r="B83" s="314" t="s">
        <v>1280</v>
      </c>
      <c r="C83" s="340">
        <v>9</v>
      </c>
      <c r="D83" s="10">
        <v>2.5</v>
      </c>
      <c r="E83" s="10" t="s">
        <v>1401</v>
      </c>
      <c r="F83" s="7">
        <v>5</v>
      </c>
      <c r="G83" s="335">
        <v>46478</v>
      </c>
      <c r="H83" s="199">
        <v>45658</v>
      </c>
    </row>
    <row r="84" spans="1:8" x14ac:dyDescent="0.25">
      <c r="A84" s="314">
        <f t="shared" si="1"/>
        <v>83</v>
      </c>
      <c r="B84" s="314" t="s">
        <v>1281</v>
      </c>
      <c r="C84" s="340">
        <v>14</v>
      </c>
      <c r="D84" s="10">
        <v>1.73</v>
      </c>
      <c r="E84" s="10" t="s">
        <v>1401</v>
      </c>
      <c r="F84" s="7">
        <v>4</v>
      </c>
      <c r="G84" s="335">
        <v>46569</v>
      </c>
      <c r="H84" s="344">
        <v>45627</v>
      </c>
    </row>
    <row r="85" spans="1:8" x14ac:dyDescent="0.25">
      <c r="A85" s="314">
        <f t="shared" si="1"/>
        <v>84</v>
      </c>
      <c r="B85" s="314" t="s">
        <v>1282</v>
      </c>
      <c r="C85" s="340">
        <v>17</v>
      </c>
      <c r="D85" s="10">
        <v>1.9</v>
      </c>
      <c r="E85" s="10" t="s">
        <v>1401</v>
      </c>
      <c r="F85" s="7">
        <v>5</v>
      </c>
      <c r="G85" s="337">
        <v>45809</v>
      </c>
      <c r="H85" s="199">
        <v>45627</v>
      </c>
    </row>
    <row r="86" spans="1:8" x14ac:dyDescent="0.25">
      <c r="A86" s="314">
        <f t="shared" si="1"/>
        <v>85</v>
      </c>
      <c r="B86" s="314" t="s">
        <v>1283</v>
      </c>
      <c r="C86" s="340">
        <v>23</v>
      </c>
      <c r="D86" s="10">
        <v>3.4</v>
      </c>
      <c r="E86" s="10" t="s">
        <v>1401</v>
      </c>
      <c r="F86" s="7">
        <v>7</v>
      </c>
      <c r="G86" s="337">
        <v>46296</v>
      </c>
      <c r="H86" s="199">
        <v>45627</v>
      </c>
    </row>
    <row r="87" spans="1:8" x14ac:dyDescent="0.25">
      <c r="A87" s="314">
        <f t="shared" si="1"/>
        <v>86</v>
      </c>
      <c r="B87" s="314" t="s">
        <v>1285</v>
      </c>
      <c r="C87" s="340">
        <v>26</v>
      </c>
      <c r="D87" s="10">
        <v>0.47</v>
      </c>
      <c r="E87" s="10" t="s">
        <v>1401</v>
      </c>
      <c r="F87" s="7">
        <v>1</v>
      </c>
      <c r="G87" s="335">
        <v>46296</v>
      </c>
      <c r="H87" s="344">
        <v>45566</v>
      </c>
    </row>
    <row r="88" spans="1:8" x14ac:dyDescent="0.25">
      <c r="A88" s="314">
        <f t="shared" si="1"/>
        <v>87</v>
      </c>
      <c r="B88" s="314" t="s">
        <v>1284</v>
      </c>
      <c r="C88" s="340">
        <v>55</v>
      </c>
      <c r="D88" s="10">
        <v>0.78</v>
      </c>
      <c r="E88" s="10" t="s">
        <v>1401</v>
      </c>
      <c r="F88" s="7">
        <v>1.4</v>
      </c>
      <c r="G88" s="335">
        <v>46113</v>
      </c>
      <c r="H88" s="344">
        <v>45566</v>
      </c>
    </row>
    <row r="89" spans="1:8" x14ac:dyDescent="0.25">
      <c r="A89" s="314">
        <f t="shared" si="1"/>
        <v>88</v>
      </c>
      <c r="B89" s="314" t="s">
        <v>1286</v>
      </c>
      <c r="C89" s="340">
        <v>15</v>
      </c>
      <c r="D89" s="10">
        <v>9.9160000000000004</v>
      </c>
      <c r="E89" s="10" t="s">
        <v>1401</v>
      </c>
      <c r="F89" s="7">
        <v>20</v>
      </c>
      <c r="G89" s="335">
        <v>46357</v>
      </c>
      <c r="H89" s="344">
        <v>45597</v>
      </c>
    </row>
    <row r="90" spans="1:8" x14ac:dyDescent="0.25">
      <c r="A90" s="314">
        <f t="shared" si="1"/>
        <v>89</v>
      </c>
      <c r="B90" s="314" t="s">
        <v>1287</v>
      </c>
      <c r="C90" s="340">
        <v>2</v>
      </c>
      <c r="D90" s="10">
        <v>33.85</v>
      </c>
      <c r="E90" s="10" t="s">
        <v>1401</v>
      </c>
      <c r="F90" s="7">
        <v>55</v>
      </c>
      <c r="G90" s="335">
        <v>46143</v>
      </c>
      <c r="H90" s="344">
        <v>45505</v>
      </c>
    </row>
    <row r="91" spans="1:8" x14ac:dyDescent="0.25">
      <c r="A91" s="314">
        <f t="shared" si="1"/>
        <v>90</v>
      </c>
      <c r="B91" s="314" t="s">
        <v>1288</v>
      </c>
      <c r="C91" s="340">
        <v>5</v>
      </c>
      <c r="D91" s="10">
        <v>24.98</v>
      </c>
      <c r="E91" s="10" t="s">
        <v>1401</v>
      </c>
      <c r="F91" s="7">
        <v>39.6</v>
      </c>
      <c r="G91" s="335">
        <v>45931</v>
      </c>
      <c r="H91" s="199">
        <v>45352</v>
      </c>
    </row>
    <row r="92" spans="1:8" x14ac:dyDescent="0.25">
      <c r="A92" s="314">
        <f t="shared" si="1"/>
        <v>91</v>
      </c>
      <c r="B92" s="314" t="s">
        <v>1289</v>
      </c>
      <c r="C92" s="340">
        <v>5</v>
      </c>
      <c r="D92" s="10">
        <v>25.33</v>
      </c>
      <c r="E92" s="10" t="s">
        <v>1401</v>
      </c>
      <c r="F92" s="7">
        <v>40</v>
      </c>
      <c r="G92" s="335">
        <v>46023</v>
      </c>
      <c r="H92" s="199">
        <v>45323</v>
      </c>
    </row>
    <row r="93" spans="1:8" x14ac:dyDescent="0.25">
      <c r="A93" s="314">
        <f t="shared" si="1"/>
        <v>92</v>
      </c>
      <c r="B93" s="588" t="s">
        <v>1290</v>
      </c>
      <c r="C93" s="589">
        <v>27</v>
      </c>
      <c r="D93" s="10">
        <v>0.65</v>
      </c>
      <c r="E93" s="10"/>
      <c r="F93" s="7">
        <v>1.5</v>
      </c>
      <c r="G93" s="591">
        <v>45778</v>
      </c>
      <c r="H93" s="344">
        <v>44896</v>
      </c>
    </row>
    <row r="94" spans="1:8" x14ac:dyDescent="0.25">
      <c r="A94" s="314">
        <f t="shared" si="1"/>
        <v>93</v>
      </c>
      <c r="B94" s="314" t="s">
        <v>1291</v>
      </c>
      <c r="C94" s="340">
        <v>33</v>
      </c>
      <c r="D94" s="10">
        <v>0.6</v>
      </c>
      <c r="E94" s="10" t="s">
        <v>1466</v>
      </c>
      <c r="F94" s="7">
        <v>1.5</v>
      </c>
      <c r="G94" s="335">
        <v>47270</v>
      </c>
      <c r="H94" s="199">
        <v>45658</v>
      </c>
    </row>
    <row r="95" spans="1:8" x14ac:dyDescent="0.25">
      <c r="A95" s="314">
        <f t="shared" si="1"/>
        <v>94</v>
      </c>
      <c r="B95" s="588" t="s">
        <v>899</v>
      </c>
      <c r="C95" s="589">
        <v>70</v>
      </c>
      <c r="D95" s="10">
        <v>0.5</v>
      </c>
      <c r="E95" s="10" t="s">
        <v>1466</v>
      </c>
      <c r="F95" s="7">
        <v>1</v>
      </c>
      <c r="G95" s="591">
        <v>45778</v>
      </c>
      <c r="H95" s="330">
        <v>44197</v>
      </c>
    </row>
    <row r="96" spans="1:8" x14ac:dyDescent="0.25">
      <c r="A96" s="314">
        <f t="shared" si="1"/>
        <v>95</v>
      </c>
      <c r="B96" s="314" t="s">
        <v>1308</v>
      </c>
      <c r="C96" s="340">
        <v>36</v>
      </c>
      <c r="D96" s="10">
        <v>0.36</v>
      </c>
      <c r="E96" s="10" t="s">
        <v>1466</v>
      </c>
      <c r="F96" s="7">
        <v>1</v>
      </c>
      <c r="G96" s="337">
        <v>46997</v>
      </c>
      <c r="H96" s="344">
        <v>45658</v>
      </c>
    </row>
    <row r="97" spans="1:8" x14ac:dyDescent="0.25">
      <c r="A97" s="314">
        <f t="shared" si="1"/>
        <v>96</v>
      </c>
      <c r="B97" s="314" t="s">
        <v>900</v>
      </c>
      <c r="C97" s="340">
        <v>120</v>
      </c>
      <c r="D97" s="10">
        <v>0.34</v>
      </c>
      <c r="E97" s="10" t="s">
        <v>1466</v>
      </c>
      <c r="F97" s="7">
        <v>1</v>
      </c>
      <c r="G97" s="335">
        <v>47331</v>
      </c>
      <c r="H97" s="344">
        <v>45597</v>
      </c>
    </row>
    <row r="98" spans="1:8" x14ac:dyDescent="0.25">
      <c r="A98" s="314">
        <f t="shared" si="1"/>
        <v>97</v>
      </c>
      <c r="B98" s="314" t="s">
        <v>901</v>
      </c>
      <c r="C98" s="340">
        <v>89</v>
      </c>
      <c r="D98" s="10">
        <v>0.4</v>
      </c>
      <c r="E98" s="10" t="s">
        <v>1466</v>
      </c>
      <c r="F98" s="7">
        <v>1</v>
      </c>
      <c r="G98" s="335">
        <v>46966</v>
      </c>
      <c r="H98" s="344">
        <v>45597</v>
      </c>
    </row>
    <row r="99" spans="1:8" x14ac:dyDescent="0.25">
      <c r="A99" s="314">
        <f t="shared" si="1"/>
        <v>98</v>
      </c>
      <c r="B99" s="314" t="s">
        <v>1293</v>
      </c>
      <c r="C99" s="415">
        <v>127</v>
      </c>
      <c r="D99" s="10">
        <v>0.37</v>
      </c>
      <c r="E99" s="10" t="s">
        <v>1466</v>
      </c>
      <c r="F99" s="7">
        <v>1</v>
      </c>
      <c r="G99" s="118">
        <v>46266</v>
      </c>
      <c r="H99" s="344">
        <v>45658</v>
      </c>
    </row>
    <row r="100" spans="1:8" x14ac:dyDescent="0.25">
      <c r="A100" s="314">
        <f t="shared" si="1"/>
        <v>99</v>
      </c>
      <c r="B100" s="314" t="s">
        <v>298</v>
      </c>
      <c r="C100" s="340">
        <v>2</v>
      </c>
      <c r="D100" s="10">
        <v>4.95</v>
      </c>
      <c r="E100" s="10" t="s">
        <v>1408</v>
      </c>
      <c r="F100" s="7">
        <v>10</v>
      </c>
      <c r="G100" s="335">
        <v>46296</v>
      </c>
      <c r="H100" s="199">
        <v>45658</v>
      </c>
    </row>
    <row r="101" spans="1:8" x14ac:dyDescent="0.25">
      <c r="A101" s="314">
        <f t="shared" si="1"/>
        <v>100</v>
      </c>
      <c r="B101" s="314" t="s">
        <v>823</v>
      </c>
      <c r="C101" s="341">
        <v>133</v>
      </c>
      <c r="D101" s="10">
        <v>0.97</v>
      </c>
      <c r="E101" s="10" t="s">
        <v>1401</v>
      </c>
      <c r="F101" s="7">
        <v>2</v>
      </c>
      <c r="G101" s="335">
        <v>45931</v>
      </c>
      <c r="H101" s="199">
        <v>45505</v>
      </c>
    </row>
    <row r="102" spans="1:8" x14ac:dyDescent="0.25">
      <c r="A102" s="314">
        <f t="shared" si="1"/>
        <v>101</v>
      </c>
      <c r="B102" s="314" t="s">
        <v>521</v>
      </c>
      <c r="C102" s="341">
        <v>96</v>
      </c>
      <c r="D102" s="18">
        <v>0.84</v>
      </c>
      <c r="E102" s="18" t="s">
        <v>1401</v>
      </c>
      <c r="F102" s="44">
        <v>1.4</v>
      </c>
      <c r="G102" s="335">
        <v>46327</v>
      </c>
      <c r="H102" s="199">
        <v>45505</v>
      </c>
    </row>
    <row r="103" spans="1:8" x14ac:dyDescent="0.25">
      <c r="A103" s="314">
        <f t="shared" si="1"/>
        <v>102</v>
      </c>
      <c r="B103" s="314" t="s">
        <v>335</v>
      </c>
      <c r="C103" s="340">
        <v>2</v>
      </c>
      <c r="D103" s="10">
        <v>13.75</v>
      </c>
      <c r="E103" s="10" t="s">
        <v>1467</v>
      </c>
      <c r="F103" s="7">
        <v>25</v>
      </c>
      <c r="G103" s="335">
        <v>46419</v>
      </c>
      <c r="H103" s="199">
        <v>45505</v>
      </c>
    </row>
    <row r="104" spans="1:8" x14ac:dyDescent="0.25">
      <c r="A104" s="314">
        <f t="shared" si="1"/>
        <v>103</v>
      </c>
      <c r="B104" s="314" t="s">
        <v>168</v>
      </c>
      <c r="C104" s="340">
        <v>2</v>
      </c>
      <c r="D104" s="10">
        <v>15.95</v>
      </c>
      <c r="E104" s="10" t="s">
        <v>1400</v>
      </c>
      <c r="F104" s="7">
        <v>27</v>
      </c>
      <c r="G104" s="337">
        <v>46204</v>
      </c>
      <c r="H104" s="199">
        <v>45231</v>
      </c>
    </row>
    <row r="105" spans="1:8" x14ac:dyDescent="0.25">
      <c r="A105" s="314">
        <f t="shared" si="1"/>
        <v>104</v>
      </c>
      <c r="B105" s="314" t="s">
        <v>902</v>
      </c>
      <c r="C105" s="340">
        <v>19</v>
      </c>
      <c r="D105" s="10">
        <v>3.42</v>
      </c>
      <c r="E105" s="10" t="s">
        <v>1401</v>
      </c>
      <c r="F105" s="7">
        <v>9</v>
      </c>
      <c r="G105" s="335">
        <v>45901</v>
      </c>
      <c r="H105" s="344">
        <v>45505</v>
      </c>
    </row>
    <row r="106" spans="1:8" x14ac:dyDescent="0.25">
      <c r="A106" s="314">
        <f t="shared" si="1"/>
        <v>105</v>
      </c>
      <c r="B106" s="314" t="s">
        <v>1101</v>
      </c>
      <c r="C106" s="340">
        <v>75</v>
      </c>
      <c r="D106" s="10">
        <v>0.57999999999999996</v>
      </c>
      <c r="E106" s="10" t="s">
        <v>1401</v>
      </c>
      <c r="F106" s="7">
        <v>1.2</v>
      </c>
      <c r="G106" s="335">
        <v>45931</v>
      </c>
      <c r="H106" s="344">
        <v>45627</v>
      </c>
    </row>
    <row r="107" spans="1:8" x14ac:dyDescent="0.25">
      <c r="A107" s="314">
        <f t="shared" si="1"/>
        <v>106</v>
      </c>
      <c r="B107" s="314" t="s">
        <v>1102</v>
      </c>
      <c r="C107" s="340">
        <v>14</v>
      </c>
      <c r="D107" s="10">
        <v>6.78</v>
      </c>
      <c r="E107" s="10" t="s">
        <v>1401</v>
      </c>
      <c r="F107" s="7">
        <v>13</v>
      </c>
      <c r="G107" s="335">
        <v>46082</v>
      </c>
      <c r="H107" s="199">
        <v>45597</v>
      </c>
    </row>
    <row r="108" spans="1:8" x14ac:dyDescent="0.25">
      <c r="A108" s="314">
        <f t="shared" si="1"/>
        <v>107</v>
      </c>
      <c r="B108" s="314" t="s">
        <v>892</v>
      </c>
      <c r="C108" s="340">
        <v>12</v>
      </c>
      <c r="D108" s="10">
        <v>1.57</v>
      </c>
      <c r="E108" s="10" t="s">
        <v>1401</v>
      </c>
      <c r="F108" s="7">
        <v>5</v>
      </c>
      <c r="G108" s="335">
        <v>45931</v>
      </c>
      <c r="H108" s="344">
        <v>45627</v>
      </c>
    </row>
    <row r="109" spans="1:8" x14ac:dyDescent="0.25">
      <c r="A109" s="314">
        <f t="shared" si="1"/>
        <v>108</v>
      </c>
      <c r="B109" s="314" t="s">
        <v>1103</v>
      </c>
      <c r="C109" s="340">
        <v>19</v>
      </c>
      <c r="D109" s="10">
        <v>4.2</v>
      </c>
      <c r="E109" s="10" t="s">
        <v>1401</v>
      </c>
      <c r="F109" s="7">
        <v>8</v>
      </c>
      <c r="G109" s="335">
        <v>46966</v>
      </c>
      <c r="H109" s="344">
        <v>45627</v>
      </c>
    </row>
    <row r="110" spans="1:8" x14ac:dyDescent="0.25">
      <c r="A110" s="314">
        <f t="shared" si="1"/>
        <v>109</v>
      </c>
      <c r="B110" s="314" t="s">
        <v>971</v>
      </c>
      <c r="C110" s="340">
        <v>4</v>
      </c>
      <c r="D110" s="10">
        <v>8.09</v>
      </c>
      <c r="E110" s="10" t="s">
        <v>1400</v>
      </c>
      <c r="F110" s="7">
        <v>15</v>
      </c>
      <c r="G110" s="335">
        <v>46539</v>
      </c>
      <c r="H110" s="344">
        <v>45627</v>
      </c>
    </row>
    <row r="111" spans="1:8" x14ac:dyDescent="0.25">
      <c r="A111" s="314">
        <f t="shared" si="1"/>
        <v>110</v>
      </c>
      <c r="B111" s="314" t="s">
        <v>745</v>
      </c>
      <c r="C111" s="340">
        <v>1</v>
      </c>
      <c r="D111" s="10">
        <v>25.35</v>
      </c>
      <c r="E111" s="10" t="s">
        <v>1400</v>
      </c>
      <c r="F111" s="7">
        <v>40</v>
      </c>
      <c r="G111" s="199">
        <v>46023</v>
      </c>
      <c r="H111" s="199">
        <v>45505</v>
      </c>
    </row>
    <row r="112" spans="1:8" x14ac:dyDescent="0.25">
      <c r="A112" s="314">
        <f t="shared" si="1"/>
        <v>111</v>
      </c>
      <c r="B112" s="314" t="s">
        <v>744</v>
      </c>
      <c r="C112" s="340">
        <v>1</v>
      </c>
      <c r="D112" s="10">
        <v>25.35</v>
      </c>
      <c r="E112" s="10" t="s">
        <v>1400</v>
      </c>
      <c r="F112" s="7">
        <v>40</v>
      </c>
      <c r="G112" s="199">
        <v>45962</v>
      </c>
      <c r="H112" s="199">
        <v>45413</v>
      </c>
    </row>
    <row r="113" spans="1:8" x14ac:dyDescent="0.25">
      <c r="A113" s="314">
        <f t="shared" si="1"/>
        <v>112</v>
      </c>
      <c r="B113" s="105" t="s">
        <v>982</v>
      </c>
      <c r="C113" s="340">
        <v>13</v>
      </c>
      <c r="D113" s="10">
        <v>8.35</v>
      </c>
      <c r="E113" s="10" t="s">
        <v>1410</v>
      </c>
      <c r="F113" s="7">
        <v>15</v>
      </c>
      <c r="G113" s="199">
        <v>46447</v>
      </c>
      <c r="H113" s="199">
        <v>45536</v>
      </c>
    </row>
    <row r="114" spans="1:8" x14ac:dyDescent="0.25">
      <c r="A114" s="314">
        <f t="shared" si="1"/>
        <v>113</v>
      </c>
      <c r="B114" s="314" t="s">
        <v>460</v>
      </c>
      <c r="C114" s="340">
        <v>1</v>
      </c>
      <c r="D114" s="10">
        <v>33.5</v>
      </c>
      <c r="E114" s="10" t="s">
        <v>1467</v>
      </c>
      <c r="F114" s="7">
        <v>53</v>
      </c>
      <c r="G114" s="337">
        <v>46054</v>
      </c>
      <c r="H114" s="199">
        <v>45566</v>
      </c>
    </row>
    <row r="115" spans="1:8" x14ac:dyDescent="0.25">
      <c r="A115" s="314">
        <f t="shared" si="1"/>
        <v>114</v>
      </c>
      <c r="B115" s="314" t="s">
        <v>904</v>
      </c>
      <c r="C115" s="340">
        <v>11</v>
      </c>
      <c r="D115" s="10">
        <v>5.9950000000000001</v>
      </c>
      <c r="E115" s="10" t="s">
        <v>1401</v>
      </c>
      <c r="F115" s="7">
        <v>10</v>
      </c>
      <c r="G115" s="335">
        <v>46113</v>
      </c>
      <c r="H115" s="344">
        <v>45658</v>
      </c>
    </row>
    <row r="116" spans="1:8" x14ac:dyDescent="0.25">
      <c r="A116" s="314">
        <f t="shared" si="1"/>
        <v>115</v>
      </c>
      <c r="B116" s="314" t="s">
        <v>694</v>
      </c>
      <c r="C116" s="280">
        <v>13</v>
      </c>
      <c r="D116" s="15">
        <v>6.63</v>
      </c>
      <c r="E116" s="15" t="s">
        <v>1464</v>
      </c>
      <c r="F116" s="7">
        <v>10.5</v>
      </c>
      <c r="G116" s="344">
        <v>46539</v>
      </c>
      <c r="H116" s="344">
        <v>45627</v>
      </c>
    </row>
    <row r="117" spans="1:8" x14ac:dyDescent="0.25">
      <c r="A117" s="314">
        <f t="shared" si="1"/>
        <v>116</v>
      </c>
      <c r="B117" s="314" t="s">
        <v>905</v>
      </c>
      <c r="C117" s="340">
        <v>6</v>
      </c>
      <c r="D117" s="15">
        <v>3.33</v>
      </c>
      <c r="E117" s="15" t="s">
        <v>1401</v>
      </c>
      <c r="F117" s="7">
        <v>6</v>
      </c>
      <c r="G117" s="83">
        <v>45962</v>
      </c>
      <c r="H117" s="118">
        <v>45627</v>
      </c>
    </row>
    <row r="118" spans="1:8" x14ac:dyDescent="0.25">
      <c r="A118" s="314">
        <f t="shared" si="1"/>
        <v>117</v>
      </c>
      <c r="B118" s="314" t="s">
        <v>906</v>
      </c>
      <c r="C118" s="341">
        <v>0</v>
      </c>
      <c r="D118" s="18">
        <v>10.99</v>
      </c>
      <c r="E118" s="18" t="s">
        <v>1412</v>
      </c>
      <c r="F118" s="44">
        <v>18</v>
      </c>
      <c r="G118" s="335">
        <v>45992</v>
      </c>
      <c r="H118" s="344">
        <v>45231</v>
      </c>
    </row>
    <row r="119" spans="1:8" x14ac:dyDescent="0.25">
      <c r="A119" s="314">
        <f t="shared" si="1"/>
        <v>118</v>
      </c>
      <c r="B119" s="314" t="s">
        <v>907</v>
      </c>
      <c r="C119" s="341">
        <v>6</v>
      </c>
      <c r="D119" s="18">
        <v>3.3</v>
      </c>
      <c r="E119" s="18" t="s">
        <v>1401</v>
      </c>
      <c r="F119" s="44">
        <v>8</v>
      </c>
      <c r="G119" s="335">
        <v>45901</v>
      </c>
      <c r="H119" s="344">
        <v>45566</v>
      </c>
    </row>
    <row r="120" spans="1:8" x14ac:dyDescent="0.25">
      <c r="A120" s="314">
        <f t="shared" si="1"/>
        <v>119</v>
      </c>
      <c r="B120" s="314" t="s">
        <v>908</v>
      </c>
      <c r="C120" s="340">
        <v>11.3</v>
      </c>
      <c r="D120" s="10">
        <v>4.5</v>
      </c>
      <c r="E120" s="10" t="s">
        <v>1401</v>
      </c>
      <c r="F120" s="7">
        <v>8</v>
      </c>
      <c r="G120" s="335">
        <v>46478</v>
      </c>
      <c r="H120" s="344">
        <v>45597</v>
      </c>
    </row>
    <row r="121" spans="1:8" x14ac:dyDescent="0.25">
      <c r="A121" s="314">
        <f t="shared" si="1"/>
        <v>120</v>
      </c>
      <c r="B121" s="314" t="s">
        <v>341</v>
      </c>
      <c r="C121" s="340">
        <v>2</v>
      </c>
      <c r="D121" s="15">
        <v>10.51</v>
      </c>
      <c r="E121" s="15" t="s">
        <v>1400</v>
      </c>
      <c r="F121" s="7">
        <v>19</v>
      </c>
      <c r="G121" s="83">
        <v>46082</v>
      </c>
      <c r="H121" s="118">
        <v>45505</v>
      </c>
    </row>
    <row r="122" spans="1:8" x14ac:dyDescent="0.25">
      <c r="A122" s="314">
        <f t="shared" si="1"/>
        <v>121</v>
      </c>
      <c r="B122" s="314" t="s">
        <v>910</v>
      </c>
      <c r="C122" s="340">
        <v>4</v>
      </c>
      <c r="D122" s="10">
        <v>10.26</v>
      </c>
      <c r="E122" s="10" t="s">
        <v>1401</v>
      </c>
      <c r="F122" s="7">
        <v>17</v>
      </c>
      <c r="G122" s="337">
        <v>46874</v>
      </c>
      <c r="H122" s="199">
        <v>45566</v>
      </c>
    </row>
    <row r="123" spans="1:8" x14ac:dyDescent="0.25">
      <c r="A123" s="314">
        <f t="shared" si="1"/>
        <v>122</v>
      </c>
      <c r="B123" s="472" t="s">
        <v>909</v>
      </c>
      <c r="C123" s="340">
        <v>9</v>
      </c>
      <c r="D123" s="10">
        <v>8</v>
      </c>
      <c r="E123" s="10" t="s">
        <v>1401</v>
      </c>
      <c r="F123" s="7">
        <v>15</v>
      </c>
      <c r="G123" s="538">
        <v>46447</v>
      </c>
      <c r="H123" s="199">
        <v>45627</v>
      </c>
    </row>
    <row r="124" spans="1:8" x14ac:dyDescent="0.25">
      <c r="A124" s="314">
        <f t="shared" si="1"/>
        <v>123</v>
      </c>
      <c r="B124" s="314" t="s">
        <v>30</v>
      </c>
      <c r="C124" s="340">
        <v>2</v>
      </c>
      <c r="D124" s="10">
        <v>18.25</v>
      </c>
      <c r="E124" s="10" t="s">
        <v>1400</v>
      </c>
      <c r="F124" s="7">
        <v>32</v>
      </c>
      <c r="G124" s="337">
        <v>46631</v>
      </c>
      <c r="H124" s="199">
        <v>45474</v>
      </c>
    </row>
    <row r="125" spans="1:8" x14ac:dyDescent="0.25">
      <c r="A125" s="314">
        <f t="shared" si="1"/>
        <v>124</v>
      </c>
      <c r="B125" s="314" t="s">
        <v>1104</v>
      </c>
      <c r="C125" s="340">
        <v>75</v>
      </c>
      <c r="D125" s="10">
        <v>0.86399999999999999</v>
      </c>
      <c r="E125" s="10" t="s">
        <v>1401</v>
      </c>
      <c r="F125" s="7">
        <v>1.5</v>
      </c>
      <c r="G125" s="335">
        <v>46113</v>
      </c>
      <c r="H125" s="344">
        <v>45505</v>
      </c>
    </row>
    <row r="126" spans="1:8" x14ac:dyDescent="0.25">
      <c r="A126" s="314">
        <f t="shared" si="1"/>
        <v>125</v>
      </c>
      <c r="B126" s="314" t="s">
        <v>872</v>
      </c>
      <c r="C126" s="340">
        <v>2</v>
      </c>
      <c r="D126" s="10">
        <v>9.9499999999999993</v>
      </c>
      <c r="E126" s="10" t="s">
        <v>1400</v>
      </c>
      <c r="F126" s="7">
        <v>18</v>
      </c>
      <c r="G126" s="335">
        <v>46600</v>
      </c>
      <c r="H126" s="344">
        <v>45597</v>
      </c>
    </row>
    <row r="127" spans="1:8" x14ac:dyDescent="0.25">
      <c r="A127" s="314">
        <f t="shared" si="1"/>
        <v>126</v>
      </c>
      <c r="B127" s="314" t="s">
        <v>677</v>
      </c>
      <c r="C127" s="340">
        <v>1</v>
      </c>
      <c r="D127" s="10">
        <v>10.95</v>
      </c>
      <c r="E127" s="10" t="s">
        <v>1408</v>
      </c>
      <c r="F127" s="7">
        <v>19</v>
      </c>
      <c r="G127" s="335">
        <v>46631</v>
      </c>
      <c r="H127" s="344">
        <v>45627</v>
      </c>
    </row>
    <row r="128" spans="1:8" x14ac:dyDescent="0.25">
      <c r="A128" s="314">
        <f t="shared" si="1"/>
        <v>127</v>
      </c>
      <c r="B128" s="314" t="s">
        <v>1105</v>
      </c>
      <c r="C128" s="340">
        <v>2</v>
      </c>
      <c r="D128" s="10">
        <v>8.9499999999999993</v>
      </c>
      <c r="E128" s="10" t="s">
        <v>1400</v>
      </c>
      <c r="F128" s="7">
        <v>16</v>
      </c>
      <c r="G128" s="199">
        <v>46508</v>
      </c>
      <c r="H128" s="199">
        <v>45597</v>
      </c>
    </row>
    <row r="129" spans="1:8" x14ac:dyDescent="0.25">
      <c r="A129" s="314">
        <f t="shared" si="1"/>
        <v>128</v>
      </c>
      <c r="B129" s="314" t="s">
        <v>969</v>
      </c>
      <c r="C129" s="340">
        <v>4</v>
      </c>
      <c r="D129" s="10">
        <v>25.95</v>
      </c>
      <c r="E129" s="10" t="s">
        <v>1400</v>
      </c>
      <c r="F129" s="7">
        <v>44</v>
      </c>
      <c r="G129" s="335">
        <v>46447</v>
      </c>
      <c r="H129" s="199">
        <v>45566</v>
      </c>
    </row>
    <row r="130" spans="1:8" x14ac:dyDescent="0.25">
      <c r="A130" s="314">
        <f t="shared" si="1"/>
        <v>129</v>
      </c>
      <c r="B130" s="314" t="s">
        <v>970</v>
      </c>
      <c r="C130" s="340">
        <v>7</v>
      </c>
      <c r="D130" s="10">
        <v>17.850000000000001</v>
      </c>
      <c r="E130" s="10" t="s">
        <v>1402</v>
      </c>
      <c r="F130" s="7">
        <v>32</v>
      </c>
      <c r="G130" s="335">
        <v>46174</v>
      </c>
      <c r="H130" s="199">
        <v>45658</v>
      </c>
    </row>
    <row r="131" spans="1:8" x14ac:dyDescent="0.25">
      <c r="A131" s="314">
        <f>A130+1</f>
        <v>130</v>
      </c>
      <c r="B131" s="314" t="s">
        <v>1106</v>
      </c>
      <c r="C131" s="340">
        <v>7</v>
      </c>
      <c r="D131" s="10">
        <v>2.0950000000000002</v>
      </c>
      <c r="E131" s="10" t="s">
        <v>1401</v>
      </c>
      <c r="F131" s="7">
        <v>5</v>
      </c>
      <c r="G131" s="335">
        <v>46082</v>
      </c>
      <c r="H131" s="199">
        <v>45566</v>
      </c>
    </row>
    <row r="132" spans="1:8" x14ac:dyDescent="0.25">
      <c r="A132" s="314">
        <f t="shared" ref="A132:A172" si="2">A131+1</f>
        <v>131</v>
      </c>
      <c r="B132" s="314" t="s">
        <v>49</v>
      </c>
      <c r="C132" s="340">
        <v>2</v>
      </c>
      <c r="D132" s="10">
        <v>29.95</v>
      </c>
      <c r="E132" s="10" t="s">
        <v>1408</v>
      </c>
      <c r="F132" s="7">
        <v>49</v>
      </c>
      <c r="G132" s="335">
        <v>45901</v>
      </c>
      <c r="H132" s="199">
        <v>45292</v>
      </c>
    </row>
    <row r="133" spans="1:8" x14ac:dyDescent="0.25">
      <c r="A133" s="314">
        <f t="shared" si="2"/>
        <v>132</v>
      </c>
      <c r="B133" s="314" t="s">
        <v>336</v>
      </c>
      <c r="C133" s="341">
        <v>1</v>
      </c>
      <c r="D133" s="18">
        <v>30.65</v>
      </c>
      <c r="E133" s="18" t="s">
        <v>1400</v>
      </c>
      <c r="F133" s="44">
        <v>52</v>
      </c>
      <c r="G133" s="434">
        <v>46023</v>
      </c>
      <c r="H133" s="344">
        <v>45658</v>
      </c>
    </row>
    <row r="134" spans="1:8" x14ac:dyDescent="0.25">
      <c r="A134" s="314">
        <f t="shared" si="2"/>
        <v>133</v>
      </c>
      <c r="B134" s="314" t="s">
        <v>1107</v>
      </c>
      <c r="C134" s="340">
        <v>52</v>
      </c>
      <c r="D134" s="10">
        <v>1.879</v>
      </c>
      <c r="E134" s="10" t="s">
        <v>1401</v>
      </c>
      <c r="F134" s="7">
        <v>4.2</v>
      </c>
      <c r="G134" s="335">
        <v>46478</v>
      </c>
      <c r="H134" s="344">
        <v>45566</v>
      </c>
    </row>
    <row r="135" spans="1:8" x14ac:dyDescent="0.25">
      <c r="A135" s="314">
        <f t="shared" si="2"/>
        <v>134</v>
      </c>
      <c r="B135" s="314" t="s">
        <v>684</v>
      </c>
      <c r="C135" s="465">
        <v>3</v>
      </c>
      <c r="D135" s="10">
        <v>6.0949999999999998</v>
      </c>
      <c r="E135" s="10" t="s">
        <v>1401</v>
      </c>
      <c r="F135" s="7">
        <v>10</v>
      </c>
      <c r="G135" s="549">
        <v>46113</v>
      </c>
      <c r="H135" s="550">
        <v>45323</v>
      </c>
    </row>
    <row r="136" spans="1:8" x14ac:dyDescent="0.25">
      <c r="A136" s="314">
        <f t="shared" si="2"/>
        <v>135</v>
      </c>
      <c r="B136" s="314" t="s">
        <v>1108</v>
      </c>
      <c r="C136" s="340">
        <v>0</v>
      </c>
      <c r="D136" s="18">
        <v>6.55</v>
      </c>
      <c r="E136" s="18" t="s">
        <v>1401</v>
      </c>
      <c r="F136" s="44">
        <v>12</v>
      </c>
      <c r="G136" s="335">
        <v>46054</v>
      </c>
      <c r="H136" s="344">
        <v>45047</v>
      </c>
    </row>
    <row r="137" spans="1:8" x14ac:dyDescent="0.25">
      <c r="A137" s="314">
        <f t="shared" si="2"/>
        <v>136</v>
      </c>
      <c r="B137" s="314" t="s">
        <v>252</v>
      </c>
      <c r="C137" s="340">
        <v>22</v>
      </c>
      <c r="D137" s="10">
        <v>6.57</v>
      </c>
      <c r="E137" s="10" t="s">
        <v>1401</v>
      </c>
      <c r="F137" s="7">
        <v>11</v>
      </c>
      <c r="G137" s="335">
        <v>46600</v>
      </c>
      <c r="H137" s="344">
        <v>45658</v>
      </c>
    </row>
    <row r="138" spans="1:8" x14ac:dyDescent="0.25">
      <c r="A138" s="314">
        <f t="shared" si="2"/>
        <v>137</v>
      </c>
      <c r="B138" s="314" t="s">
        <v>1314</v>
      </c>
      <c r="C138" s="340">
        <v>3</v>
      </c>
      <c r="D138" s="10">
        <v>11.833</v>
      </c>
      <c r="E138" s="10" t="s">
        <v>1401</v>
      </c>
      <c r="F138" s="7">
        <v>20</v>
      </c>
      <c r="G138" s="199">
        <v>46235</v>
      </c>
      <c r="H138" s="199">
        <v>45627</v>
      </c>
    </row>
    <row r="139" spans="1:8" x14ac:dyDescent="0.25">
      <c r="A139" s="314">
        <f t="shared" si="2"/>
        <v>138</v>
      </c>
      <c r="B139" s="314" t="s">
        <v>959</v>
      </c>
      <c r="C139" s="340">
        <v>2</v>
      </c>
      <c r="D139" s="10">
        <v>14.9</v>
      </c>
      <c r="E139" s="10" t="s">
        <v>1402</v>
      </c>
      <c r="F139" s="7">
        <v>25</v>
      </c>
      <c r="G139" s="199">
        <v>46661</v>
      </c>
      <c r="H139" s="199">
        <v>45627</v>
      </c>
    </row>
    <row r="140" spans="1:8" x14ac:dyDescent="0.25">
      <c r="A140" s="314">
        <f t="shared" si="2"/>
        <v>139</v>
      </c>
      <c r="B140" s="314" t="s">
        <v>955</v>
      </c>
      <c r="C140" s="340">
        <v>6</v>
      </c>
      <c r="D140" s="18">
        <v>14.15</v>
      </c>
      <c r="E140" s="18" t="s">
        <v>1402</v>
      </c>
      <c r="F140" s="44">
        <v>24</v>
      </c>
      <c r="G140" s="335">
        <v>46692</v>
      </c>
      <c r="H140" s="199">
        <v>45505</v>
      </c>
    </row>
    <row r="141" spans="1:8" x14ac:dyDescent="0.25">
      <c r="A141" s="314">
        <f t="shared" si="2"/>
        <v>140</v>
      </c>
      <c r="B141" s="314" t="s">
        <v>956</v>
      </c>
      <c r="C141" s="340">
        <v>2</v>
      </c>
      <c r="D141" s="10">
        <v>11.75</v>
      </c>
      <c r="E141" s="10" t="s">
        <v>1402</v>
      </c>
      <c r="F141" s="7">
        <v>20</v>
      </c>
      <c r="G141" s="199">
        <v>46874</v>
      </c>
      <c r="H141" s="199">
        <v>45536</v>
      </c>
    </row>
    <row r="142" spans="1:8" x14ac:dyDescent="0.25">
      <c r="A142" s="314">
        <f t="shared" si="2"/>
        <v>141</v>
      </c>
      <c r="B142" s="314" t="s">
        <v>957</v>
      </c>
      <c r="C142" s="340">
        <v>2</v>
      </c>
      <c r="D142" s="10">
        <v>20.95</v>
      </c>
      <c r="E142" s="10" t="s">
        <v>1402</v>
      </c>
      <c r="F142" s="7">
        <v>35</v>
      </c>
      <c r="G142" s="199">
        <v>46419</v>
      </c>
      <c r="H142" s="199">
        <v>45536</v>
      </c>
    </row>
    <row r="143" spans="1:8" x14ac:dyDescent="0.25">
      <c r="A143" s="314">
        <f t="shared" si="2"/>
        <v>142</v>
      </c>
      <c r="B143" s="314" t="s">
        <v>958</v>
      </c>
      <c r="C143" s="340">
        <v>1</v>
      </c>
      <c r="D143" s="10">
        <v>16.100000000000001</v>
      </c>
      <c r="E143" s="10" t="s">
        <v>1402</v>
      </c>
      <c r="F143" s="7">
        <v>27</v>
      </c>
      <c r="G143" s="199">
        <v>46296</v>
      </c>
      <c r="H143" s="199">
        <v>45536</v>
      </c>
    </row>
    <row r="144" spans="1:8" x14ac:dyDescent="0.25">
      <c r="A144" s="314">
        <f t="shared" si="2"/>
        <v>143</v>
      </c>
      <c r="B144" s="314" t="s">
        <v>1109</v>
      </c>
      <c r="C144" s="340">
        <v>32</v>
      </c>
      <c r="D144" s="10">
        <v>0.88</v>
      </c>
      <c r="E144" s="10" t="s">
        <v>1401</v>
      </c>
      <c r="F144" s="7">
        <v>1.5</v>
      </c>
      <c r="G144" s="335">
        <v>46539</v>
      </c>
      <c r="H144" s="344">
        <v>45658</v>
      </c>
    </row>
    <row r="145" spans="1:8" x14ac:dyDescent="0.25">
      <c r="A145" s="314">
        <f t="shared" si="2"/>
        <v>144</v>
      </c>
      <c r="B145" s="314" t="s">
        <v>843</v>
      </c>
      <c r="C145" s="340">
        <v>32</v>
      </c>
      <c r="D145" s="10">
        <v>0.30199999999999999</v>
      </c>
      <c r="E145" s="10" t="s">
        <v>1410</v>
      </c>
      <c r="F145" s="7">
        <v>1</v>
      </c>
      <c r="G145" s="118">
        <v>46388</v>
      </c>
      <c r="H145" s="199">
        <v>45658</v>
      </c>
    </row>
    <row r="146" spans="1:8" x14ac:dyDescent="0.25">
      <c r="A146" s="314">
        <f t="shared" si="2"/>
        <v>145</v>
      </c>
      <c r="B146" s="314" t="s">
        <v>513</v>
      </c>
      <c r="C146" s="340">
        <v>2</v>
      </c>
      <c r="D146" s="18">
        <v>13.4</v>
      </c>
      <c r="E146" s="18" t="s">
        <v>1400</v>
      </c>
      <c r="F146" s="44">
        <v>23</v>
      </c>
      <c r="G146" s="336">
        <v>45809</v>
      </c>
      <c r="H146" s="77">
        <v>45170</v>
      </c>
    </row>
    <row r="147" spans="1:8" x14ac:dyDescent="0.25">
      <c r="A147" s="314">
        <f t="shared" si="2"/>
        <v>146</v>
      </c>
      <c r="B147" s="314" t="s">
        <v>90</v>
      </c>
      <c r="C147" s="340">
        <v>7</v>
      </c>
      <c r="D147" s="10">
        <v>3.54</v>
      </c>
      <c r="E147" s="10" t="s">
        <v>1402</v>
      </c>
      <c r="F147" s="7">
        <v>9</v>
      </c>
      <c r="G147" s="335">
        <v>46174</v>
      </c>
      <c r="H147" s="199">
        <v>45566</v>
      </c>
    </row>
    <row r="148" spans="1:8" x14ac:dyDescent="0.25">
      <c r="A148" s="314">
        <f t="shared" si="2"/>
        <v>147</v>
      </c>
      <c r="B148" s="314" t="s">
        <v>13</v>
      </c>
      <c r="C148" s="341">
        <v>6</v>
      </c>
      <c r="D148" s="10">
        <v>4.43</v>
      </c>
      <c r="E148" s="10" t="s">
        <v>1402</v>
      </c>
      <c r="F148" s="7">
        <v>8</v>
      </c>
      <c r="G148" s="335">
        <v>46235</v>
      </c>
      <c r="H148" s="344">
        <v>45474</v>
      </c>
    </row>
    <row r="149" spans="1:8" x14ac:dyDescent="0.25">
      <c r="A149" s="314">
        <f t="shared" si="2"/>
        <v>148</v>
      </c>
      <c r="B149" s="314" t="s">
        <v>639</v>
      </c>
      <c r="C149" s="340">
        <v>3</v>
      </c>
      <c r="D149" s="10">
        <v>11</v>
      </c>
      <c r="E149" s="10" t="s">
        <v>1400</v>
      </c>
      <c r="F149" s="7">
        <v>20</v>
      </c>
      <c r="G149" s="335">
        <v>46204</v>
      </c>
      <c r="H149" s="199">
        <v>45444</v>
      </c>
    </row>
    <row r="150" spans="1:8" x14ac:dyDescent="0.25">
      <c r="A150" s="314">
        <f t="shared" si="2"/>
        <v>149</v>
      </c>
      <c r="B150" s="314" t="s">
        <v>911</v>
      </c>
      <c r="C150" s="341">
        <v>5</v>
      </c>
      <c r="D150" s="18">
        <v>13.2</v>
      </c>
      <c r="E150" s="18" t="s">
        <v>1402</v>
      </c>
      <c r="F150" s="44">
        <v>23</v>
      </c>
      <c r="G150" s="335">
        <v>47150</v>
      </c>
      <c r="H150" s="344">
        <v>45627</v>
      </c>
    </row>
    <row r="151" spans="1:8" x14ac:dyDescent="0.25">
      <c r="A151" s="314">
        <f t="shared" si="2"/>
        <v>150</v>
      </c>
      <c r="B151" s="314" t="s">
        <v>1110</v>
      </c>
      <c r="C151" s="340">
        <v>133</v>
      </c>
      <c r="D151" s="10">
        <v>0.56999999999999995</v>
      </c>
      <c r="E151" s="10" t="s">
        <v>1401</v>
      </c>
      <c r="F151" s="7">
        <v>1</v>
      </c>
      <c r="G151" s="335">
        <v>46235</v>
      </c>
      <c r="H151" s="344">
        <v>45566</v>
      </c>
    </row>
    <row r="152" spans="1:8" x14ac:dyDescent="0.25">
      <c r="A152" s="314">
        <f t="shared" si="2"/>
        <v>151</v>
      </c>
      <c r="B152" s="314" t="s">
        <v>1111</v>
      </c>
      <c r="C152" s="340">
        <v>11</v>
      </c>
      <c r="D152" s="10">
        <v>4.92</v>
      </c>
      <c r="E152" s="10" t="s">
        <v>1402</v>
      </c>
      <c r="F152" s="7">
        <v>10</v>
      </c>
      <c r="G152" s="335">
        <v>46327</v>
      </c>
      <c r="H152" s="344">
        <v>45627</v>
      </c>
    </row>
    <row r="153" spans="1:8" x14ac:dyDescent="0.25">
      <c r="A153" s="314">
        <f t="shared" si="2"/>
        <v>152</v>
      </c>
      <c r="B153" s="588" t="s">
        <v>1003</v>
      </c>
      <c r="C153" s="589">
        <v>107</v>
      </c>
      <c r="D153" s="10">
        <v>0.93899999999999995</v>
      </c>
      <c r="E153" s="10" t="s">
        <v>1401</v>
      </c>
      <c r="F153" s="7">
        <v>1.6</v>
      </c>
      <c r="G153" s="591">
        <v>45778</v>
      </c>
      <c r="H153" s="199">
        <v>45474</v>
      </c>
    </row>
    <row r="154" spans="1:8" x14ac:dyDescent="0.25">
      <c r="A154" s="314">
        <f t="shared" si="2"/>
        <v>153</v>
      </c>
      <c r="B154" s="314" t="s">
        <v>357</v>
      </c>
      <c r="C154" s="340">
        <v>2</v>
      </c>
      <c r="D154" s="10">
        <v>11.25</v>
      </c>
      <c r="E154" s="10" t="s">
        <v>1408</v>
      </c>
      <c r="F154" s="7">
        <v>20</v>
      </c>
      <c r="G154" s="335">
        <v>46174</v>
      </c>
      <c r="H154" s="199">
        <v>45505</v>
      </c>
    </row>
    <row r="155" spans="1:8" x14ac:dyDescent="0.25">
      <c r="A155" s="314">
        <f t="shared" si="2"/>
        <v>154</v>
      </c>
      <c r="B155" s="314" t="s">
        <v>311</v>
      </c>
      <c r="C155" s="340">
        <v>7</v>
      </c>
      <c r="D155" s="10">
        <v>0.28000000000000003</v>
      </c>
      <c r="E155" s="10" t="s">
        <v>1468</v>
      </c>
      <c r="F155" s="7">
        <v>0.5</v>
      </c>
      <c r="G155" s="326"/>
      <c r="H155" s="344">
        <v>44805</v>
      </c>
    </row>
    <row r="156" spans="1:8" x14ac:dyDescent="0.25">
      <c r="A156" s="314">
        <f t="shared" si="2"/>
        <v>155</v>
      </c>
      <c r="B156" s="314" t="s">
        <v>11</v>
      </c>
      <c r="C156" s="340">
        <v>6</v>
      </c>
      <c r="D156" s="10">
        <v>1.62</v>
      </c>
      <c r="E156" s="10" t="s">
        <v>1401</v>
      </c>
      <c r="F156" s="7">
        <v>3</v>
      </c>
      <c r="G156" s="335">
        <v>46143</v>
      </c>
      <c r="H156" s="344">
        <v>45352</v>
      </c>
    </row>
    <row r="157" spans="1:8" x14ac:dyDescent="0.25">
      <c r="A157" s="314">
        <f t="shared" si="2"/>
        <v>156</v>
      </c>
      <c r="B157" s="314" t="s">
        <v>293</v>
      </c>
      <c r="C157" s="340">
        <v>5</v>
      </c>
      <c r="D157" s="10">
        <v>1.44</v>
      </c>
      <c r="E157" s="10" t="s">
        <v>1466</v>
      </c>
      <c r="F157" s="7">
        <v>3</v>
      </c>
      <c r="G157" s="335">
        <v>45901</v>
      </c>
      <c r="H157" s="199">
        <v>45017</v>
      </c>
    </row>
    <row r="158" spans="1:8" x14ac:dyDescent="0.25">
      <c r="A158" s="314">
        <f t="shared" si="2"/>
        <v>157</v>
      </c>
      <c r="B158" s="314" t="s">
        <v>912</v>
      </c>
      <c r="C158" s="340">
        <v>3</v>
      </c>
      <c r="D158" s="10">
        <v>26.72</v>
      </c>
      <c r="E158" s="10" t="s">
        <v>1401</v>
      </c>
      <c r="F158" s="7">
        <v>44</v>
      </c>
      <c r="G158" s="335">
        <v>46174</v>
      </c>
      <c r="H158" s="199">
        <v>45627</v>
      </c>
    </row>
    <row r="159" spans="1:8" x14ac:dyDescent="0.25">
      <c r="A159" s="314">
        <f t="shared" si="2"/>
        <v>158</v>
      </c>
      <c r="B159" s="314" t="s">
        <v>913</v>
      </c>
      <c r="C159" s="340">
        <v>11</v>
      </c>
      <c r="D159" s="10">
        <v>3.09</v>
      </c>
      <c r="E159" s="10" t="s">
        <v>1401</v>
      </c>
      <c r="F159" s="7">
        <v>7</v>
      </c>
      <c r="G159" s="335">
        <v>46447</v>
      </c>
      <c r="H159" s="344">
        <v>45627</v>
      </c>
    </row>
    <row r="160" spans="1:8" x14ac:dyDescent="0.25">
      <c r="A160" s="314">
        <f t="shared" si="2"/>
        <v>159</v>
      </c>
      <c r="B160" s="449" t="s">
        <v>507</v>
      </c>
      <c r="C160" s="465">
        <v>5</v>
      </c>
      <c r="D160" s="10">
        <v>21.95</v>
      </c>
      <c r="E160" s="10" t="s">
        <v>1400</v>
      </c>
      <c r="F160" s="7">
        <v>35</v>
      </c>
      <c r="G160" s="336">
        <v>46357</v>
      </c>
      <c r="H160" s="77">
        <v>45627</v>
      </c>
    </row>
    <row r="161" spans="1:8" x14ac:dyDescent="0.25">
      <c r="A161" s="314">
        <f t="shared" si="2"/>
        <v>160</v>
      </c>
      <c r="B161" s="314" t="s">
        <v>983</v>
      </c>
      <c r="C161" s="340">
        <v>29</v>
      </c>
      <c r="D161" s="10">
        <v>8.298</v>
      </c>
      <c r="E161" s="10" t="s">
        <v>1465</v>
      </c>
      <c r="F161" s="7">
        <v>15</v>
      </c>
      <c r="G161" s="199">
        <v>46266</v>
      </c>
      <c r="H161" s="199">
        <v>45536</v>
      </c>
    </row>
    <row r="162" spans="1:8" x14ac:dyDescent="0.25">
      <c r="A162" s="314">
        <f t="shared" si="2"/>
        <v>161</v>
      </c>
      <c r="B162" s="314" t="s">
        <v>152</v>
      </c>
      <c r="C162" s="340">
        <v>1</v>
      </c>
      <c r="D162" s="10">
        <v>33.299999999999997</v>
      </c>
      <c r="E162" s="10" t="s">
        <v>1467</v>
      </c>
      <c r="F162" s="7">
        <v>60</v>
      </c>
      <c r="G162" s="335">
        <v>45870</v>
      </c>
      <c r="H162" s="199">
        <v>45474</v>
      </c>
    </row>
    <row r="163" spans="1:8" x14ac:dyDescent="0.25">
      <c r="A163" s="314">
        <f t="shared" si="2"/>
        <v>162</v>
      </c>
      <c r="B163" s="314" t="s">
        <v>1112</v>
      </c>
      <c r="C163" s="340">
        <v>2</v>
      </c>
      <c r="D163" s="10">
        <v>21.08</v>
      </c>
      <c r="E163" s="10" t="s">
        <v>1401</v>
      </c>
      <c r="F163" s="7">
        <v>46.66</v>
      </c>
      <c r="G163" s="199">
        <v>46082</v>
      </c>
      <c r="H163" s="199">
        <v>45352</v>
      </c>
    </row>
    <row r="164" spans="1:8" x14ac:dyDescent="0.25">
      <c r="A164" s="314">
        <f t="shared" si="2"/>
        <v>163</v>
      </c>
      <c r="B164" s="314" t="s">
        <v>180</v>
      </c>
      <c r="C164" s="340">
        <v>39</v>
      </c>
      <c r="D164" s="10">
        <v>2.81</v>
      </c>
      <c r="E164" s="10" t="s">
        <v>1410</v>
      </c>
      <c r="F164" s="7">
        <v>5</v>
      </c>
      <c r="G164" s="335">
        <v>46174</v>
      </c>
      <c r="H164" s="344">
        <v>45658</v>
      </c>
    </row>
    <row r="165" spans="1:8" x14ac:dyDescent="0.25">
      <c r="A165" s="314">
        <f t="shared" si="2"/>
        <v>164</v>
      </c>
      <c r="B165" s="314" t="s">
        <v>95</v>
      </c>
      <c r="C165" s="340">
        <v>6</v>
      </c>
      <c r="D165" s="10">
        <v>21.55</v>
      </c>
      <c r="E165" s="10" t="s">
        <v>1400</v>
      </c>
      <c r="F165" s="7">
        <v>35</v>
      </c>
      <c r="G165" s="335">
        <v>46508</v>
      </c>
      <c r="H165" s="344">
        <v>45627</v>
      </c>
    </row>
    <row r="166" spans="1:8" x14ac:dyDescent="0.25">
      <c r="A166" s="314">
        <f t="shared" si="2"/>
        <v>165</v>
      </c>
      <c r="B166" s="314" t="s">
        <v>181</v>
      </c>
      <c r="C166" s="340">
        <v>44</v>
      </c>
      <c r="D166" s="10">
        <v>2.81</v>
      </c>
      <c r="E166" s="10" t="s">
        <v>1410</v>
      </c>
      <c r="F166" s="7">
        <v>5</v>
      </c>
      <c r="G166" s="335">
        <v>46143</v>
      </c>
      <c r="H166" s="344">
        <v>45627</v>
      </c>
    </row>
    <row r="167" spans="1:8" x14ac:dyDescent="0.25">
      <c r="A167" s="314">
        <f t="shared" si="2"/>
        <v>166</v>
      </c>
      <c r="B167" s="314" t="s">
        <v>253</v>
      </c>
      <c r="C167" s="340">
        <v>20</v>
      </c>
      <c r="D167" s="10">
        <v>3.0470000000000002</v>
      </c>
      <c r="E167" s="10" t="s">
        <v>1410</v>
      </c>
      <c r="F167" s="7">
        <v>5</v>
      </c>
      <c r="G167" s="335">
        <v>46054</v>
      </c>
      <c r="H167" s="199">
        <v>45597</v>
      </c>
    </row>
    <row r="168" spans="1:8" x14ac:dyDescent="0.25">
      <c r="A168" s="314">
        <f t="shared" si="2"/>
        <v>167</v>
      </c>
      <c r="B168" s="314" t="s">
        <v>135</v>
      </c>
      <c r="C168" s="340">
        <v>22</v>
      </c>
      <c r="D168" s="10">
        <v>3.05</v>
      </c>
      <c r="E168" s="10" t="s">
        <v>1410</v>
      </c>
      <c r="F168" s="7">
        <v>5</v>
      </c>
      <c r="G168" s="335">
        <v>46113</v>
      </c>
      <c r="H168" s="344">
        <v>45566</v>
      </c>
    </row>
    <row r="169" spans="1:8" x14ac:dyDescent="0.25">
      <c r="A169" s="314">
        <f t="shared" si="2"/>
        <v>168</v>
      </c>
      <c r="B169" s="314" t="s">
        <v>29</v>
      </c>
      <c r="C169" s="340">
        <v>5</v>
      </c>
      <c r="D169" s="10">
        <v>4.3</v>
      </c>
      <c r="E169" s="10" t="s">
        <v>1412</v>
      </c>
      <c r="F169" s="7">
        <v>8</v>
      </c>
      <c r="G169" s="546">
        <v>46569</v>
      </c>
      <c r="H169" s="199">
        <v>45658</v>
      </c>
    </row>
    <row r="170" spans="1:8" x14ac:dyDescent="0.25">
      <c r="A170" s="314">
        <f t="shared" si="2"/>
        <v>169</v>
      </c>
      <c r="B170" s="314" t="s">
        <v>1113</v>
      </c>
      <c r="C170" s="340">
        <v>4</v>
      </c>
      <c r="D170" s="10">
        <v>15.38</v>
      </c>
      <c r="E170" s="10" t="s">
        <v>1401</v>
      </c>
      <c r="F170" s="7">
        <v>25</v>
      </c>
      <c r="G170" s="335">
        <v>46174</v>
      </c>
      <c r="H170" s="344">
        <v>45017</v>
      </c>
    </row>
    <row r="171" spans="1:8" x14ac:dyDescent="0.25">
      <c r="A171" s="314">
        <f t="shared" si="2"/>
        <v>170</v>
      </c>
      <c r="B171" s="281" t="s">
        <v>849</v>
      </c>
      <c r="C171" s="340">
        <v>20</v>
      </c>
      <c r="D171" s="10">
        <v>1.1950000000000001</v>
      </c>
      <c r="E171" s="10" t="s">
        <v>1401</v>
      </c>
      <c r="F171" s="7">
        <v>2.5</v>
      </c>
      <c r="G171" s="199">
        <v>46204</v>
      </c>
      <c r="H171" s="199">
        <v>45627</v>
      </c>
    </row>
    <row r="172" spans="1:8" x14ac:dyDescent="0.25">
      <c r="A172" s="314">
        <f t="shared" si="2"/>
        <v>171</v>
      </c>
      <c r="B172" s="314" t="s">
        <v>943</v>
      </c>
      <c r="C172" s="340">
        <v>14</v>
      </c>
      <c r="D172" s="10">
        <v>3.3370000000000002</v>
      </c>
      <c r="E172" s="10" t="s">
        <v>1401</v>
      </c>
      <c r="F172" s="7">
        <v>5.7</v>
      </c>
      <c r="G172" s="199">
        <v>46174</v>
      </c>
      <c r="H172" s="199">
        <v>45505</v>
      </c>
    </row>
    <row r="173" spans="1:8" x14ac:dyDescent="0.25">
      <c r="A173" s="314">
        <f>A172+1</f>
        <v>172</v>
      </c>
      <c r="B173" s="314" t="s">
        <v>442</v>
      </c>
      <c r="C173" s="340">
        <v>6</v>
      </c>
      <c r="D173" s="10">
        <v>3.95</v>
      </c>
      <c r="E173" s="10" t="s">
        <v>1401</v>
      </c>
      <c r="F173" s="7">
        <v>7</v>
      </c>
      <c r="G173" s="335">
        <v>46569</v>
      </c>
      <c r="H173" s="344">
        <v>45597</v>
      </c>
    </row>
    <row r="174" spans="1:8" x14ac:dyDescent="0.25">
      <c r="A174" s="314">
        <f>A173+1</f>
        <v>173</v>
      </c>
      <c r="B174" s="314" t="s">
        <v>1114</v>
      </c>
      <c r="C174" s="340">
        <v>9</v>
      </c>
      <c r="D174" s="10">
        <v>2.5</v>
      </c>
      <c r="E174" s="10" t="s">
        <v>1401</v>
      </c>
      <c r="F174" s="7">
        <v>4</v>
      </c>
      <c r="G174" s="335">
        <v>45809</v>
      </c>
      <c r="H174" s="199">
        <v>45352</v>
      </c>
    </row>
    <row r="175" spans="1:8" x14ac:dyDescent="0.25">
      <c r="A175" s="449">
        <f>A174+1</f>
        <v>174</v>
      </c>
      <c r="B175" s="314" t="s">
        <v>754</v>
      </c>
      <c r="C175" s="195">
        <v>1</v>
      </c>
      <c r="D175" s="10">
        <v>41.05</v>
      </c>
      <c r="E175" s="10" t="s">
        <v>1400</v>
      </c>
      <c r="F175" s="7">
        <v>69</v>
      </c>
      <c r="G175" s="199">
        <v>46569</v>
      </c>
      <c r="H175" s="199">
        <v>45658</v>
      </c>
    </row>
    <row r="176" spans="1:8" x14ac:dyDescent="0.25">
      <c r="A176" s="449">
        <f>A175+1</f>
        <v>175</v>
      </c>
      <c r="B176" s="314" t="s">
        <v>682</v>
      </c>
      <c r="C176" s="340">
        <v>2</v>
      </c>
      <c r="D176" s="10">
        <v>22.8</v>
      </c>
      <c r="E176" s="10" t="s">
        <v>1400</v>
      </c>
      <c r="F176" s="7">
        <v>36</v>
      </c>
      <c r="G176" s="337">
        <v>45931</v>
      </c>
      <c r="H176" s="199">
        <v>45231</v>
      </c>
    </row>
    <row r="177" spans="1:8" x14ac:dyDescent="0.25">
      <c r="A177" s="449">
        <f>A176+1</f>
        <v>176</v>
      </c>
      <c r="B177" s="314" t="s">
        <v>470</v>
      </c>
      <c r="C177" s="340">
        <v>2</v>
      </c>
      <c r="D177" s="10">
        <v>20.95</v>
      </c>
      <c r="E177" s="10" t="s">
        <v>1400</v>
      </c>
      <c r="F177" s="7">
        <v>33</v>
      </c>
      <c r="G177" s="335">
        <v>46054</v>
      </c>
      <c r="H177" s="344">
        <v>45597</v>
      </c>
    </row>
  </sheetData>
  <pageMargins left="0.11811023622047245" right="0.11811023622047245" top="0" bottom="0" header="0.31496062992125984" footer="0.31496062992125984"/>
  <pageSetup scale="9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 BYF</vt:lpstr>
      <vt:lpstr>IVR BYF</vt:lpstr>
      <vt:lpstr>BENDICION</vt:lpstr>
      <vt:lpstr>INV BENDICION</vt:lpstr>
      <vt:lpstr>ROSADEL</vt:lpstr>
      <vt:lpstr>INV ROSADEL</vt:lpstr>
      <vt:lpstr> COIDE </vt:lpstr>
      <vt:lpstr>INV COIDE</vt:lpstr>
      <vt:lpstr>GENESIS</vt:lpstr>
      <vt:lpstr>INV GENESIS</vt:lpstr>
      <vt:lpstr>OLAM</vt:lpstr>
      <vt:lpstr>INV OLAM </vt:lpstr>
      <vt:lpstr>TORRE FUERTE</vt:lpstr>
      <vt:lpstr>IVR T FUERTE</vt:lpstr>
      <vt:lpstr>ESTUARDO</vt:lpstr>
      <vt:lpstr>IVR ESTUARDO</vt:lpstr>
      <vt:lpstr>AMICELCO</vt:lpstr>
      <vt:lpstr>INV AMICELCO</vt:lpstr>
      <vt:lpstr>INFASA</vt:lpstr>
      <vt:lpstr>INV INFASA</vt:lpstr>
      <vt:lpstr>PRECIO BAJO</vt:lpstr>
      <vt:lpstr>INV PRECIO BAJO</vt:lpstr>
      <vt:lpstr>LAFIMARQ</vt:lpstr>
      <vt:lpstr>INV LAFIMARQ</vt:lpstr>
      <vt:lpstr>TIENDA</vt:lpstr>
      <vt:lpstr>INV TIENDA</vt:lpstr>
      <vt:lpstr>ROXVEL Y RABI</vt:lpstr>
      <vt:lpstr> INV ROXVEL Y RABI</vt:lpstr>
      <vt:lpstr>NO SISTEMA</vt:lpstr>
      <vt:lpstr>Hoja1</vt:lpstr>
      <vt:lpstr>PROGRAMA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User</cp:lastModifiedBy>
  <cp:lastPrinted>2025-03-12T17:08:30Z</cp:lastPrinted>
  <dcterms:created xsi:type="dcterms:W3CDTF">2015-10-15T19:39:28Z</dcterms:created>
  <dcterms:modified xsi:type="dcterms:W3CDTF">2025-03-29T17:05:24Z</dcterms:modified>
</cp:coreProperties>
</file>